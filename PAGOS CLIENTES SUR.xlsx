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CB6C0A21-07E2-4089-A646-AD7DB77B56BB}" xr6:coauthVersionLast="47" xr6:coauthVersionMax="47" xr10:uidLastSave="{00000000-0000-0000-0000-000000000000}"/>
  <bookViews>
    <workbookView xWindow="-120" yWindow="-120" windowWidth="20730" windowHeight="11160" tabRatio="800" firstSheet="39" activeTab="39" xr2:uid="{00000000-000D-0000-FFFF-FFFF00000000}"/>
  </bookViews>
  <sheets>
    <sheet name="MEDICA D NORA" sheetId="1" r:id="rId1"/>
    <sheet name="SERV MEDICOS ESPECIALIZADO CERV" sheetId="4" r:id="rId2"/>
    <sheet name="MARIO SILVA" sheetId="2" r:id="rId3"/>
    <sheet name="MARIBEL MATOS" sheetId="3" r:id="rId4"/>
    <sheet name="serv med integ famisalud chinch" sheetId="5" r:id="rId5"/>
    <sheet name="SERV MED INTEG FAMISALUD PISCO" sheetId="6" r:id="rId6"/>
    <sheet name="CENTRO NEFROUROLOGICO DEL SUR" sheetId="7" r:id="rId7"/>
    <sheet name="clin señor de luren " sheetId="8" r:id="rId8"/>
    <sheet name="CLIN MED SAN MARTIN" sheetId="10" r:id="rId9"/>
    <sheet name="SERVICIOS MÉDICOS Y AFINES EDDE" sheetId="37" r:id="rId10"/>
    <sheet name="ICAMEDIC S.A.C." sheetId="38" r:id="rId11"/>
    <sheet name="Clínica Aguirre EIRL " sheetId="39" r:id="rId12"/>
    <sheet name="estancia santa fe" sheetId="9" r:id="rId13"/>
    <sheet name="CENTRO DIGESTIVI FERREL" sheetId="11" r:id="rId14"/>
    <sheet name="centro de diag bioquim" sheetId="13" r:id="rId15"/>
    <sheet name="poli espe san jose" sheetId="12" r:id="rId16"/>
    <sheet name="DOLLY CARDENAS" sheetId="14" r:id="rId17"/>
    <sheet name="NAPURI FERNANDO" sheetId="15" r:id="rId18"/>
    <sheet name="LUIS SARAVIA HUAMAN" sheetId="16" r:id="rId19"/>
    <sheet name="GIANCARLO RUIZ" sheetId="17" r:id="rId20"/>
    <sheet name="HOSPITAL SAN JUAN DE DIOS" sheetId="40" r:id="rId21"/>
    <sheet name="DAYSI DIAZ" sheetId="18" r:id="rId22"/>
    <sheet name="Cristopher Schwarz" sheetId="19" r:id="rId23"/>
    <sheet name="Cecilia Renteria" sheetId="20" r:id="rId24"/>
    <sheet name="OSMAR CONFRATERNIDAD" sheetId="21" r:id="rId25"/>
    <sheet name="Erick Arquiñego" sheetId="23" r:id="rId26"/>
    <sheet name="Osmar Natividad" sheetId="22" r:id="rId27"/>
    <sheet name="Animal Center" sheetId="24" r:id="rId28"/>
    <sheet name="CLINVET SMP" sheetId="25" r:id="rId29"/>
    <sheet name="clin vet Prado " sheetId="26" r:id="rId30"/>
    <sheet name="wf vet" sheetId="27" r:id="rId31"/>
    <sheet name="Richard Montoya" sheetId="28" r:id="rId32"/>
    <sheet name="Vanessa Tatatje" sheetId="29" r:id="rId33"/>
    <sheet name="JULIA AVALOS" sheetId="30" r:id="rId34"/>
    <sheet name="clin vet dr yober" sheetId="31" r:id="rId35"/>
    <sheet name="A-CINTHIA CABEZAS" sheetId="32" r:id="rId36"/>
    <sheet name="JOSE SALAS-CINTHIA CABEZAS (3)" sheetId="122" r:id="rId37"/>
    <sheet name="NU-CINTHIA CABEZAS (2)" sheetId="98" r:id="rId38"/>
    <sheet name="JFK-CINTHIA CABEZAS (3)" sheetId="99" r:id="rId39"/>
    <sheet name="CI-CINTHIA CABEZAS (4)" sheetId="100" r:id="rId40"/>
    <sheet name="MI DENTISTA KIDS" sheetId="41" r:id="rId41"/>
    <sheet name="CARMEN YEREN DE LA CRUZ" sheetId="33" r:id="rId42"/>
    <sheet name="NASCA VET SERV VET" sheetId="35" r:id="rId43"/>
    <sheet name="CLIN FARM VET PTE BLANCO" sheetId="34" r:id="rId44"/>
    <sheet name="VET SERVICE" sheetId="36" r:id="rId45"/>
    <sheet name="ACUÑA HUARANGA ARTURO " sheetId="46" r:id="rId46"/>
    <sheet name="HOSPITAL REGIONAL DE ICA " sheetId="47" r:id="rId47"/>
    <sheet name="RESODUNA SAC" sheetId="49" r:id="rId48"/>
    <sheet name="VETERINARIA ARENALES SRL" sheetId="50" r:id="rId49"/>
    <sheet name="XARO RENAL CARE SAC" sheetId="53" r:id="rId50"/>
    <sheet name="SANTO TORIBIO DE MOGROVEJO E.I." sheetId="54" r:id="rId51"/>
    <sheet name="SWISSDENT E.I.R.L." sheetId="55" r:id="rId52"/>
    <sheet name="SEGURA PARDO LAURA RAQUEL" sheetId="56" r:id="rId53"/>
    <sheet name="HOSPITAL DE CHINCHA - CAAT" sheetId="57" r:id="rId54"/>
    <sheet name="HOSPITAL SAN JOSE DE CHINCHA  " sheetId="58" r:id="rId55"/>
    <sheet name="P.S SAN JOSE " sheetId="59" r:id="rId56"/>
    <sheet name="P.S HOJA REDONDA" sheetId="60" r:id="rId57"/>
    <sheet name="P.S WIRACOCHA" sheetId="61" r:id="rId58"/>
    <sheet name="C.S EL CARMEN " sheetId="62" r:id="rId59"/>
    <sheet name="P.S EL SALVADOR" sheetId="63" r:id="rId60"/>
    <sheet name="C.S ALTO LARAN " sheetId="64" r:id="rId61"/>
    <sheet name=" P.S BALCONCITO " sheetId="65" r:id="rId62"/>
    <sheet name="C.S SAN ISIDRO" sheetId="66" r:id="rId63"/>
    <sheet name=" P.S SUNAMPE" sheetId="67" r:id="rId64"/>
    <sheet name=" P.S CRUZ BLANCA " sheetId="68" r:id="rId65"/>
    <sheet name="P.S CONDORILLO ALTO " sheetId="69" r:id="rId66"/>
    <sheet name=" P.S LOS ALAMOS " sheetId="70" r:id="rId67"/>
    <sheet name=" P.S SAN AGUSTIN" sheetId="71" r:id="rId68"/>
    <sheet name="C.S CHINCHA BAJA " sheetId="73" r:id="rId69"/>
    <sheet name=" C.S GROCIO PRADO" sheetId="77" r:id="rId70"/>
    <sheet name=" C.S PUEBLO NUEVO" sheetId="78" r:id="rId71"/>
    <sheet name="C.S TAMBO DE MORA  " sheetId="75" r:id="rId72"/>
    <sheet name="CLINICA VIRGEN DEL ROSARIO S.A " sheetId="76" r:id="rId73"/>
    <sheet name="fely ccolcca" sheetId="79" r:id="rId74"/>
    <sheet name="CENTRO DE DIAGN. ESP.INTEGRALAB" sheetId="80" r:id="rId75"/>
    <sheet name="LABORATORIO FARMACEUTICO PERUAN" sheetId="81" r:id="rId76"/>
    <sheet name="CORPORACION EMPRESARIAL SEÑOR D" sheetId="82" r:id="rId77"/>
    <sheet name="SERVICIOS MEDICOS ZOE - MED SAC" sheetId="83" r:id="rId78"/>
    <sheet name="SALUS LABORIS " sheetId="84" r:id="rId79"/>
    <sheet name="SARMIENTO INFANTE JAIMAR JOHANA" sheetId="85" r:id="rId80"/>
    <sheet name="MIRIAN HUALLPA" sheetId="86" r:id="rId81"/>
    <sheet name="PROGRAMA DE DESARROLLO DE SANID" sheetId="88" r:id="rId82"/>
    <sheet name="Clinica Dental Señor Nazareno E" sheetId="89" r:id="rId83"/>
    <sheet name="ZELAYA JULIAN SHARON ABIGAIL" sheetId="91" r:id="rId84"/>
    <sheet name="CARDENAS FIGUEROA ALEXANDER WIL" sheetId="90" r:id="rId85"/>
    <sheet name="VIVAMEDIC" sheetId="102" r:id="rId86"/>
    <sheet name="SARAVIA HERNANDEZ LUVIA VICTORI" sheetId="92" r:id="rId87"/>
    <sheet name="ROJAS MOLLAPAZA VIOLETA     " sheetId="93" r:id="rId88"/>
    <sheet name="Clínica Veterinaria Martinez E." sheetId="94" r:id="rId89"/>
    <sheet name="Vanessa Juliana Tataje Ramos   " sheetId="95" r:id="rId90"/>
    <sheet name="&quot;ROSA MERCEDES DONAYRE CAYO" sheetId="96" r:id="rId91"/>
    <sheet name="CLINICA VETERINARIA BROWN EIRL" sheetId="97" r:id="rId92"/>
    <sheet name="Asociación Civil San Martin de " sheetId="101" r:id="rId93"/>
    <sheet name="LEXMI QUINTANILLA TAMBRA" sheetId="103" r:id="rId94"/>
    <sheet name="MEDICOS SOLIDARIOS SMG SAC" sheetId="106" r:id="rId95"/>
    <sheet name="CHMEDICOS SOLIDARIOS SMG " sheetId="105" r:id="rId96"/>
    <sheet name="LUISA CORDOVA HERRERA      " sheetId="107" r:id="rId97"/>
    <sheet name="POLICLINICO SANTA TERESA JESUS " sheetId="108" r:id="rId98"/>
    <sheet name="CLINICA NIÑO DE PRAGA SAC     " sheetId="109" r:id="rId99"/>
    <sheet name="CENTRO DIAGNOSTICO ECOFETAL SOC" sheetId="112" r:id="rId100"/>
    <sheet name="CLINICA HERNANI SAC       " sheetId="111" r:id="rId101"/>
    <sheet name="PRINCIPAL VET SAC     " sheetId="113" r:id="rId102"/>
    <sheet name="GONZALES ELIAS CLAUDIO JESUS   " sheetId="114" r:id="rId103"/>
    <sheet name="Dr. Francisco Roman M. EIRL    " sheetId="115" r:id="rId104"/>
    <sheet name="CLINICA VETERINARIA ALONZO SAC " sheetId="116" r:id="rId105"/>
    <sheet name="Zuly Geraldine Ayón Cayo" sheetId="121" r:id="rId106"/>
    <sheet name="LOZA AYBAR YULY KATHERINE      " sheetId="119" r:id="rId107"/>
    <sheet name="KELY BURGA GONZALES     " sheetId="117" r:id="rId108"/>
    <sheet name="Emerson Escriba Palomino     " sheetId="118" r:id="rId109"/>
    <sheet name="CLINICA DENTAL PERU DENT EIRL" sheetId="120" r:id="rId110"/>
    <sheet name="clinica veterinaria faccevet sa" sheetId="123" r:id="rId111"/>
    <sheet name="RR GASTROCENTER SAC " sheetId="124" r:id="rId112"/>
    <sheet name="CENTRO NEFROLOGICO SEÑOR DE LA" sheetId="125" r:id="rId113"/>
    <sheet name="POB SAC" sheetId="126" r:id="rId114"/>
    <sheet name="POLICLINICO BIOQUIIM " sheetId="127" r:id="rId115"/>
    <sheet name="ROSEMARY MARLENY URIBE DOMINGUE" sheetId="128" r:id="rId116"/>
    <sheet name="HOJA (2)" sheetId="129" r:id="rId117"/>
    <sheet name="HOJA (3)" sheetId="130" r:id="rId118"/>
    <sheet name="HOJA" sheetId="52" r:id="rId1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125" l="1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C64" i="11"/>
  <c r="G59" i="25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G16" i="117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G10" i="117"/>
  <c r="G11" i="117"/>
  <c r="G12" i="117"/>
  <c r="G13" i="117"/>
  <c r="G14" i="117"/>
  <c r="G15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54" i="25"/>
  <c r="G55" i="25"/>
  <c r="G56" i="25"/>
  <c r="G57" i="25"/>
  <c r="G58" i="25"/>
  <c r="G60" i="25"/>
  <c r="G53" i="25"/>
  <c r="G52" i="25"/>
  <c r="G51" i="25"/>
  <c r="G48" i="25"/>
  <c r="G49" i="25"/>
  <c r="G50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372" i="7"/>
  <c r="F381" i="7"/>
  <c r="F221" i="8"/>
  <c r="F358" i="7"/>
  <c r="F213" i="8"/>
  <c r="F344" i="7"/>
  <c r="F205" i="8"/>
  <c r="F330" i="7"/>
  <c r="G119" i="53"/>
  <c r="F196" i="8"/>
  <c r="G93" i="53"/>
  <c r="F178" i="8"/>
  <c r="F288" i="7"/>
  <c r="G79" i="53"/>
  <c r="F274" i="7"/>
  <c r="F168" i="8"/>
  <c r="B86" i="8"/>
  <c r="B87" i="8"/>
  <c r="B88" i="8"/>
  <c r="B89" i="8"/>
  <c r="B90" i="8"/>
  <c r="B91" i="8"/>
  <c r="B92" i="8"/>
  <c r="B93" i="8"/>
  <c r="B85" i="8"/>
  <c r="F162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49" i="7"/>
  <c r="B162" i="7" s="1"/>
  <c r="B77" i="8"/>
  <c r="B78" i="8"/>
  <c r="B79" i="8"/>
  <c r="B80" i="8"/>
  <c r="B81" i="8"/>
  <c r="B82" i="8"/>
  <c r="B83" i="8"/>
  <c r="B76" i="8"/>
  <c r="F84" i="8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34" i="7"/>
  <c r="B148" i="7" s="1"/>
  <c r="B84" i="8" l="1"/>
</calcChain>
</file>

<file path=xl/sharedStrings.xml><?xml version="1.0" encoding="utf-8"?>
<sst xmlns="http://schemas.openxmlformats.org/spreadsheetml/2006/main" count="20053" uniqueCount="3942">
  <si>
    <t>CORPORACION MÉDICA D´ NORA S.A.C</t>
  </si>
  <si>
    <t>RUC</t>
  </si>
  <si>
    <t>CORREO</t>
  </si>
  <si>
    <t>GIANI010381@GMAIL.COM</t>
  </si>
  <si>
    <t>FECHA INICIO</t>
  </si>
  <si>
    <t>CHINCHA</t>
  </si>
  <si>
    <t>350 MENSUAL - 20KG</t>
  </si>
  <si>
    <t>FECHA PAGO</t>
  </si>
  <si>
    <t>MONTO</t>
  </si>
  <si>
    <t>MES DEL SERVICIO</t>
  </si>
  <si>
    <t>FECHA DE SERVICIO</t>
  </si>
  <si>
    <t>DESCRIPCIÓN</t>
  </si>
  <si>
    <t>FORMA DE PAGO</t>
  </si>
  <si>
    <t>N° SERVICIO</t>
  </si>
  <si>
    <t>N° FACTURA</t>
  </si>
  <si>
    <t xml:space="preserve">N° CONTRATO </t>
  </si>
  <si>
    <t>N° MANIFIESTO</t>
  </si>
  <si>
    <t>Columna3</t>
  </si>
  <si>
    <t>OBSERVACIÓN</t>
  </si>
  <si>
    <t>Columna2</t>
  </si>
  <si>
    <t>Columna22</t>
  </si>
  <si>
    <t>Columna23</t>
  </si>
  <si>
    <t>SEPTIEMBRE</t>
  </si>
  <si>
    <t>GESTION DE RR.SS</t>
  </si>
  <si>
    <t>TRANSFERENCIA</t>
  </si>
  <si>
    <t>001665</t>
  </si>
  <si>
    <t>CANCELADO</t>
  </si>
  <si>
    <t>NOVIEMBRE</t>
  </si>
  <si>
    <t>EFECTIVO</t>
  </si>
  <si>
    <t>001991</t>
  </si>
  <si>
    <t>DICIEMBRE</t>
  </si>
  <si>
    <t>002328</t>
  </si>
  <si>
    <t>ENERO</t>
  </si>
  <si>
    <t>002646</t>
  </si>
  <si>
    <t>FEBRERO</t>
  </si>
  <si>
    <t>0000017</t>
  </si>
  <si>
    <t xml:space="preserve"> </t>
  </si>
  <si>
    <t>002998</t>
  </si>
  <si>
    <t>MARZO</t>
  </si>
  <si>
    <t>00000238</t>
  </si>
  <si>
    <t>003152</t>
  </si>
  <si>
    <t>ABRIL</t>
  </si>
  <si>
    <t>00000542</t>
  </si>
  <si>
    <t>003576</t>
  </si>
  <si>
    <t>MAYO</t>
  </si>
  <si>
    <t>883</t>
  </si>
  <si>
    <t>004061</t>
  </si>
  <si>
    <t>JULIO</t>
  </si>
  <si>
    <t>1603</t>
  </si>
  <si>
    <t>004887</t>
  </si>
  <si>
    <t>AGOSTO</t>
  </si>
  <si>
    <t>5504</t>
  </si>
  <si>
    <t>4886</t>
  </si>
  <si>
    <t>.350</t>
  </si>
  <si>
    <t>OCTUBRE</t>
  </si>
  <si>
    <t>7095</t>
  </si>
  <si>
    <t>cANCELADO</t>
  </si>
  <si>
    <t>JUNIO</t>
  </si>
  <si>
    <t>30/09/22</t>
  </si>
  <si>
    <t>31/10/22</t>
  </si>
  <si>
    <t>28/10/22</t>
  </si>
  <si>
    <t>29/11/22</t>
  </si>
  <si>
    <t>28/12/22</t>
  </si>
  <si>
    <t>30/01/23</t>
  </si>
  <si>
    <t>30/1/23</t>
  </si>
  <si>
    <t>28/02/23</t>
  </si>
  <si>
    <t>28/2/23</t>
  </si>
  <si>
    <t>29/03/23</t>
  </si>
  <si>
    <t>29/3/23</t>
  </si>
  <si>
    <t>28/04/23</t>
  </si>
  <si>
    <t>31/5/23</t>
  </si>
  <si>
    <t xml:space="preserve"> NUEVO CONTRATO</t>
  </si>
  <si>
    <t>YAPE</t>
  </si>
  <si>
    <t>BCP</t>
  </si>
  <si>
    <t>cancelado</t>
  </si>
  <si>
    <t>30..01.25</t>
  </si>
  <si>
    <t>NUEVO CONTRATO</t>
  </si>
  <si>
    <t>S/ 394.10</t>
  </si>
  <si>
    <t>CORPORACIÓN MÉDICA D´ NORA S.A.C</t>
  </si>
  <si>
    <t>0000004AI</t>
  </si>
  <si>
    <t>000079</t>
  </si>
  <si>
    <t>000134</t>
  </si>
  <si>
    <t>000189</t>
  </si>
  <si>
    <t>000281</t>
  </si>
  <si>
    <t>000359</t>
  </si>
  <si>
    <t>000559</t>
  </si>
  <si>
    <t>000568</t>
  </si>
  <si>
    <t>000717</t>
  </si>
  <si>
    <t>31/07/20202</t>
  </si>
  <si>
    <t>000930</t>
  </si>
  <si>
    <t>001152</t>
  </si>
  <si>
    <t>001363</t>
  </si>
  <si>
    <t>SERVICIOS MEDICOS ESPECIALIZADO CERVANTES E.I.R.L.</t>
  </si>
  <si>
    <t>nombre comercial</t>
  </si>
  <si>
    <t>CAL.PR. LIMA NRO. 800 URB. JULIO ARBOLEDA ICA - CHINCHA - CHINCHA ALTA</t>
  </si>
  <si>
    <t xml:space="preserve">250 MENSUAL 100kg </t>
  </si>
  <si>
    <t>carmenpatclin@hotmail.com</t>
  </si>
  <si>
    <t>Neyva_1087@hotmail.com</t>
  </si>
  <si>
    <t xml:space="preserve">pagan a fin de mes </t>
  </si>
  <si>
    <t>Columna1</t>
  </si>
  <si>
    <t>000713</t>
  </si>
  <si>
    <t>com 41 priale</t>
  </si>
  <si>
    <t>000815</t>
  </si>
  <si>
    <t>000925</t>
  </si>
  <si>
    <t xml:space="preserve">CANCELADO  </t>
  </si>
  <si>
    <t>001005</t>
  </si>
  <si>
    <t>001143</t>
  </si>
  <si>
    <t>001364</t>
  </si>
  <si>
    <t>001517</t>
  </si>
  <si>
    <t>001666</t>
  </si>
  <si>
    <t>001816</t>
  </si>
  <si>
    <t>001962</t>
  </si>
  <si>
    <t>002142</t>
  </si>
  <si>
    <t>002324</t>
  </si>
  <si>
    <t>002450</t>
  </si>
  <si>
    <t>002643</t>
  </si>
  <si>
    <t>0000016</t>
  </si>
  <si>
    <t>002798</t>
  </si>
  <si>
    <t>002995</t>
  </si>
  <si>
    <t>00000236</t>
  </si>
  <si>
    <t>003155</t>
  </si>
  <si>
    <t>00000539</t>
  </si>
  <si>
    <t>003341</t>
  </si>
  <si>
    <t>0003574</t>
  </si>
  <si>
    <t>882</t>
  </si>
  <si>
    <t>003769</t>
  </si>
  <si>
    <t>004062</t>
  </si>
  <si>
    <t>1602</t>
  </si>
  <si>
    <t>004388</t>
  </si>
  <si>
    <t>1601</t>
  </si>
  <si>
    <t>004888</t>
  </si>
  <si>
    <t>5518</t>
  </si>
  <si>
    <t>2804</t>
  </si>
  <si>
    <t>5856</t>
  </si>
  <si>
    <t>6354</t>
  </si>
  <si>
    <t>3076</t>
  </si>
  <si>
    <t>7092</t>
  </si>
  <si>
    <t>7093</t>
  </si>
  <si>
    <t>3986</t>
  </si>
  <si>
    <t>7447</t>
  </si>
  <si>
    <t>7873</t>
  </si>
  <si>
    <t>4259</t>
  </si>
  <si>
    <t>8679</t>
  </si>
  <si>
    <t xml:space="preserve"> 28/03/22</t>
  </si>
  <si>
    <t>4887</t>
  </si>
  <si>
    <t>9906</t>
  </si>
  <si>
    <t>6171</t>
  </si>
  <si>
    <t>010694</t>
  </si>
  <si>
    <t>11182</t>
  </si>
  <si>
    <t>7182</t>
  </si>
  <si>
    <t>12872</t>
  </si>
  <si>
    <t>6858</t>
  </si>
  <si>
    <t>12873</t>
  </si>
  <si>
    <t>8556</t>
  </si>
  <si>
    <t>13697</t>
  </si>
  <si>
    <t>13992</t>
  </si>
  <si>
    <t>8557</t>
  </si>
  <si>
    <t>14405</t>
  </si>
  <si>
    <t>8613</t>
  </si>
  <si>
    <t>14830</t>
  </si>
  <si>
    <t>9823</t>
  </si>
  <si>
    <t>15733</t>
  </si>
  <si>
    <t>9821</t>
  </si>
  <si>
    <t>15434</t>
  </si>
  <si>
    <t>10367</t>
  </si>
  <si>
    <t>16271</t>
  </si>
  <si>
    <t>16769</t>
  </si>
  <si>
    <t>19/10/22</t>
  </si>
  <si>
    <t>11184</t>
  </si>
  <si>
    <t>17750</t>
  </si>
  <si>
    <t>bcp</t>
  </si>
  <si>
    <t>17694</t>
  </si>
  <si>
    <t>14/10/22</t>
  </si>
  <si>
    <t>11368</t>
  </si>
  <si>
    <t>18238</t>
  </si>
  <si>
    <t>11664</t>
  </si>
  <si>
    <t>18229</t>
  </si>
  <si>
    <t>15/11/22</t>
  </si>
  <si>
    <t>12063</t>
  </si>
  <si>
    <t>19096</t>
  </si>
  <si>
    <t>25/11/22</t>
  </si>
  <si>
    <t>12330</t>
  </si>
  <si>
    <t>19455</t>
  </si>
  <si>
    <t>23/02/23</t>
  </si>
  <si>
    <t>13130</t>
  </si>
  <si>
    <t>20439</t>
  </si>
  <si>
    <t>15/12/22</t>
  </si>
  <si>
    <t>20104</t>
  </si>
  <si>
    <t>14/03/23</t>
  </si>
  <si>
    <t>31/1/23</t>
  </si>
  <si>
    <t>14717</t>
  </si>
  <si>
    <t>21273</t>
  </si>
  <si>
    <t>BBVA</t>
  </si>
  <si>
    <t>17/2/23</t>
  </si>
  <si>
    <t>14718</t>
  </si>
  <si>
    <t>21816</t>
  </si>
  <si>
    <t>14/3/23</t>
  </si>
  <si>
    <t>15/3/23</t>
  </si>
  <si>
    <t>16/04/23</t>
  </si>
  <si>
    <t>16/5/23</t>
  </si>
  <si>
    <t>se pago a priale</t>
  </si>
  <si>
    <t xml:space="preserve">	18685</t>
  </si>
  <si>
    <t xml:space="preserve">	19416</t>
  </si>
  <si>
    <t>27.12.24</t>
  </si>
  <si>
    <t>30..01-25</t>
  </si>
  <si>
    <t>268.90</t>
  </si>
  <si>
    <t>276.25</t>
  </si>
  <si>
    <t>159.35 favor FEBRERO - CANCELADO BCP</t>
  </si>
  <si>
    <t>CANCELADO 116.90</t>
  </si>
  <si>
    <t>272.05</t>
  </si>
  <si>
    <t>279.75</t>
  </si>
  <si>
    <t>270.30</t>
  </si>
  <si>
    <t>15.8</t>
  </si>
  <si>
    <t>295.50</t>
  </si>
  <si>
    <t>288.50</t>
  </si>
  <si>
    <t>S/ 373.55</t>
  </si>
  <si>
    <t>S/ 374.25</t>
  </si>
  <si>
    <t>S/ 273.10</t>
  </si>
  <si>
    <t>S/ 297.25</t>
  </si>
  <si>
    <t xml:space="preserve">SILVA ROJAS MARIO ALBERTO </t>
  </si>
  <si>
    <t xml:space="preserve">Centro urologico san Martín de Porres </t>
  </si>
  <si>
    <t>dejo de funcionar</t>
  </si>
  <si>
    <t>Johanadesantos@gmail.com</t>
  </si>
  <si>
    <t xml:space="preserve">165.00 soles mensual </t>
  </si>
  <si>
    <t>CAÑETE</t>
  </si>
  <si>
    <t>001175</t>
  </si>
  <si>
    <t>CANCELO</t>
  </si>
  <si>
    <t>001153</t>
  </si>
  <si>
    <t>001578</t>
  </si>
  <si>
    <t>002287</t>
  </si>
  <si>
    <t>002615</t>
  </si>
  <si>
    <t>000000015</t>
  </si>
  <si>
    <t>002966</t>
  </si>
  <si>
    <t>1040</t>
  </si>
  <si>
    <t>004033</t>
  </si>
  <si>
    <t>004034</t>
  </si>
  <si>
    <t>1311</t>
  </si>
  <si>
    <t>004373</t>
  </si>
  <si>
    <t>2776</t>
  </si>
  <si>
    <t>6270</t>
  </si>
  <si>
    <t>3710</t>
  </si>
  <si>
    <t>7448</t>
  </si>
  <si>
    <t>30/04/23</t>
  </si>
  <si>
    <t>25 kg</t>
  </si>
  <si>
    <t xml:space="preserve">	18693</t>
  </si>
  <si>
    <t xml:space="preserve">	19413</t>
  </si>
  <si>
    <t>MARIBEL MATOS CHAUPIN</t>
  </si>
  <si>
    <t xml:space="preserve">NOMBRE COMERCIL </t>
  </si>
  <si>
    <t>CENTRO MEDICO LABLUM@AR</t>
  </si>
  <si>
    <t>lablumar-17@hotmail.com</t>
  </si>
  <si>
    <t>belman_14_82@hotmail.com</t>
  </si>
  <si>
    <t>165 soles bimensual 10KG</t>
  </si>
  <si>
    <t>N° GUIA</t>
  </si>
  <si>
    <t>000665</t>
  </si>
  <si>
    <t>001154</t>
  </si>
  <si>
    <t>001176</t>
  </si>
  <si>
    <t>001299</t>
  </si>
  <si>
    <t>001579</t>
  </si>
  <si>
    <t>001923</t>
  </si>
  <si>
    <t>002289</t>
  </si>
  <si>
    <t>002614</t>
  </si>
  <si>
    <t>0000018</t>
  </si>
  <si>
    <t>002967</t>
  </si>
  <si>
    <t>00000250</t>
  </si>
  <si>
    <t>003161</t>
  </si>
  <si>
    <t>1312</t>
  </si>
  <si>
    <t>004374</t>
  </si>
  <si>
    <t>2777</t>
  </si>
  <si>
    <t>6271</t>
  </si>
  <si>
    <t>5084</t>
  </si>
  <si>
    <t>yape</t>
  </si>
  <si>
    <t>22/11/22</t>
  </si>
  <si>
    <t>30/3/23</t>
  </si>
  <si>
    <t>CANCELADO/YAPE</t>
  </si>
  <si>
    <t>30.01.25</t>
  </si>
  <si>
    <t>8.5</t>
  </si>
  <si>
    <t xml:space="preserve">SERVICIOS MEDICOS INTEGRALES FAMISALUD </t>
  </si>
  <si>
    <t xml:space="preserve">FAMISALUD </t>
  </si>
  <si>
    <t>secretaria.chincha@famisalud.com.pe</t>
  </si>
  <si>
    <t>admision1.chincha@famisalud.com.pe</t>
  </si>
  <si>
    <t xml:space="preserve"> adminpisco@famisalud.com.pe
            crivas@famisalud.com.pe
            ocupacional.chincha@famisalud.com.pe</t>
  </si>
  <si>
    <t>250 soles mensua 150 kilos</t>
  </si>
  <si>
    <t>28 DE JULIO 397- CHINCHA</t>
  </si>
  <si>
    <t>kilos</t>
  </si>
  <si>
    <t>001146</t>
  </si>
  <si>
    <t>001367</t>
  </si>
  <si>
    <t>001667</t>
  </si>
  <si>
    <t>001958</t>
  </si>
  <si>
    <t>002644</t>
  </si>
  <si>
    <t>002996</t>
  </si>
  <si>
    <t>00000224</t>
  </si>
  <si>
    <t>003154</t>
  </si>
  <si>
    <t>00000520</t>
  </si>
  <si>
    <t>003575</t>
  </si>
  <si>
    <t>794</t>
  </si>
  <si>
    <t>004063</t>
  </si>
  <si>
    <t>1574</t>
  </si>
  <si>
    <t>004890</t>
  </si>
  <si>
    <t>1940</t>
  </si>
  <si>
    <t>5506</t>
  </si>
  <si>
    <t>2694</t>
  </si>
  <si>
    <t>6356</t>
  </si>
  <si>
    <t>PERTENECCE A FEBRERO</t>
  </si>
  <si>
    <t xml:space="preserve">FALTA ENTREGAR COPIA VERDE </t>
  </si>
  <si>
    <t>30/12/23</t>
  </si>
  <si>
    <t>31/01/23</t>
  </si>
  <si>
    <t>15-03-23</t>
  </si>
  <si>
    <t>29/05/23</t>
  </si>
  <si>
    <t>GESTION DE RR.SS ESPECIALES</t>
  </si>
  <si>
    <t xml:space="preserve">GESTION DE </t>
  </si>
  <si>
    <t>72.3</t>
  </si>
  <si>
    <t>FAMISALUD</t>
  </si>
  <si>
    <t>CONTABILIDAD.CHINCHA@FAMISALUD.COM.PE</t>
  </si>
  <si>
    <t>SEDE CALLE AYACUCHO 270 - PISCO</t>
  </si>
  <si>
    <t xml:space="preserve">CONTABILIDAD.CHINCHA@FAMISALUD.COM.PE , </t>
  </si>
  <si>
    <t>250 soles mensua 150 kilos  ( RECOGE EN CHINCHA )</t>
  </si>
  <si>
    <t>PISCO</t>
  </si>
  <si>
    <t>001145</t>
  </si>
  <si>
    <t xml:space="preserve">CANCELADO </t>
  </si>
  <si>
    <t>001366</t>
  </si>
  <si>
    <t>001669</t>
  </si>
  <si>
    <t>001959</t>
  </si>
  <si>
    <t>002645</t>
  </si>
  <si>
    <t>002997</t>
  </si>
  <si>
    <t>003157</t>
  </si>
  <si>
    <t>003577</t>
  </si>
  <si>
    <t>004064</t>
  </si>
  <si>
    <t>004889</t>
  </si>
  <si>
    <t xml:space="preserve">5507 </t>
  </si>
  <si>
    <t xml:space="preserve">cANCELADO </t>
  </si>
  <si>
    <t>PERTENECE A FEBRERO</t>
  </si>
  <si>
    <t>30/12/22</t>
  </si>
  <si>
    <t>15/03/23</t>
  </si>
  <si>
    <t xml:space="preserve">  </t>
  </si>
  <si>
    <r>
      <t>C</t>
    </r>
    <r>
      <rPr>
        <sz val="11"/>
        <color rgb="FF000000"/>
        <rFont val="Calibri"/>
        <scheme val="minor"/>
      </rPr>
      <t xml:space="preserve">ANCELADO </t>
    </r>
  </si>
  <si>
    <t>18-08*25</t>
  </si>
  <si>
    <t xml:space="preserve">CENTRO NEFROUROLOGICO DEL SUR S.A.C </t>
  </si>
  <si>
    <t>sedeica.grupvald2015@gmail.com</t>
  </si>
  <si>
    <t>3.50 SOLES INCLUIDO IGV X KILO</t>
  </si>
  <si>
    <t>6 MESES DE VIGENCIA</t>
  </si>
  <si>
    <t xml:space="preserve">INTERDIARIO- martes. Jueves y sabados </t>
  </si>
  <si>
    <t>ICA</t>
  </si>
  <si>
    <t>KILOS</t>
  </si>
  <si>
    <t>N° guia transporte</t>
  </si>
  <si>
    <t>001359</t>
  </si>
  <si>
    <t>001501</t>
  </si>
  <si>
    <t>001400</t>
  </si>
  <si>
    <t>001502</t>
  </si>
  <si>
    <t>001401</t>
  </si>
  <si>
    <t>001503</t>
  </si>
  <si>
    <t>001345</t>
  </si>
  <si>
    <t>001504</t>
  </si>
  <si>
    <t>001298</t>
  </si>
  <si>
    <t>001505</t>
  </si>
  <si>
    <t>001346</t>
  </si>
  <si>
    <t>001506</t>
  </si>
  <si>
    <t>001388</t>
  </si>
  <si>
    <t>001507</t>
  </si>
  <si>
    <t>001407</t>
  </si>
  <si>
    <t>001508</t>
  </si>
  <si>
    <t>001411</t>
  </si>
  <si>
    <t>001509</t>
  </si>
  <si>
    <t>001409</t>
  </si>
  <si>
    <t>001510</t>
  </si>
  <si>
    <t>001410</t>
  </si>
  <si>
    <t>001511</t>
  </si>
  <si>
    <t>001408</t>
  </si>
  <si>
    <t>001512</t>
  </si>
  <si>
    <t>001751</t>
  </si>
  <si>
    <t>total kilos octubre</t>
  </si>
  <si>
    <t>S/ 5,063.59</t>
  </si>
  <si>
    <t>001752</t>
  </si>
  <si>
    <t>001753</t>
  </si>
  <si>
    <t>001754</t>
  </si>
  <si>
    <t>001755</t>
  </si>
  <si>
    <t xml:space="preserve"> 001755</t>
  </si>
  <si>
    <t>001756</t>
  </si>
  <si>
    <t>001757</t>
  </si>
  <si>
    <t>001758</t>
  </si>
  <si>
    <t>001759</t>
  </si>
  <si>
    <t>001760</t>
  </si>
  <si>
    <t>001761</t>
  </si>
  <si>
    <t>001762</t>
  </si>
  <si>
    <t>01762</t>
  </si>
  <si>
    <t>001763</t>
  </si>
  <si>
    <t xml:space="preserve">total kilos NOVIEMBRE </t>
  </si>
  <si>
    <t>S/4,177.25</t>
  </si>
  <si>
    <t>002199</t>
  </si>
  <si>
    <t>002246</t>
  </si>
  <si>
    <t>002200</t>
  </si>
  <si>
    <t>002245</t>
  </si>
  <si>
    <t>002201</t>
  </si>
  <si>
    <t>002244</t>
  </si>
  <si>
    <t>002202</t>
  </si>
  <si>
    <t>002243</t>
  </si>
  <si>
    <t>02203</t>
  </si>
  <si>
    <t>002242</t>
  </si>
  <si>
    <t>002204</t>
  </si>
  <si>
    <t>002241</t>
  </si>
  <si>
    <t>002205</t>
  </si>
  <si>
    <t>002240</t>
  </si>
  <si>
    <t>002206</t>
  </si>
  <si>
    <t>002239</t>
  </si>
  <si>
    <t>002207</t>
  </si>
  <si>
    <t>002238</t>
  </si>
  <si>
    <t>002208</t>
  </si>
  <si>
    <t>002237</t>
  </si>
  <si>
    <t>002209</t>
  </si>
  <si>
    <t>02236</t>
  </si>
  <si>
    <t>02210</t>
  </si>
  <si>
    <t>02235</t>
  </si>
  <si>
    <t>002211</t>
  </si>
  <si>
    <t>002234</t>
  </si>
  <si>
    <t>002212</t>
  </si>
  <si>
    <t>002233</t>
  </si>
  <si>
    <t>total kilos DICIEMBRE</t>
  </si>
  <si>
    <t>4,350.15</t>
  </si>
  <si>
    <t>002505</t>
  </si>
  <si>
    <t>002481</t>
  </si>
  <si>
    <t>002512</t>
  </si>
  <si>
    <t>002473</t>
  </si>
  <si>
    <t>002506</t>
  </si>
  <si>
    <t>002480</t>
  </si>
  <si>
    <t>002507</t>
  </si>
  <si>
    <t>002479</t>
  </si>
  <si>
    <t>002509</t>
  </si>
  <si>
    <t>002477</t>
  </si>
  <si>
    <t>002510</t>
  </si>
  <si>
    <t>002476</t>
  </si>
  <si>
    <t>002511</t>
  </si>
  <si>
    <t>002475</t>
  </si>
  <si>
    <t>002513</t>
  </si>
  <si>
    <t>002472</t>
  </si>
  <si>
    <t>002514</t>
  </si>
  <si>
    <t>002471</t>
  </si>
  <si>
    <t>002515</t>
  </si>
  <si>
    <t>002470</t>
  </si>
  <si>
    <t>002516</t>
  </si>
  <si>
    <t>002469</t>
  </si>
  <si>
    <t>002517</t>
  </si>
  <si>
    <t>002468</t>
  </si>
  <si>
    <t>002680</t>
  </si>
  <si>
    <t xml:space="preserve">total kilos enero </t>
  </si>
  <si>
    <t>s/ 4,214.00</t>
  </si>
  <si>
    <t>00000028</t>
  </si>
  <si>
    <t>002755</t>
  </si>
  <si>
    <t>002768</t>
  </si>
  <si>
    <t>002754</t>
  </si>
  <si>
    <t>002760</t>
  </si>
  <si>
    <t>002753</t>
  </si>
  <si>
    <t>002761</t>
  </si>
  <si>
    <t>002752</t>
  </si>
  <si>
    <t>002762</t>
  </si>
  <si>
    <t>002751</t>
  </si>
  <si>
    <t>002763</t>
  </si>
  <si>
    <t>002750</t>
  </si>
  <si>
    <t>002764</t>
  </si>
  <si>
    <t>002749</t>
  </si>
  <si>
    <t>002767</t>
  </si>
  <si>
    <t>002748</t>
  </si>
  <si>
    <t>002766</t>
  </si>
  <si>
    <t>002747</t>
  </si>
  <si>
    <t>002765</t>
  </si>
  <si>
    <t>002746</t>
  </si>
  <si>
    <t>002757</t>
  </si>
  <si>
    <t>002745</t>
  </si>
  <si>
    <t>002758</t>
  </si>
  <si>
    <t>002744</t>
  </si>
  <si>
    <t>002759</t>
  </si>
  <si>
    <t>total kilos febrero</t>
  </si>
  <si>
    <t>00000297</t>
  </si>
  <si>
    <t>003012</t>
  </si>
  <si>
    <t>003030</t>
  </si>
  <si>
    <t>003013</t>
  </si>
  <si>
    <t>003031</t>
  </si>
  <si>
    <t>003011</t>
  </si>
  <si>
    <t>003033</t>
  </si>
  <si>
    <t>003009</t>
  </si>
  <si>
    <t>003034</t>
  </si>
  <si>
    <t>003008</t>
  </si>
  <si>
    <t>003035</t>
  </si>
  <si>
    <t>003007</t>
  </si>
  <si>
    <t>003037</t>
  </si>
  <si>
    <t>003006</t>
  </si>
  <si>
    <t>0003038</t>
  </si>
  <si>
    <t>003004</t>
  </si>
  <si>
    <t>003039</t>
  </si>
  <si>
    <t>003002</t>
  </si>
  <si>
    <t>003054</t>
  </si>
  <si>
    <t>003001</t>
  </si>
  <si>
    <t>003055</t>
  </si>
  <si>
    <t>003000</t>
  </si>
  <si>
    <t>003056</t>
  </si>
  <si>
    <t>003028</t>
  </si>
  <si>
    <t>003065</t>
  </si>
  <si>
    <t>003513</t>
  </si>
  <si>
    <t>003311</t>
  </si>
  <si>
    <t>total = s/ 4,736.55</t>
  </si>
  <si>
    <t>1353.3 kg</t>
  </si>
  <si>
    <t>s/ 4,736.55</t>
  </si>
  <si>
    <t>00000587</t>
  </si>
  <si>
    <t>003825</t>
  </si>
  <si>
    <t>003627</t>
  </si>
  <si>
    <t>003813</t>
  </si>
  <si>
    <t>003625</t>
  </si>
  <si>
    <t>003824</t>
  </si>
  <si>
    <t>003626</t>
  </si>
  <si>
    <t>003823</t>
  </si>
  <si>
    <t>003628</t>
  </si>
  <si>
    <t>003822</t>
  </si>
  <si>
    <t>003629</t>
  </si>
  <si>
    <t>003821</t>
  </si>
  <si>
    <t>003630</t>
  </si>
  <si>
    <t>003820</t>
  </si>
  <si>
    <t>003632</t>
  </si>
  <si>
    <t>003819</t>
  </si>
  <si>
    <t>003633</t>
  </si>
  <si>
    <t>003818</t>
  </si>
  <si>
    <t>003634</t>
  </si>
  <si>
    <t>003817</t>
  </si>
  <si>
    <t>003635</t>
  </si>
  <si>
    <t>003816</t>
  </si>
  <si>
    <t>003636</t>
  </si>
  <si>
    <t>003815</t>
  </si>
  <si>
    <t>003637</t>
  </si>
  <si>
    <t>003814</t>
  </si>
  <si>
    <t>003638</t>
  </si>
  <si>
    <t>TOTAL= S/ 4,478.43</t>
  </si>
  <si>
    <t>004044</t>
  </si>
  <si>
    <t>003609</t>
  </si>
  <si>
    <t>004045</t>
  </si>
  <si>
    <t>003497</t>
  </si>
  <si>
    <t>004046</t>
  </si>
  <si>
    <t>003498</t>
  </si>
  <si>
    <t>004043</t>
  </si>
  <si>
    <t>003499</t>
  </si>
  <si>
    <t>004042</t>
  </si>
  <si>
    <t>003500</t>
  </si>
  <si>
    <t>004041</t>
  </si>
  <si>
    <t>003601</t>
  </si>
  <si>
    <t>004040</t>
  </si>
  <si>
    <t>003602</t>
  </si>
  <si>
    <t>004039</t>
  </si>
  <si>
    <t>003603</t>
  </si>
  <si>
    <t>004038</t>
  </si>
  <si>
    <t>003604</t>
  </si>
  <si>
    <t>004037</t>
  </si>
  <si>
    <t>v b</t>
  </si>
  <si>
    <t>004036</t>
  </si>
  <si>
    <t>003606</t>
  </si>
  <si>
    <t>004035</t>
  </si>
  <si>
    <t>003608</t>
  </si>
  <si>
    <t>004047</t>
  </si>
  <si>
    <t>003607</t>
  </si>
  <si>
    <t>1,220 KG</t>
  </si>
  <si>
    <t>004640</t>
  </si>
  <si>
    <t>004392</t>
  </si>
  <si>
    <t>004641</t>
  </si>
  <si>
    <t>004393</t>
  </si>
  <si>
    <t>004642</t>
  </si>
  <si>
    <t>004394</t>
  </si>
  <si>
    <t>004643</t>
  </si>
  <si>
    <t>004395</t>
  </si>
  <si>
    <t>004644</t>
  </si>
  <si>
    <t>004396</t>
  </si>
  <si>
    <t>004645</t>
  </si>
  <si>
    <t>004397</t>
  </si>
  <si>
    <t>004646</t>
  </si>
  <si>
    <t>004398</t>
  </si>
  <si>
    <t>004647</t>
  </si>
  <si>
    <t>004399</t>
  </si>
  <si>
    <t>004648</t>
  </si>
  <si>
    <t>004400</t>
  </si>
  <si>
    <t>004649</t>
  </si>
  <si>
    <t>004401</t>
  </si>
  <si>
    <t>004650</t>
  </si>
  <si>
    <t>004402</t>
  </si>
  <si>
    <t>004651</t>
  </si>
  <si>
    <t>004403</t>
  </si>
  <si>
    <t>004652</t>
  </si>
  <si>
    <t>004404</t>
  </si>
  <si>
    <t xml:space="preserve">1,405 kg </t>
  </si>
  <si>
    <t>4779</t>
  </si>
  <si>
    <t>4547</t>
  </si>
  <si>
    <t>4780</t>
  </si>
  <si>
    <t>4781</t>
  </si>
  <si>
    <t>4545</t>
  </si>
  <si>
    <t>4782</t>
  </si>
  <si>
    <t>4544</t>
  </si>
  <si>
    <t>4778</t>
  </si>
  <si>
    <t>4548</t>
  </si>
  <si>
    <t>4777</t>
  </si>
  <si>
    <t>4594</t>
  </si>
  <si>
    <t>4776</t>
  </si>
  <si>
    <t>4550</t>
  </si>
  <si>
    <t>4790</t>
  </si>
  <si>
    <t xml:space="preserve"> 4651</t>
  </si>
  <si>
    <t>4789</t>
  </si>
  <si>
    <t>4652</t>
  </si>
  <si>
    <t>4787</t>
  </si>
  <si>
    <t>4653</t>
  </si>
  <si>
    <t>4786</t>
  </si>
  <si>
    <t>4654</t>
  </si>
  <si>
    <t>4785</t>
  </si>
  <si>
    <t>4655</t>
  </si>
  <si>
    <t>4784</t>
  </si>
  <si>
    <t>4656</t>
  </si>
  <si>
    <t>5282</t>
  </si>
  <si>
    <t>4994</t>
  </si>
  <si>
    <t>1391 KG</t>
  </si>
  <si>
    <t>5268</t>
  </si>
  <si>
    <t>4981</t>
  </si>
  <si>
    <t>5269</t>
  </si>
  <si>
    <t>4982</t>
  </si>
  <si>
    <t>5270</t>
  </si>
  <si>
    <t>4983</t>
  </si>
  <si>
    <t>5271</t>
  </si>
  <si>
    <t>4984</t>
  </si>
  <si>
    <t>5272</t>
  </si>
  <si>
    <t>4985</t>
  </si>
  <si>
    <t>5273</t>
  </si>
  <si>
    <t>4986</t>
  </si>
  <si>
    <t>5275</t>
  </si>
  <si>
    <t>4988</t>
  </si>
  <si>
    <t>detraccion</t>
  </si>
  <si>
    <t>ok</t>
  </si>
  <si>
    <t>5276</t>
  </si>
  <si>
    <t>4989</t>
  </si>
  <si>
    <t>5280</t>
  </si>
  <si>
    <t>4992</t>
  </si>
  <si>
    <t>5278</t>
  </si>
  <si>
    <t>4990</t>
  </si>
  <si>
    <t>5279</t>
  </si>
  <si>
    <t>4991</t>
  </si>
  <si>
    <t>5281</t>
  </si>
  <si>
    <t>4993</t>
  </si>
  <si>
    <t>5302</t>
  </si>
  <si>
    <t>5005</t>
  </si>
  <si>
    <t>KG</t>
  </si>
  <si>
    <t>374.5</t>
  </si>
  <si>
    <t>6219</t>
  </si>
  <si>
    <t>5794</t>
  </si>
  <si>
    <t>381.50</t>
  </si>
  <si>
    <t>6227</t>
  </si>
  <si>
    <t>5795</t>
  </si>
  <si>
    <t>S/ 9,754,5</t>
  </si>
  <si>
    <t>6228</t>
  </si>
  <si>
    <t>5796</t>
  </si>
  <si>
    <t>s/8,583,96</t>
  </si>
  <si>
    <t>cuenta bbva</t>
  </si>
  <si>
    <t>395.5</t>
  </si>
  <si>
    <t>6229</t>
  </si>
  <si>
    <t>5797</t>
  </si>
  <si>
    <t>s/1,170,54</t>
  </si>
  <si>
    <t>falta detraccion de agosto y sep</t>
  </si>
  <si>
    <t>381.5</t>
  </si>
  <si>
    <t>6230</t>
  </si>
  <si>
    <t>5798</t>
  </si>
  <si>
    <t>6231</t>
  </si>
  <si>
    <t>5799</t>
  </si>
  <si>
    <t>6232</t>
  </si>
  <si>
    <t>5800</t>
  </si>
  <si>
    <t>6233</t>
  </si>
  <si>
    <t>5801</t>
  </si>
  <si>
    <t>6234</t>
  </si>
  <si>
    <t>5802</t>
  </si>
  <si>
    <t>detracion</t>
  </si>
  <si>
    <t>6235</t>
  </si>
  <si>
    <t>5803</t>
  </si>
  <si>
    <t>367.5</t>
  </si>
  <si>
    <t>6236</t>
  </si>
  <si>
    <t>5804</t>
  </si>
  <si>
    <t>TOTAL: S/ 4,917.5</t>
  </si>
  <si>
    <t>1405 KG</t>
  </si>
  <si>
    <t xml:space="preserve">s/ 554,10 </t>
  </si>
  <si>
    <t>falta detraccion de octubre</t>
  </si>
  <si>
    <t>353.5</t>
  </si>
  <si>
    <t>346.5</t>
  </si>
  <si>
    <t>388.5</t>
  </si>
  <si>
    <t>402.5</t>
  </si>
  <si>
    <t>TOTAL:  4,917.5</t>
  </si>
  <si>
    <t>s/ 620,76</t>
  </si>
  <si>
    <t>falta detraccion de noviembre</t>
  </si>
  <si>
    <t>total: s/ 5,173.00</t>
  </si>
  <si>
    <t>1478 kg</t>
  </si>
  <si>
    <t>s/ 614,04</t>
  </si>
  <si>
    <t>diciembre</t>
  </si>
  <si>
    <t>total :  s/ 5,117.00</t>
  </si>
  <si>
    <t>1,462 kg</t>
  </si>
  <si>
    <t>s/583,8</t>
  </si>
  <si>
    <t>falta detraccion de enero</t>
  </si>
  <si>
    <t>360.5</t>
  </si>
  <si>
    <t>TOTAL: s/ 4,865</t>
  </si>
  <si>
    <t>falta detraccion de efebrero</t>
  </si>
  <si>
    <t>TOtaL: 4,672.5</t>
  </si>
  <si>
    <t xml:space="preserve">1,335 kg </t>
  </si>
  <si>
    <t>s/ 655,62</t>
  </si>
  <si>
    <t>falta detraccion de marzo</t>
  </si>
  <si>
    <t>20/058/22</t>
  </si>
  <si>
    <t>S/ 5,463.5</t>
  </si>
  <si>
    <t>1,561 KG</t>
  </si>
  <si>
    <t>s/595,56</t>
  </si>
  <si>
    <t>falta detraccion de abril</t>
  </si>
  <si>
    <t>s/ 4,963,00</t>
  </si>
  <si>
    <t>kg</t>
  </si>
  <si>
    <t>s/601,44</t>
  </si>
  <si>
    <t>falta detraccion de mayo</t>
  </si>
  <si>
    <t>TOTAL</t>
  </si>
  <si>
    <t xml:space="preserve">KG </t>
  </si>
  <si>
    <t>s/ 604,38</t>
  </si>
  <si>
    <t>falta detraccion de junio</t>
  </si>
  <si>
    <t>S/ 5,036,50</t>
  </si>
  <si>
    <t>1,439 KG</t>
  </si>
  <si>
    <t>9/9/2022 y 28/09/22</t>
  </si>
  <si>
    <t>9673/10605</t>
  </si>
  <si>
    <t>9/9/2022 y 28/09/23</t>
  </si>
  <si>
    <t>9/9/2022 y 28/09/24</t>
  </si>
  <si>
    <t>9/9/2022 y 28/09/25</t>
  </si>
  <si>
    <t xml:space="preserve">detraccion </t>
  </si>
  <si>
    <t>9/9/2022 y 28/09/26</t>
  </si>
  <si>
    <t>9/9/2022 y 28/09/27</t>
  </si>
  <si>
    <t>9/9/2022 y 28/09/28</t>
  </si>
  <si>
    <t>9/9/2022 y 28/09/29</t>
  </si>
  <si>
    <t>9/9/2022 y 28/09/30</t>
  </si>
  <si>
    <t>9/9/2022 y 28/09/31</t>
  </si>
  <si>
    <t>9/9/2022 y 28/09/32</t>
  </si>
  <si>
    <t>2,750,00</t>
  </si>
  <si>
    <t>1,107,28 kg</t>
  </si>
  <si>
    <t>x manifiestos</t>
  </si>
  <si>
    <t>9/9/2022 y 28/09/33</t>
  </si>
  <si>
    <t>1,125,49</t>
  </si>
  <si>
    <t>321,56 kg</t>
  </si>
  <si>
    <t>real</t>
  </si>
  <si>
    <t>9/9/2022 y 28/09/34</t>
  </si>
  <si>
    <t>s/ 5,166,00</t>
  </si>
  <si>
    <t>detraccion falta</t>
  </si>
  <si>
    <t>S/ 5,215.00</t>
  </si>
  <si>
    <t>18/11/22</t>
  </si>
  <si>
    <t>29/10/22</t>
  </si>
  <si>
    <t>27/10/22</t>
  </si>
  <si>
    <t>18/11/2</t>
  </si>
  <si>
    <t>25/10/22</t>
  </si>
  <si>
    <t xml:space="preserve">detraccion falta </t>
  </si>
  <si>
    <t>22/10/22</t>
  </si>
  <si>
    <t>20/10/22</t>
  </si>
  <si>
    <t>18/10/22</t>
  </si>
  <si>
    <t>18/111/22</t>
  </si>
  <si>
    <t>15/10/22</t>
  </si>
  <si>
    <t>13/10/22</t>
  </si>
  <si>
    <t>TOTAL: S/ 4,535.12</t>
  </si>
  <si>
    <t>26/11/22</t>
  </si>
  <si>
    <t>24/11/22</t>
  </si>
  <si>
    <t>19/11/22</t>
  </si>
  <si>
    <t>17/11/22</t>
  </si>
  <si>
    <t>falta de detracion</t>
  </si>
  <si>
    <t>15/122/2</t>
  </si>
  <si>
    <t>total : s/ 4,707.50</t>
  </si>
  <si>
    <t xml:space="preserve">kg </t>
  </si>
  <si>
    <t>26/12/22</t>
  </si>
  <si>
    <t>23/12/22</t>
  </si>
  <si>
    <t>20/12/22</t>
  </si>
  <si>
    <t xml:space="preserve">detraccion  498.88	</t>
  </si>
  <si>
    <t>13/12/22</t>
  </si>
  <si>
    <t>total : s/ 4,157.37</t>
  </si>
  <si>
    <t xml:space="preserve">CLINICA SEÑOR DE LUREN DE ICA S.A.C  </t>
  </si>
  <si>
    <t xml:space="preserve">contrato renovado </t>
  </si>
  <si>
    <t>saludocupacional@clinicaluren.com.pe</t>
  </si>
  <si>
    <t>8.26 SOLES INCLUIDO IGV X KILO</t>
  </si>
  <si>
    <t>2 SERVICIOS A LA SEMANA</t>
  </si>
  <si>
    <t>001765</t>
  </si>
  <si>
    <t>001767</t>
  </si>
  <si>
    <t>001768</t>
  </si>
  <si>
    <t>001769</t>
  </si>
  <si>
    <t>001770</t>
  </si>
  <si>
    <t>001771</t>
  </si>
  <si>
    <t>001772</t>
  </si>
  <si>
    <t>001773</t>
  </si>
  <si>
    <t>002184</t>
  </si>
  <si>
    <t>002165</t>
  </si>
  <si>
    <t>002185</t>
  </si>
  <si>
    <t>002164</t>
  </si>
  <si>
    <t>002186</t>
  </si>
  <si>
    <t>002162</t>
  </si>
  <si>
    <t>002187</t>
  </si>
  <si>
    <t>002161</t>
  </si>
  <si>
    <t>002188</t>
  </si>
  <si>
    <t>002160</t>
  </si>
  <si>
    <t>002189</t>
  </si>
  <si>
    <t>002159</t>
  </si>
  <si>
    <t>002190</t>
  </si>
  <si>
    <t>002158</t>
  </si>
  <si>
    <t>002191</t>
  </si>
  <si>
    <t>002157</t>
  </si>
  <si>
    <t>002192</t>
  </si>
  <si>
    <t>002156</t>
  </si>
  <si>
    <t>002193</t>
  </si>
  <si>
    <t>002154</t>
  </si>
  <si>
    <t>002194</t>
  </si>
  <si>
    <t>002155</t>
  </si>
  <si>
    <t>002497</t>
  </si>
  <si>
    <t>002467</t>
  </si>
  <si>
    <t>002498</t>
  </si>
  <si>
    <t>002466</t>
  </si>
  <si>
    <t>00000011</t>
  </si>
  <si>
    <t>002499</t>
  </si>
  <si>
    <t>002465</t>
  </si>
  <si>
    <t>002501</t>
  </si>
  <si>
    <t>002463</t>
  </si>
  <si>
    <t>002502</t>
  </si>
  <si>
    <t>002461</t>
  </si>
  <si>
    <t>002503</t>
  </si>
  <si>
    <t>002460</t>
  </si>
  <si>
    <t>002504</t>
  </si>
  <si>
    <t>002459</t>
  </si>
  <si>
    <t>002518</t>
  </si>
  <si>
    <t>002482</t>
  </si>
  <si>
    <t>002519</t>
  </si>
  <si>
    <t>002488</t>
  </si>
  <si>
    <t>TOTAL : S/ 3,334.55</t>
  </si>
  <si>
    <t>00000237</t>
  </si>
  <si>
    <t>002769</t>
  </si>
  <si>
    <t>002742</t>
  </si>
  <si>
    <t>002770</t>
  </si>
  <si>
    <t>002740</t>
  </si>
  <si>
    <t>002771</t>
  </si>
  <si>
    <t>002739</t>
  </si>
  <si>
    <t>002772</t>
  </si>
  <si>
    <t>002737</t>
  </si>
  <si>
    <t>002773</t>
  </si>
  <si>
    <t>002738</t>
  </si>
  <si>
    <t>002774</t>
  </si>
  <si>
    <t>TOTAL : S/ 4,601.29</t>
  </si>
  <si>
    <t>00000578</t>
  </si>
  <si>
    <t>002736</t>
  </si>
  <si>
    <t>002775</t>
  </si>
  <si>
    <t>002734</t>
  </si>
  <si>
    <t>002776</t>
  </si>
  <si>
    <t>002731</t>
  </si>
  <si>
    <t>002778</t>
  </si>
  <si>
    <t>002732</t>
  </si>
  <si>
    <t>002779</t>
  </si>
  <si>
    <t>002743</t>
  </si>
  <si>
    <t>002780</t>
  </si>
  <si>
    <t>003042</t>
  </si>
  <si>
    <t>003044</t>
  </si>
  <si>
    <t>003041</t>
  </si>
  <si>
    <t>003045</t>
  </si>
  <si>
    <t>003046</t>
  </si>
  <si>
    <t>TOTAL: S/ 4,507.48</t>
  </si>
  <si>
    <t>003038</t>
  </si>
  <si>
    <t>003047</t>
  </si>
  <si>
    <t>003048</t>
  </si>
  <si>
    <t>003036</t>
  </si>
  <si>
    <t>003049</t>
  </si>
  <si>
    <t>003050</t>
  </si>
  <si>
    <t>003032</t>
  </si>
  <si>
    <t>003052</t>
  </si>
  <si>
    <t>003053</t>
  </si>
  <si>
    <t>003066</t>
  </si>
  <si>
    <t>003029</t>
  </si>
  <si>
    <t>3067</t>
  </si>
  <si>
    <t>25/05/021</t>
  </si>
  <si>
    <t>003832</t>
  </si>
  <si>
    <t>003612</t>
  </si>
  <si>
    <t>003831</t>
  </si>
  <si>
    <t>003613</t>
  </si>
  <si>
    <t xml:space="preserve">635.20 kg </t>
  </si>
  <si>
    <t>003830</t>
  </si>
  <si>
    <t>003614</t>
  </si>
  <si>
    <t>003829</t>
  </si>
  <si>
    <t>003615</t>
  </si>
  <si>
    <t>003828</t>
  </si>
  <si>
    <t>003616</t>
  </si>
  <si>
    <t>003827</t>
  </si>
  <si>
    <t>003617</t>
  </si>
  <si>
    <t>003826</t>
  </si>
  <si>
    <t>003618</t>
  </si>
  <si>
    <t>003838</t>
  </si>
  <si>
    <t>003619</t>
  </si>
  <si>
    <t>003837</t>
  </si>
  <si>
    <t>03620</t>
  </si>
  <si>
    <t>003836</t>
  </si>
  <si>
    <t>003621</t>
  </si>
  <si>
    <t>003835</t>
  </si>
  <si>
    <t>003622</t>
  </si>
  <si>
    <t>003834</t>
  </si>
  <si>
    <t>003623</t>
  </si>
  <si>
    <t>003833</t>
  </si>
  <si>
    <t>003624</t>
  </si>
  <si>
    <t>641.9 KG</t>
  </si>
  <si>
    <t>4639</t>
  </si>
  <si>
    <t>4405</t>
  </si>
  <si>
    <t>4635</t>
  </si>
  <si>
    <t>4406</t>
  </si>
  <si>
    <t>4636</t>
  </si>
  <si>
    <t>4407</t>
  </si>
  <si>
    <t>TOTAL: S/ 5,471.57</t>
  </si>
  <si>
    <t>666.05</t>
  </si>
  <si>
    <t>677.32</t>
  </si>
  <si>
    <t>433.65</t>
  </si>
  <si>
    <t>52.5</t>
  </si>
  <si>
    <t>569.94</t>
  </si>
  <si>
    <t>588.93</t>
  </si>
  <si>
    <t>71.30</t>
  </si>
  <si>
    <t>542.68</t>
  </si>
  <si>
    <t>65.7</t>
  </si>
  <si>
    <t>434.47</t>
  </si>
  <si>
    <t>52.60</t>
  </si>
  <si>
    <t>534.00</t>
  </si>
  <si>
    <t>64.65</t>
  </si>
  <si>
    <t>589.35</t>
  </si>
  <si>
    <t>71.35</t>
  </si>
  <si>
    <t>TOTAL:S/  4,370.34</t>
  </si>
  <si>
    <t>529.10</t>
  </si>
  <si>
    <t>561.68</t>
  </si>
  <si>
    <t>598.85</t>
  </si>
  <si>
    <t>72.50</t>
  </si>
  <si>
    <t>1010.61</t>
  </si>
  <si>
    <t>122.35</t>
  </si>
  <si>
    <t>536.9</t>
  </si>
  <si>
    <t>606.69</t>
  </si>
  <si>
    <t>73.45</t>
  </si>
  <si>
    <t>540.61</t>
  </si>
  <si>
    <t>65.45</t>
  </si>
  <si>
    <t>510.88</t>
  </si>
  <si>
    <t>61.85</t>
  </si>
  <si>
    <t>455.12</t>
  </si>
  <si>
    <t>55.10</t>
  </si>
  <si>
    <t>TOTAL: S/ 4,821.34</t>
  </si>
  <si>
    <t>583.7</t>
  </si>
  <si>
    <t>512.12</t>
  </si>
  <si>
    <t>445.62</t>
  </si>
  <si>
    <t>53.95</t>
  </si>
  <si>
    <t>539.21</t>
  </si>
  <si>
    <t>65.28</t>
  </si>
  <si>
    <t>339.15</t>
  </si>
  <si>
    <t>41.06</t>
  </si>
  <si>
    <t>429.52</t>
  </si>
  <si>
    <t>570.18</t>
  </si>
  <si>
    <t>69.03</t>
  </si>
  <si>
    <t>615.78</t>
  </si>
  <si>
    <t>74.55</t>
  </si>
  <si>
    <t>761.57</t>
  </si>
  <si>
    <t>92.20</t>
  </si>
  <si>
    <t>TOTAL: S/ 4,753.76</t>
  </si>
  <si>
    <t xml:space="preserve">575.52 KG </t>
  </si>
  <si>
    <t>707.46</t>
  </si>
  <si>
    <t>85.65</t>
  </si>
  <si>
    <t>538.96</t>
  </si>
  <si>
    <t>65.25</t>
  </si>
  <si>
    <t>512.28</t>
  </si>
  <si>
    <t>62.02</t>
  </si>
  <si>
    <t>515.42</t>
  </si>
  <si>
    <t>62.40</t>
  </si>
  <si>
    <t>555.07</t>
  </si>
  <si>
    <t>67.20</t>
  </si>
  <si>
    <t>562.17</t>
  </si>
  <si>
    <t>68.06</t>
  </si>
  <si>
    <t>368.06</t>
  </si>
  <si>
    <t>44.56</t>
  </si>
  <si>
    <t>495.6</t>
  </si>
  <si>
    <t>256.06</t>
  </si>
  <si>
    <t>total: S/ 5,006.68</t>
  </si>
  <si>
    <t xml:space="preserve">606.14 kg </t>
  </si>
  <si>
    <t>664.02</t>
  </si>
  <si>
    <t>80.39</t>
  </si>
  <si>
    <t>704.57</t>
  </si>
  <si>
    <t>85.30</t>
  </si>
  <si>
    <t>648.90</t>
  </si>
  <si>
    <t>78.56</t>
  </si>
  <si>
    <t>718.70</t>
  </si>
  <si>
    <t xml:space="preserve"> 11/1/22</t>
  </si>
  <si>
    <t>87.01</t>
  </si>
  <si>
    <t>471.23</t>
  </si>
  <si>
    <t xml:space="preserve"> 07/1/22</t>
  </si>
  <si>
    <t>57.05</t>
  </si>
  <si>
    <t>378.30</t>
  </si>
  <si>
    <t xml:space="preserve"> 04/1/22</t>
  </si>
  <si>
    <t>45.8</t>
  </si>
  <si>
    <t>465.86</t>
  </si>
  <si>
    <t xml:space="preserve"> 14/1/22</t>
  </si>
  <si>
    <t>56.40</t>
  </si>
  <si>
    <t>TOTAL:  S/ 4,051.58</t>
  </si>
  <si>
    <t>490.51 KG</t>
  </si>
  <si>
    <t>622.80</t>
  </si>
  <si>
    <t xml:space="preserve"> 26/2/22</t>
  </si>
  <si>
    <t>75.4</t>
  </si>
  <si>
    <t>554.41</t>
  </si>
  <si>
    <t xml:space="preserve"> 23/2/22</t>
  </si>
  <si>
    <t xml:space="preserve"> 19/2/22</t>
  </si>
  <si>
    <t>474.78</t>
  </si>
  <si>
    <t xml:space="preserve"> 15/2/22</t>
  </si>
  <si>
    <t>770.49</t>
  </si>
  <si>
    <t xml:space="preserve"> 09/2/22</t>
  </si>
  <si>
    <t>618.83</t>
  </si>
  <si>
    <t>610.24</t>
  </si>
  <si>
    <t>655.10</t>
  </si>
  <si>
    <t xml:space="preserve"> 12/2/22</t>
  </si>
  <si>
    <t>TOTAL: 4,789.03</t>
  </si>
  <si>
    <t xml:space="preserve">579.79 KG </t>
  </si>
  <si>
    <t>414.40</t>
  </si>
  <si>
    <t xml:space="preserve"> 01/03/22</t>
  </si>
  <si>
    <t>50.17</t>
  </si>
  <si>
    <t>471.81</t>
  </si>
  <si>
    <t>57.12</t>
  </si>
  <si>
    <t>809.89</t>
  </si>
  <si>
    <t>98.05</t>
  </si>
  <si>
    <t>788.83</t>
  </si>
  <si>
    <t>95.50</t>
  </si>
  <si>
    <t>694.33</t>
  </si>
  <si>
    <t>270.26</t>
  </si>
  <si>
    <t>32.72</t>
  </si>
  <si>
    <t>330.81</t>
  </si>
  <si>
    <t>40.05</t>
  </si>
  <si>
    <t>total: 4,870.43</t>
  </si>
  <si>
    <t>589.64 KG</t>
  </si>
  <si>
    <t>s/ 4,217,06</t>
  </si>
  <si>
    <t>07/096/22</t>
  </si>
  <si>
    <t>S/ 4,618,99</t>
  </si>
  <si>
    <t>S/ 3,989,82</t>
  </si>
  <si>
    <t>S/ 4,009,65</t>
  </si>
  <si>
    <t>s/ 5,120,62</t>
  </si>
  <si>
    <t>S/ 4,301,72</t>
  </si>
  <si>
    <t>30/10/22</t>
  </si>
  <si>
    <t>falta bbv S/ 29.94</t>
  </si>
  <si>
    <t>4.05 detraccion</t>
  </si>
  <si>
    <t>17/10/22</t>
  </si>
  <si>
    <t>S/ 4,334.84</t>
  </si>
  <si>
    <t>CLINICA MEDICA SAN MARTIN</t>
  </si>
  <si>
    <t>vencido</t>
  </si>
  <si>
    <t>RENOVO CONTRATO 01/11/21</t>
  </si>
  <si>
    <t>Clinicasanmartin598@gmail.com</t>
  </si>
  <si>
    <t>7.0 SOLES INCLUIDO IGV X KILO</t>
  </si>
  <si>
    <t>1 SERVICIOS A LA SEMANA</t>
  </si>
  <si>
    <t>001777</t>
  </si>
  <si>
    <t>001778</t>
  </si>
  <si>
    <t>002198</t>
  </si>
  <si>
    <t>002247</t>
  </si>
  <si>
    <t>002493</t>
  </si>
  <si>
    <t>002455</t>
  </si>
  <si>
    <t>0000031</t>
  </si>
  <si>
    <t>002495</t>
  </si>
  <si>
    <t>887</t>
  </si>
  <si>
    <t>002197</t>
  </si>
  <si>
    <t>002249</t>
  </si>
  <si>
    <t>1889</t>
  </si>
  <si>
    <t>2494</t>
  </si>
  <si>
    <t>2457</t>
  </si>
  <si>
    <t>358.4</t>
  </si>
  <si>
    <t>51.20</t>
  </si>
  <si>
    <t>2669</t>
  </si>
  <si>
    <t>3026</t>
  </si>
  <si>
    <t>3040</t>
  </si>
  <si>
    <t>3258</t>
  </si>
  <si>
    <t>3041</t>
  </si>
  <si>
    <t>3407</t>
  </si>
  <si>
    <t>4600</t>
  </si>
  <si>
    <t>2196</t>
  </si>
  <si>
    <t>2250</t>
  </si>
  <si>
    <t>274.75</t>
  </si>
  <si>
    <t>39.25</t>
  </si>
  <si>
    <t>4601</t>
  </si>
  <si>
    <t>3022</t>
  </si>
  <si>
    <t>3043</t>
  </si>
  <si>
    <t>S/ 1,224,16</t>
  </si>
  <si>
    <t>7909</t>
  </si>
  <si>
    <t>13902</t>
  </si>
  <si>
    <t>S/ 229,6</t>
  </si>
  <si>
    <t>7264</t>
  </si>
  <si>
    <t xml:space="preserve"> S/ 290,5</t>
  </si>
  <si>
    <t>8687</t>
  </si>
  <si>
    <t>14639</t>
  </si>
  <si>
    <t>SERVICIOS MÉDICOS Y AFINES EDDELYNA EIRL</t>
  </si>
  <si>
    <t xml:space="preserve">no renovo </t>
  </si>
  <si>
    <t>donayree@gmail.com</t>
  </si>
  <si>
    <t>250 SOLES MENSUAL</t>
  </si>
  <si>
    <t>+</t>
  </si>
  <si>
    <t>5452</t>
  </si>
  <si>
    <t>2666</t>
  </si>
  <si>
    <t>6254</t>
  </si>
  <si>
    <t>7177</t>
  </si>
  <si>
    <t>8226</t>
  </si>
  <si>
    <t>9091</t>
  </si>
  <si>
    <t>010308</t>
  </si>
  <si>
    <t>12160</t>
  </si>
  <si>
    <t>13089</t>
  </si>
  <si>
    <t>14138</t>
  </si>
  <si>
    <t>16166</t>
  </si>
  <si>
    <t>PERTENECE A JULIO</t>
  </si>
  <si>
    <t>17143</t>
  </si>
  <si>
    <t>ICAMEDIC S.A.C.</t>
  </si>
  <si>
    <t>ICAMEDIC</t>
  </si>
  <si>
    <t>FINALIZO CONTRATO NO RENOVO</t>
  </si>
  <si>
    <t>gerencia@icamedic.com</t>
  </si>
  <si>
    <t>icamedic.sac@gmail.com</t>
  </si>
  <si>
    <t>200 SOLES MENSUAL</t>
  </si>
  <si>
    <t>5303</t>
  </si>
  <si>
    <t>4979</t>
  </si>
  <si>
    <t>2659</t>
  </si>
  <si>
    <t>7178</t>
  </si>
  <si>
    <t>8227</t>
  </si>
  <si>
    <t>9092</t>
  </si>
  <si>
    <t>14139</t>
  </si>
  <si>
    <t>14879</t>
  </si>
  <si>
    <t>16476</t>
  </si>
  <si>
    <t xml:space="preserve">Clínica Aguirre EIRL </t>
  </si>
  <si>
    <t>aguirre</t>
  </si>
  <si>
    <t>VENCIDO NO RENOVO</t>
  </si>
  <si>
    <t>5464</t>
  </si>
  <si>
    <t>2667</t>
  </si>
  <si>
    <t>6253</t>
  </si>
  <si>
    <t>7179</t>
  </si>
  <si>
    <t>8228</t>
  </si>
  <si>
    <t>9093</t>
  </si>
  <si>
    <t>10362</t>
  </si>
  <si>
    <t>11364</t>
  </si>
  <si>
    <t>ESTANCIA SANTA FE SAC</t>
  </si>
  <si>
    <t>ORDEN DE RECOJO</t>
  </si>
  <si>
    <t>011435</t>
  </si>
  <si>
    <t>MANIFIESTIO BLANCO</t>
  </si>
  <si>
    <t xml:space="preserve">cancelado </t>
  </si>
  <si>
    <t>452</t>
  </si>
  <si>
    <t>CENTRO DIGESTIVO FERREL SAC</t>
  </si>
  <si>
    <t>cristina_princess1@hotmail.com</t>
  </si>
  <si>
    <t>S/ 236 POR 7 KG  - S/7.00 EXC</t>
  </si>
  <si>
    <t xml:space="preserve">ICA </t>
  </si>
  <si>
    <t>N CONTRATO</t>
  </si>
  <si>
    <t xml:space="preserve">6 kg </t>
  </si>
  <si>
    <t>00000310</t>
  </si>
  <si>
    <t>3840</t>
  </si>
  <si>
    <t>7 kg</t>
  </si>
  <si>
    <t>880</t>
  </si>
  <si>
    <t>3841</t>
  </si>
  <si>
    <t>9 kg</t>
  </si>
  <si>
    <t>3839</t>
  </si>
  <si>
    <t>1302</t>
  </si>
  <si>
    <t>4384</t>
  </si>
  <si>
    <t>1664</t>
  </si>
  <si>
    <t>5235</t>
  </si>
  <si>
    <t>4894</t>
  </si>
  <si>
    <t>2506</t>
  </si>
  <si>
    <t>5445</t>
  </si>
  <si>
    <t>2904</t>
  </si>
  <si>
    <t>7183</t>
  </si>
  <si>
    <t>6792</t>
  </si>
  <si>
    <t>3211</t>
  </si>
  <si>
    <t>7174</t>
  </si>
  <si>
    <t>6863</t>
  </si>
  <si>
    <t>29/11/201</t>
  </si>
  <si>
    <t>4058</t>
  </si>
  <si>
    <t>8223</t>
  </si>
  <si>
    <t>7925</t>
  </si>
  <si>
    <t>4401</t>
  </si>
  <si>
    <t>9088</t>
  </si>
  <si>
    <t>8618</t>
  </si>
  <si>
    <t>5086</t>
  </si>
  <si>
    <t>10292</t>
  </si>
  <si>
    <t>10001</t>
  </si>
  <si>
    <t>11348</t>
  </si>
  <si>
    <t>10997</t>
  </si>
  <si>
    <t>12161</t>
  </si>
  <si>
    <t>11931</t>
  </si>
  <si>
    <t>marzo</t>
  </si>
  <si>
    <t>13091</t>
  </si>
  <si>
    <t>12852</t>
  </si>
  <si>
    <t>abril</t>
  </si>
  <si>
    <t>13905</t>
  </si>
  <si>
    <t>myo</t>
  </si>
  <si>
    <t>14880</t>
  </si>
  <si>
    <t>14642</t>
  </si>
  <si>
    <t>15833</t>
  </si>
  <si>
    <t>17145</t>
  </si>
  <si>
    <t>16735</t>
  </si>
  <si>
    <t>18073</t>
  </si>
  <si>
    <t>19072</t>
  </si>
  <si>
    <t>18588</t>
  </si>
  <si>
    <t>octubre</t>
  </si>
  <si>
    <t>14/2/23</t>
  </si>
  <si>
    <t>21609</t>
  </si>
  <si>
    <t>13/3/23</t>
  </si>
  <si>
    <t xml:space="preserve">	15194</t>
  </si>
  <si>
    <t>22620</t>
  </si>
  <si>
    <t>17/4/23</t>
  </si>
  <si>
    <t>20714</t>
  </si>
  <si>
    <t>22/05/23</t>
  </si>
  <si>
    <t>22/5/23</t>
  </si>
  <si>
    <t>27231</t>
  </si>
  <si>
    <t>24594</t>
  </si>
  <si>
    <t>28275</t>
  </si>
  <si>
    <t>25658</t>
  </si>
  <si>
    <t>29177</t>
  </si>
  <si>
    <t>26587</t>
  </si>
  <si>
    <t xml:space="preserve">	18670</t>
  </si>
  <si>
    <t>30087</t>
  </si>
  <si>
    <t>27929</t>
  </si>
  <si>
    <t xml:space="preserve">	19406</t>
  </si>
  <si>
    <t>31019</t>
  </si>
  <si>
    <t>28889</t>
  </si>
  <si>
    <t>31889</t>
  </si>
  <si>
    <t>29742</t>
  </si>
  <si>
    <t>260.5</t>
  </si>
  <si>
    <t xml:space="preserve">20845	</t>
  </si>
  <si>
    <t>32793</t>
  </si>
  <si>
    <t>30673</t>
  </si>
  <si>
    <t>279.7</t>
  </si>
  <si>
    <t>33679</t>
  </si>
  <si>
    <t>31506</t>
  </si>
  <si>
    <t>253.5</t>
  </si>
  <si>
    <t>34552</t>
  </si>
  <si>
    <t>32497</t>
  </si>
  <si>
    <t>266.8</t>
  </si>
  <si>
    <t>35469</t>
  </si>
  <si>
    <t>33385</t>
  </si>
  <si>
    <t>36431</t>
  </si>
  <si>
    <t>34232</t>
  </si>
  <si>
    <t>37351</t>
  </si>
  <si>
    <t>35349</t>
  </si>
  <si>
    <t>38289</t>
  </si>
  <si>
    <t>36253</t>
  </si>
  <si>
    <t>39218</t>
  </si>
  <si>
    <t>37170</t>
  </si>
  <si>
    <t>40280</t>
  </si>
  <si>
    <t>38141</t>
  </si>
  <si>
    <t>39186</t>
  </si>
  <si>
    <t>41328</t>
  </si>
  <si>
    <t>42385</t>
  </si>
  <si>
    <t>40232</t>
  </si>
  <si>
    <t>41284</t>
  </si>
  <si>
    <t>43467</t>
  </si>
  <si>
    <t>42250</t>
  </si>
  <si>
    <t>44294</t>
  </si>
  <si>
    <t>30.12.24</t>
  </si>
  <si>
    <t>43225</t>
  </si>
  <si>
    <t>45419</t>
  </si>
  <si>
    <t>44428</t>
  </si>
  <si>
    <t>45434</t>
  </si>
  <si>
    <t>46550</t>
  </si>
  <si>
    <t>47633</t>
  </si>
  <si>
    <t>50025</t>
  </si>
  <si>
    <t>50026</t>
  </si>
  <si>
    <t>50027</t>
  </si>
  <si>
    <t>CANCELADO + YAPE EXCEDENTE</t>
  </si>
  <si>
    <t>51302</t>
  </si>
  <si>
    <t>52131</t>
  </si>
  <si>
    <t>CANCELADO - DEBE EXCEDENTE S/8.40</t>
  </si>
  <si>
    <t>53332</t>
  </si>
  <si>
    <t>54430</t>
  </si>
  <si>
    <t>55648</t>
  </si>
  <si>
    <t>56470</t>
  </si>
  <si>
    <t>17.4</t>
  </si>
  <si>
    <t>S/ 285.00</t>
  </si>
  <si>
    <t>58391</t>
  </si>
  <si>
    <t>S/ 264.00</t>
  </si>
  <si>
    <t>Centro de Diagnostico Bioquim Laboratorio SCRL</t>
  </si>
  <si>
    <t>RENOVO</t>
  </si>
  <si>
    <t>rosapblgo@hotmail.com</t>
  </si>
  <si>
    <t>90 mensual 10KG</t>
  </si>
  <si>
    <t xml:space="preserve">PAULA QUISPE </t>
  </si>
  <si>
    <t>1310</t>
  </si>
  <si>
    <t>004659</t>
  </si>
  <si>
    <t>004419</t>
  </si>
  <si>
    <t>004657</t>
  </si>
  <si>
    <t>004420</t>
  </si>
  <si>
    <t>004655</t>
  </si>
  <si>
    <t>004421</t>
  </si>
  <si>
    <t>2660</t>
  </si>
  <si>
    <t>5465</t>
  </si>
  <si>
    <t>2668</t>
  </si>
  <si>
    <t>6255</t>
  </si>
  <si>
    <t>5857</t>
  </si>
  <si>
    <t>31/09/21</t>
  </si>
  <si>
    <t>2802</t>
  </si>
  <si>
    <t>6322</t>
  </si>
  <si>
    <t>3405</t>
  </si>
  <si>
    <t>7180</t>
  </si>
  <si>
    <t>6873</t>
  </si>
  <si>
    <t>4059</t>
  </si>
  <si>
    <t>8229</t>
  </si>
  <si>
    <t>7931</t>
  </si>
  <si>
    <t>4555</t>
  </si>
  <si>
    <t>9094</t>
  </si>
  <si>
    <t>8624</t>
  </si>
  <si>
    <t>5370</t>
  </si>
  <si>
    <t>10361</t>
  </si>
  <si>
    <t>10069</t>
  </si>
  <si>
    <t>6383</t>
  </si>
  <si>
    <t>11347</t>
  </si>
  <si>
    <t>10996</t>
  </si>
  <si>
    <t>11933</t>
  </si>
  <si>
    <t>13111</t>
  </si>
  <si>
    <t>12870</t>
  </si>
  <si>
    <t>14158</t>
  </si>
  <si>
    <t>13923</t>
  </si>
  <si>
    <t>14889</t>
  </si>
  <si>
    <t>14649</t>
  </si>
  <si>
    <t>16475</t>
  </si>
  <si>
    <t>15831</t>
  </si>
  <si>
    <t>17148</t>
  </si>
  <si>
    <t>16738</t>
  </si>
  <si>
    <t>18076</t>
  </si>
  <si>
    <t>septiembre</t>
  </si>
  <si>
    <t>18592</t>
  </si>
  <si>
    <t xml:space="preserve">OCTUBRE </t>
  </si>
  <si>
    <t>23/02/232</t>
  </si>
  <si>
    <t>19630</t>
  </si>
  <si>
    <t>16/2/23</t>
  </si>
  <si>
    <t>22183</t>
  </si>
  <si>
    <t>21621</t>
  </si>
  <si>
    <t>23/05/23</t>
  </si>
  <si>
    <t>23219</t>
  </si>
  <si>
    <t>22622</t>
  </si>
  <si>
    <t>17/04/23</t>
  </si>
  <si>
    <t>20698</t>
  </si>
  <si>
    <t>27232</t>
  </si>
  <si>
    <t>24595</t>
  </si>
  <si>
    <t>25659</t>
  </si>
  <si>
    <t>29178</t>
  </si>
  <si>
    <t>26588</t>
  </si>
  <si>
    <t xml:space="preserve">	18671</t>
  </si>
  <si>
    <t>30088</t>
  </si>
  <si>
    <t>27930</t>
  </si>
  <si>
    <t>28888</t>
  </si>
  <si>
    <t>29741</t>
  </si>
  <si>
    <t>31888</t>
  </si>
  <si>
    <t>30672</t>
  </si>
  <si>
    <t>32792</t>
  </si>
  <si>
    <t>31505</t>
  </si>
  <si>
    <t>33678</t>
  </si>
  <si>
    <t>32496</t>
  </si>
  <si>
    <t>34551</t>
  </si>
  <si>
    <t>33384</t>
  </si>
  <si>
    <t>35468</t>
  </si>
  <si>
    <t>34368</t>
  </si>
  <si>
    <t>36432</t>
  </si>
  <si>
    <t>35348</t>
  </si>
  <si>
    <t>37350</t>
  </si>
  <si>
    <t>36252</t>
  </si>
  <si>
    <t>38288</t>
  </si>
  <si>
    <t>37169</t>
  </si>
  <si>
    <t>39217</t>
  </si>
  <si>
    <t>388140</t>
  </si>
  <si>
    <t>40279</t>
  </si>
  <si>
    <t>39185</t>
  </si>
  <si>
    <t>41327</t>
  </si>
  <si>
    <t>40231</t>
  </si>
  <si>
    <t>42384</t>
  </si>
  <si>
    <t>41283</t>
  </si>
  <si>
    <t>43466</t>
  </si>
  <si>
    <t>42249</t>
  </si>
  <si>
    <t>44293</t>
  </si>
  <si>
    <t>43224</t>
  </si>
  <si>
    <t>45418</t>
  </si>
  <si>
    <t>44427</t>
  </si>
  <si>
    <t>45433</t>
  </si>
  <si>
    <t>46549</t>
  </si>
  <si>
    <t>47632</t>
  </si>
  <si>
    <t>50022</t>
  </si>
  <si>
    <t>50023</t>
  </si>
  <si>
    <t>50024</t>
  </si>
  <si>
    <t>51301</t>
  </si>
  <si>
    <t>52130</t>
  </si>
  <si>
    <t>53331</t>
  </si>
  <si>
    <t>54429</t>
  </si>
  <si>
    <t>27-01-.26</t>
  </si>
  <si>
    <t>55647</t>
  </si>
  <si>
    <t>56469</t>
  </si>
  <si>
    <t>1668</t>
  </si>
  <si>
    <t xml:space="preserve">POLICLINICO ESPECIALIZADO SAN JOSE EIRL </t>
  </si>
  <si>
    <t>sanjosepoliclinico27@gmail.com</t>
  </si>
  <si>
    <t>Josevcmedico@hotmail.com</t>
  </si>
  <si>
    <t>PUSO FECHA DE ENERO PERO EN REALIDAD FUE MARZO</t>
  </si>
  <si>
    <t>RO</t>
  </si>
  <si>
    <t>s/ 200 por 30 kg</t>
  </si>
  <si>
    <t>LIMITE</t>
  </si>
  <si>
    <t>00000311</t>
  </si>
  <si>
    <t>004260</t>
  </si>
  <si>
    <t>004076</t>
  </si>
  <si>
    <t>1301</t>
  </si>
  <si>
    <t>004598</t>
  </si>
  <si>
    <t>004383</t>
  </si>
  <si>
    <t>1860</t>
  </si>
  <si>
    <t>5234</t>
  </si>
  <si>
    <t>4893</t>
  </si>
  <si>
    <t>2508</t>
  </si>
  <si>
    <t>5447</t>
  </si>
  <si>
    <t>2902</t>
  </si>
  <si>
    <t>3728</t>
  </si>
  <si>
    <t>3540</t>
  </si>
  <si>
    <t>4061</t>
  </si>
  <si>
    <t>8222</t>
  </si>
  <si>
    <t>7924</t>
  </si>
  <si>
    <t>4614</t>
  </si>
  <si>
    <t>9087</t>
  </si>
  <si>
    <t>8654</t>
  </si>
  <si>
    <t>5377</t>
  </si>
  <si>
    <t>10307</t>
  </si>
  <si>
    <t>10017</t>
  </si>
  <si>
    <t>5788</t>
  </si>
  <si>
    <t>11349</t>
  </si>
  <si>
    <t>10998</t>
  </si>
  <si>
    <t>6719</t>
  </si>
  <si>
    <t>12162</t>
  </si>
  <si>
    <t>11932</t>
  </si>
  <si>
    <t>13067</t>
  </si>
  <si>
    <t>12827</t>
  </si>
  <si>
    <t>14114</t>
  </si>
  <si>
    <t>13876</t>
  </si>
  <si>
    <t>14864</t>
  </si>
  <si>
    <t>14624</t>
  </si>
  <si>
    <t>10471</t>
  </si>
  <si>
    <t>15824</t>
  </si>
  <si>
    <t>16726</t>
  </si>
  <si>
    <t>agosto</t>
  </si>
  <si>
    <t>17941</t>
  </si>
  <si>
    <t>14/12/22</t>
  </si>
  <si>
    <t>19063</t>
  </si>
  <si>
    <t>18579</t>
  </si>
  <si>
    <t>16/12/22</t>
  </si>
  <si>
    <t>19620</t>
  </si>
  <si>
    <t>18/01/23</t>
  </si>
  <si>
    <t>22167</t>
  </si>
  <si>
    <t>21625</t>
  </si>
  <si>
    <t>23208</t>
  </si>
  <si>
    <t>22613</t>
  </si>
  <si>
    <t>20687</t>
  </si>
  <si>
    <t>27221</t>
  </si>
  <si>
    <t>24586</t>
  </si>
  <si>
    <t>mayo</t>
  </si>
  <si>
    <t>25652</t>
  </si>
  <si>
    <t>junio</t>
  </si>
  <si>
    <t>29169</t>
  </si>
  <si>
    <t>26579</t>
  </si>
  <si>
    <t>julio</t>
  </si>
  <si>
    <t xml:space="preserve">	18665</t>
  </si>
  <si>
    <t>30081</t>
  </si>
  <si>
    <t>27923</t>
  </si>
  <si>
    <t xml:space="preserve">	19408</t>
  </si>
  <si>
    <t>31023</t>
  </si>
  <si>
    <t>28893</t>
  </si>
  <si>
    <t>31894</t>
  </si>
  <si>
    <t>29747</t>
  </si>
  <si>
    <t>32797</t>
  </si>
  <si>
    <t>30679</t>
  </si>
  <si>
    <t>noviembre</t>
  </si>
  <si>
    <t>33688</t>
  </si>
  <si>
    <t>31511</t>
  </si>
  <si>
    <t>34557</t>
  </si>
  <si>
    <t>32502</t>
  </si>
  <si>
    <t>33390</t>
  </si>
  <si>
    <t>35474</t>
  </si>
  <si>
    <t>34237</t>
  </si>
  <si>
    <t>36285</t>
  </si>
  <si>
    <t>35353</t>
  </si>
  <si>
    <t>37356</t>
  </si>
  <si>
    <t>38294</t>
  </si>
  <si>
    <t>36258</t>
  </si>
  <si>
    <t>39223</t>
  </si>
  <si>
    <t>37175</t>
  </si>
  <si>
    <t>38145</t>
  </si>
  <si>
    <t>40284</t>
  </si>
  <si>
    <t>39206</t>
  </si>
  <si>
    <t>41333</t>
  </si>
  <si>
    <t>40237</t>
  </si>
  <si>
    <t>42390</t>
  </si>
  <si>
    <t>41289</t>
  </si>
  <si>
    <t>43472</t>
  </si>
  <si>
    <t>44298</t>
  </si>
  <si>
    <t>42255</t>
  </si>
  <si>
    <t>45425</t>
  </si>
  <si>
    <t>43230</t>
  </si>
  <si>
    <t>30.01.24</t>
  </si>
  <si>
    <t>44433</t>
  </si>
  <si>
    <t>45439</t>
  </si>
  <si>
    <t>31-'03-25</t>
  </si>
  <si>
    <t>46555</t>
  </si>
  <si>
    <t>47640</t>
  </si>
  <si>
    <t>50039</t>
  </si>
  <si>
    <t>50040</t>
  </si>
  <si>
    <t>50041</t>
  </si>
  <si>
    <t>51307</t>
  </si>
  <si>
    <t>52136</t>
  </si>
  <si>
    <t>53337</t>
  </si>
  <si>
    <t>54435</t>
  </si>
  <si>
    <t>55703</t>
  </si>
  <si>
    <t>56475</t>
  </si>
  <si>
    <t>58395</t>
  </si>
  <si>
    <t>59573</t>
  </si>
  <si>
    <t>60986</t>
  </si>
  <si>
    <t>DOLLY CARDENAS MARTINEZ</t>
  </si>
  <si>
    <t>Laboratorio clínico señor de huanca</t>
  </si>
  <si>
    <t>b_161092vica@hotmail.com</t>
  </si>
  <si>
    <t>118 mensual</t>
  </si>
  <si>
    <t xml:space="preserve">10 K10G </t>
  </si>
  <si>
    <t>1292</t>
  </si>
  <si>
    <t>004745</t>
  </si>
  <si>
    <t>004504</t>
  </si>
  <si>
    <t>29/9/21</t>
  </si>
  <si>
    <t>2695</t>
  </si>
  <si>
    <t xml:space="preserve">REGULARIZAR MANIFIESTO </t>
  </si>
  <si>
    <t>5082</t>
  </si>
  <si>
    <t xml:space="preserve">10129 </t>
  </si>
  <si>
    <t>7197</t>
  </si>
  <si>
    <t>10130</t>
  </si>
  <si>
    <t>13069</t>
  </si>
  <si>
    <t xml:space="preserve">	10874</t>
  </si>
  <si>
    <t>17245</t>
  </si>
  <si>
    <t>14750</t>
  </si>
  <si>
    <t>23282</t>
  </si>
  <si>
    <t>CONTRATO NUEVO</t>
  </si>
  <si>
    <t>15867</t>
  </si>
  <si>
    <t>23500</t>
  </si>
  <si>
    <t>16578</t>
  </si>
  <si>
    <t>24897</t>
  </si>
  <si>
    <t>17149</t>
  </si>
  <si>
    <t>25650</t>
  </si>
  <si>
    <t>17974</t>
  </si>
  <si>
    <t>26635</t>
  </si>
  <si>
    <t xml:space="preserve">	18664</t>
  </si>
  <si>
    <t>27950</t>
  </si>
  <si>
    <t>28904</t>
  </si>
  <si>
    <t>29757</t>
  </si>
  <si>
    <t>31871</t>
  </si>
  <si>
    <t>30-10-23</t>
  </si>
  <si>
    <t>118</t>
  </si>
  <si>
    <t>30/11/23</t>
  </si>
  <si>
    <t>20</t>
  </si>
  <si>
    <t>20858</t>
  </si>
  <si>
    <t>30686</t>
  </si>
  <si>
    <t>32813</t>
  </si>
  <si>
    <t>31522</t>
  </si>
  <si>
    <t>33675</t>
  </si>
  <si>
    <t>32483</t>
  </si>
  <si>
    <t>34573</t>
  </si>
  <si>
    <t>33381</t>
  </si>
  <si>
    <t>35459</t>
  </si>
  <si>
    <t>34356</t>
  </si>
  <si>
    <t>36305</t>
  </si>
  <si>
    <t>35373</t>
  </si>
  <si>
    <t>37392</t>
  </si>
  <si>
    <t>36274</t>
  </si>
  <si>
    <t>38285</t>
  </si>
  <si>
    <t>37187</t>
  </si>
  <si>
    <t>38980</t>
  </si>
  <si>
    <t>38160</t>
  </si>
  <si>
    <t>40313</t>
  </si>
  <si>
    <t>41358</t>
  </si>
  <si>
    <t>40221</t>
  </si>
  <si>
    <t>42413</t>
  </si>
  <si>
    <t>43211</t>
  </si>
  <si>
    <t>45453</t>
  </si>
  <si>
    <t>45459</t>
  </si>
  <si>
    <t>46583</t>
  </si>
  <si>
    <t>228</t>
  </si>
  <si>
    <t>NAPURI REJAS FERNANDO ISIDORO</t>
  </si>
  <si>
    <t>LABORATORIOS Y CONSULTORIOS FERNIMEDIC</t>
  </si>
  <si>
    <t>PABLO RIOS GRIMALDI</t>
  </si>
  <si>
    <t xml:space="preserve">chincha </t>
  </si>
  <si>
    <t>consultoriosfernimedic@gmail.com</t>
  </si>
  <si>
    <t xml:space="preserve">dejar manifiesto más no realizar servicio </t>
  </si>
  <si>
    <t>N DE SERVICIO</t>
  </si>
  <si>
    <t>com s/ 18.00</t>
  </si>
  <si>
    <t>com s/ 18.01</t>
  </si>
  <si>
    <t>com s/ 18.02</t>
  </si>
  <si>
    <t>1428</t>
  </si>
  <si>
    <t>5815</t>
  </si>
  <si>
    <t>5508</t>
  </si>
  <si>
    <t>com 18</t>
  </si>
  <si>
    <t>2504</t>
  </si>
  <si>
    <t>6667</t>
  </si>
  <si>
    <t>6362</t>
  </si>
  <si>
    <t>3413</t>
  </si>
  <si>
    <t>7384</t>
  </si>
  <si>
    <t>7098</t>
  </si>
  <si>
    <t>3990</t>
  </si>
  <si>
    <t>8176</t>
  </si>
  <si>
    <t>7879</t>
  </si>
  <si>
    <t>4495</t>
  </si>
  <si>
    <t>9449</t>
  </si>
  <si>
    <t>8685</t>
  </si>
  <si>
    <t>4870</t>
  </si>
  <si>
    <t>10206</t>
  </si>
  <si>
    <t>9913</t>
  </si>
  <si>
    <t>5497</t>
  </si>
  <si>
    <t>5529</t>
  </si>
  <si>
    <t>6457</t>
  </si>
  <si>
    <t>11362</t>
  </si>
  <si>
    <t>11181</t>
  </si>
  <si>
    <t>7186</t>
  </si>
  <si>
    <t>12202</t>
  </si>
  <si>
    <t>12005</t>
  </si>
  <si>
    <t xml:space="preserve">POR PAGAR </t>
  </si>
  <si>
    <t>CONDONAR</t>
  </si>
  <si>
    <t>13117</t>
  </si>
  <si>
    <t>12877</t>
  </si>
  <si>
    <t>8635</t>
  </si>
  <si>
    <t>14165</t>
  </si>
  <si>
    <t>13996</t>
  </si>
  <si>
    <t>15679</t>
  </si>
  <si>
    <t>15737</t>
  </si>
  <si>
    <t>16773</t>
  </si>
  <si>
    <t>18126</t>
  </si>
  <si>
    <t>17698</t>
  </si>
  <si>
    <t>18718</t>
  </si>
  <si>
    <t>18234</t>
  </si>
  <si>
    <t>30/11/22</t>
  </si>
  <si>
    <t>19459</t>
  </si>
  <si>
    <t>20899</t>
  </si>
  <si>
    <t>20443</t>
  </si>
  <si>
    <t>21761</t>
  </si>
  <si>
    <t>21279</t>
  </si>
  <si>
    <t>enero</t>
  </si>
  <si>
    <t>21803</t>
  </si>
  <si>
    <t>31/03/23</t>
  </si>
  <si>
    <t>22993</t>
  </si>
  <si>
    <t>23427</t>
  </si>
  <si>
    <t>31/05/23</t>
  </si>
  <si>
    <t>24941</t>
  </si>
  <si>
    <t>25645</t>
  </si>
  <si>
    <t>26627</t>
  </si>
  <si>
    <t xml:space="preserve">	18690</t>
  </si>
  <si>
    <t>27943</t>
  </si>
  <si>
    <t>28909</t>
  </si>
  <si>
    <t>29762</t>
  </si>
  <si>
    <t>31862</t>
  </si>
  <si>
    <t>30693</t>
  </si>
  <si>
    <t>32807</t>
  </si>
  <si>
    <t>31528</t>
  </si>
  <si>
    <t>33667</t>
  </si>
  <si>
    <t>32492</t>
  </si>
  <si>
    <t>34567</t>
  </si>
  <si>
    <t>33373</t>
  </si>
  <si>
    <t>35464</t>
  </si>
  <si>
    <t>34361</t>
  </si>
  <si>
    <t>36298</t>
  </si>
  <si>
    <t>35364</t>
  </si>
  <si>
    <t>37341</t>
  </si>
  <si>
    <t>36268</t>
  </si>
  <si>
    <t>38280</t>
  </si>
  <si>
    <t>37192</t>
  </si>
  <si>
    <t>38986</t>
  </si>
  <si>
    <t>38169</t>
  </si>
  <si>
    <t>40307</t>
  </si>
  <si>
    <t>39209</t>
  </si>
  <si>
    <t>41351</t>
  </si>
  <si>
    <t>40226</t>
  </si>
  <si>
    <t>42407</t>
  </si>
  <si>
    <t>41307</t>
  </si>
  <si>
    <t>43461</t>
  </si>
  <si>
    <t>03.02.25</t>
  </si>
  <si>
    <t>42243</t>
  </si>
  <si>
    <t>44286</t>
  </si>
  <si>
    <t>43216</t>
  </si>
  <si>
    <t>45444</t>
  </si>
  <si>
    <t>44420</t>
  </si>
  <si>
    <t>45466</t>
  </si>
  <si>
    <t>46574</t>
  </si>
  <si>
    <t>47623</t>
  </si>
  <si>
    <t>49987</t>
  </si>
  <si>
    <t>50000</t>
  </si>
  <si>
    <t>50001</t>
  </si>
  <si>
    <t>51333</t>
  </si>
  <si>
    <t>52118</t>
  </si>
  <si>
    <t>53319</t>
  </si>
  <si>
    <t>54611</t>
  </si>
  <si>
    <t>55636</t>
  </si>
  <si>
    <t>56454</t>
  </si>
  <si>
    <t>58368</t>
  </si>
  <si>
    <t>SARAVIA HUAMAN LUIS ALBERTO</t>
  </si>
  <si>
    <t>clinica dental bucal center</t>
  </si>
  <si>
    <t>cd.lsaravia@outlook.es</t>
  </si>
  <si>
    <t>ruc</t>
  </si>
  <si>
    <t>S/ 65.00 MENSUAL 10kg</t>
  </si>
  <si>
    <t>Columna12</t>
  </si>
  <si>
    <t>000128</t>
  </si>
  <si>
    <t>001397</t>
  </si>
  <si>
    <t>001644</t>
  </si>
  <si>
    <t>001944</t>
  </si>
  <si>
    <t>002672</t>
  </si>
  <si>
    <t>0000025</t>
  </si>
  <si>
    <t>002991</t>
  </si>
  <si>
    <t>1309</t>
  </si>
  <si>
    <t>004075</t>
  </si>
  <si>
    <t xml:space="preserve">NAN </t>
  </si>
  <si>
    <t>004382</t>
  </si>
  <si>
    <t>1866</t>
  </si>
  <si>
    <t>4892</t>
  </si>
  <si>
    <t>5446</t>
  </si>
  <si>
    <t>2799</t>
  </si>
  <si>
    <t>2316</t>
  </si>
  <si>
    <t>3402</t>
  </si>
  <si>
    <t>6862</t>
  </si>
  <si>
    <t>4060</t>
  </si>
  <si>
    <t>7923</t>
  </si>
  <si>
    <t xml:space="preserve">8617 maniffiesto- (9086)guia </t>
  </si>
  <si>
    <t>el manifiesto vino sin la copia rosada (buscar con la guia )</t>
  </si>
  <si>
    <t>17/12/22</t>
  </si>
  <si>
    <t>plin</t>
  </si>
  <si>
    <t xml:space="preserve">	18666</t>
  </si>
  <si>
    <t>CANCELADO - FALTA S/15</t>
  </si>
  <si>
    <t>Giancarlo Ruiz Berrocal</t>
  </si>
  <si>
    <t xml:space="preserve">S/ 118.00 MENSUAL </t>
  </si>
  <si>
    <t>000162</t>
  </si>
  <si>
    <t>002290</t>
  </si>
  <si>
    <t>002613</t>
  </si>
  <si>
    <t>HOSPITAL SAN JUAN DE DIOS</t>
  </si>
  <si>
    <t>5730</t>
  </si>
  <si>
    <t>5466</t>
  </si>
  <si>
    <t>9914</t>
  </si>
  <si>
    <t xml:space="preserve">Daysi Yvett Diaz Sanchez </t>
  </si>
  <si>
    <t>Odonto Master</t>
  </si>
  <si>
    <t>dayzidiaz88@gmail.com</t>
  </si>
  <si>
    <t>70 MENSUAL</t>
  </si>
  <si>
    <t>004530</t>
  </si>
  <si>
    <t>4895</t>
  </si>
  <si>
    <t>5449</t>
  </si>
  <si>
    <t>6325</t>
  </si>
  <si>
    <t>6867</t>
  </si>
  <si>
    <t>7926</t>
  </si>
  <si>
    <t>8619</t>
  </si>
  <si>
    <t>10002</t>
  </si>
  <si>
    <t>10991</t>
  </si>
  <si>
    <t>11935</t>
  </si>
  <si>
    <t>12829</t>
  </si>
  <si>
    <t xml:space="preserve">13879 </t>
  </si>
  <si>
    <t>CANCELADO / yape</t>
  </si>
  <si>
    <t xml:space="preserve">	18667</t>
  </si>
  <si>
    <t>CANCELADO /plin</t>
  </si>
  <si>
    <t>1.1</t>
  </si>
  <si>
    <t>Cristopher Schwarz</t>
  </si>
  <si>
    <t>NOMBRE COMERCIAL</t>
  </si>
  <si>
    <t>VET. VET HOUSE</t>
  </si>
  <si>
    <t>vet.schwarz@gmail.com/ vet.house.ica@gmail.com</t>
  </si>
  <si>
    <t>FECHA INCIO</t>
  </si>
  <si>
    <t>000117</t>
  </si>
  <si>
    <t>001134</t>
  </si>
  <si>
    <t>001389</t>
  </si>
  <si>
    <t>001638</t>
  </si>
  <si>
    <t>001947</t>
  </si>
  <si>
    <t xml:space="preserve">CANCELADO SERV MAS CONT </t>
  </si>
  <si>
    <t>002320</t>
  </si>
  <si>
    <t>002665</t>
  </si>
  <si>
    <t xml:space="preserve">CULIMADO </t>
  </si>
  <si>
    <t>DEPOSITO</t>
  </si>
  <si>
    <t>0000001</t>
  </si>
  <si>
    <t>000035</t>
  </si>
  <si>
    <t>SE EMITIO BOLETA</t>
  </si>
  <si>
    <t>000041</t>
  </si>
  <si>
    <t>000077</t>
  </si>
  <si>
    <t>000178</t>
  </si>
  <si>
    <t>000270</t>
  </si>
  <si>
    <t>000348</t>
  </si>
  <si>
    <t>000565</t>
  </si>
  <si>
    <t>000499</t>
  </si>
  <si>
    <t>000692</t>
  </si>
  <si>
    <t>000918</t>
  </si>
  <si>
    <t xml:space="preserve">N° CONTENEDOR </t>
  </si>
  <si>
    <t>FACTURA</t>
  </si>
  <si>
    <t>OBSERVACION</t>
  </si>
  <si>
    <t>CONTENEDOR ADICIONAL</t>
  </si>
  <si>
    <t>Cecilia Renteria</t>
  </si>
  <si>
    <t>VET. VET HOUSE PUEBLO JOVEN SEÑOR DE LUREN</t>
  </si>
  <si>
    <t>000118</t>
  </si>
  <si>
    <t>001135</t>
  </si>
  <si>
    <t>001390</t>
  </si>
  <si>
    <t>001639</t>
  </si>
  <si>
    <t>001948</t>
  </si>
  <si>
    <t>002319</t>
  </si>
  <si>
    <t>002666</t>
  </si>
  <si>
    <t>0000002</t>
  </si>
  <si>
    <t>000036</t>
  </si>
  <si>
    <t>EMITIO BOLETA</t>
  </si>
  <si>
    <t>000042</t>
  </si>
  <si>
    <t>000071</t>
  </si>
  <si>
    <t>000129</t>
  </si>
  <si>
    <t>000179</t>
  </si>
  <si>
    <t>000271</t>
  </si>
  <si>
    <t>000349</t>
  </si>
  <si>
    <t>000693</t>
  </si>
  <si>
    <t>000919</t>
  </si>
  <si>
    <t>Osmar Ramos</t>
  </si>
  <si>
    <t>COLITAS FELICES</t>
  </si>
  <si>
    <t>PJ CONFRATERNIDAD MZ B LT 2 ICA</t>
  </si>
  <si>
    <t xml:space="preserve">culmino contrato </t>
  </si>
  <si>
    <t>OSMARVET25@GMAIL.COM</t>
  </si>
  <si>
    <t>0000003</t>
  </si>
  <si>
    <t>000039</t>
  </si>
  <si>
    <t>000044</t>
  </si>
  <si>
    <t>000135</t>
  </si>
  <si>
    <t>000180</t>
  </si>
  <si>
    <t>000272</t>
  </si>
  <si>
    <t>000350</t>
  </si>
  <si>
    <t>000426</t>
  </si>
  <si>
    <t>000570</t>
  </si>
  <si>
    <t>POR PREGUNTAR ANGE</t>
  </si>
  <si>
    <t>000922</t>
  </si>
  <si>
    <t>Erick Arquiñego</t>
  </si>
  <si>
    <t>Vet. Vet house Gudalupe</t>
  </si>
  <si>
    <t>vet.schwarz@gmail.com/ vet.house.ica@gmail.com/erisair16@gmail.com</t>
  </si>
  <si>
    <t>001136</t>
  </si>
  <si>
    <t>001391</t>
  </si>
  <si>
    <t>001640</t>
  </si>
  <si>
    <t>001949</t>
  </si>
  <si>
    <t>002321</t>
  </si>
  <si>
    <t>0026667</t>
  </si>
  <si>
    <t>4760</t>
  </si>
  <si>
    <t>POR PAGAR</t>
  </si>
  <si>
    <t>0000005</t>
  </si>
  <si>
    <t>000037</t>
  </si>
  <si>
    <t>000045</t>
  </si>
  <si>
    <t>000072</t>
  </si>
  <si>
    <t>000131</t>
  </si>
  <si>
    <t>000182</t>
  </si>
  <si>
    <t>000275</t>
  </si>
  <si>
    <t>000352</t>
  </si>
  <si>
    <t>000694</t>
  </si>
  <si>
    <t>000921</t>
  </si>
  <si>
    <t xml:space="preserve">calle Natividad Paco </t>
  </si>
  <si>
    <t>culmino contrato</t>
  </si>
  <si>
    <t>0000004</t>
  </si>
  <si>
    <t>000038</t>
  </si>
  <si>
    <t>000043</t>
  </si>
  <si>
    <t>000078</t>
  </si>
  <si>
    <t>000136</t>
  </si>
  <si>
    <t>000181</t>
  </si>
  <si>
    <t>000273</t>
  </si>
  <si>
    <t>000351</t>
  </si>
  <si>
    <t>000427</t>
  </si>
  <si>
    <t>Animal Center Guerrero S.A.C</t>
  </si>
  <si>
    <t>ANIMAL.CENTER.GUERRERO@GMAIL.COM</t>
  </si>
  <si>
    <t>S/80 BIMENSUAL 10KG</t>
  </si>
  <si>
    <t>001989</t>
  </si>
  <si>
    <t>002668</t>
  </si>
  <si>
    <t>004376</t>
  </si>
  <si>
    <t>4795</t>
  </si>
  <si>
    <t>6327</t>
  </si>
  <si>
    <t>6859</t>
  </si>
  <si>
    <t>8611</t>
  </si>
  <si>
    <t>13062</t>
  </si>
  <si>
    <t>13880</t>
  </si>
  <si>
    <t>18050</t>
  </si>
  <si>
    <t>21/12/22</t>
  </si>
  <si>
    <t>19624</t>
  </si>
  <si>
    <t>27/04/23</t>
  </si>
  <si>
    <t xml:space="preserve">	18673</t>
  </si>
  <si>
    <t>nuevo contrato</t>
  </si>
  <si>
    <t>31.01.25</t>
  </si>
  <si>
    <t>30-05.-25</t>
  </si>
  <si>
    <t>Clinica veterinaria San Martin de Porres E.I.R.L</t>
  </si>
  <si>
    <t>zoivet@hotmail.com</t>
  </si>
  <si>
    <t>94,40 MENSUAL 10KG</t>
  </si>
  <si>
    <t>N° CONTRATO /GUIAS</t>
  </si>
  <si>
    <t>00000022</t>
  </si>
  <si>
    <t>002993</t>
  </si>
  <si>
    <t>1306</t>
  </si>
  <si>
    <t>004070</t>
  </si>
  <si>
    <t>004377</t>
  </si>
  <si>
    <t>2171</t>
  </si>
  <si>
    <t>5441</t>
  </si>
  <si>
    <t>94.40</t>
  </si>
  <si>
    <t>2798</t>
  </si>
  <si>
    <t>2986</t>
  </si>
  <si>
    <t>3403</t>
  </si>
  <si>
    <t>6868</t>
  </si>
  <si>
    <t>4063</t>
  </si>
  <si>
    <t>7918</t>
  </si>
  <si>
    <t>4610</t>
  </si>
  <si>
    <t>8612</t>
  </si>
  <si>
    <t>5376</t>
  </si>
  <si>
    <t>10014</t>
  </si>
  <si>
    <t>5793</t>
  </si>
  <si>
    <t>11003</t>
  </si>
  <si>
    <t>69222</t>
  </si>
  <si>
    <t>11937</t>
  </si>
  <si>
    <t>7332</t>
  </si>
  <si>
    <t>12830</t>
  </si>
  <si>
    <t>7912</t>
  </si>
  <si>
    <t>21/11/22</t>
  </si>
  <si>
    <t>14/11/22</t>
  </si>
  <si>
    <t>SERVICIO OCTUBRE</t>
  </si>
  <si>
    <t>20/06/23</t>
  </si>
  <si>
    <t xml:space="preserve">	18668</t>
  </si>
  <si>
    <t xml:space="preserve">	19411</t>
  </si>
  <si>
    <t>6.3</t>
  </si>
  <si>
    <t>clin Vet San Martin de Porres E.I.R.L</t>
  </si>
  <si>
    <t>CULMINO CONTRATO</t>
  </si>
  <si>
    <t>0000002 IC</t>
  </si>
  <si>
    <t>000133</t>
  </si>
  <si>
    <t>000185</t>
  </si>
  <si>
    <t>30/01/20200</t>
  </si>
  <si>
    <t>000277</t>
  </si>
  <si>
    <t>000354</t>
  </si>
  <si>
    <t>000423</t>
  </si>
  <si>
    <t>000560</t>
  </si>
  <si>
    <t>000689</t>
  </si>
  <si>
    <t>000924</t>
  </si>
  <si>
    <t>001137</t>
  </si>
  <si>
    <t>001392</t>
  </si>
  <si>
    <t>001641</t>
  </si>
  <si>
    <t>CLINICA VETERINARIA PRADO SAC</t>
  </si>
  <si>
    <t>fernandapc17@hotmail.com</t>
  </si>
  <si>
    <t>94.4 MENSUAL 10KG</t>
  </si>
  <si>
    <t>N° CONTRATO / GUIA</t>
  </si>
  <si>
    <t>0000020</t>
  </si>
  <si>
    <t>000235</t>
  </si>
  <si>
    <t>00000240</t>
  </si>
  <si>
    <t>003158</t>
  </si>
  <si>
    <t>00000541</t>
  </si>
  <si>
    <t>003579</t>
  </si>
  <si>
    <t>886</t>
  </si>
  <si>
    <t>004058</t>
  </si>
  <si>
    <t>004385</t>
  </si>
  <si>
    <t>37/07/21</t>
  </si>
  <si>
    <t>1605</t>
  </si>
  <si>
    <t>004883</t>
  </si>
  <si>
    <t>2016</t>
  </si>
  <si>
    <t>5501</t>
  </si>
  <si>
    <t>2807</t>
  </si>
  <si>
    <t>6361</t>
  </si>
  <si>
    <t>3409</t>
  </si>
  <si>
    <t>7097</t>
  </si>
  <si>
    <t>3989</t>
  </si>
  <si>
    <t>7878</t>
  </si>
  <si>
    <t>4532</t>
  </si>
  <si>
    <t>8684</t>
  </si>
  <si>
    <t>9912</t>
  </si>
  <si>
    <t>11180</t>
  </si>
  <si>
    <t>12000</t>
  </si>
  <si>
    <t xml:space="preserve">	18686</t>
  </si>
  <si>
    <t xml:space="preserve">	19417</t>
  </si>
  <si>
    <t>28.12.24</t>
  </si>
  <si>
    <t>3.8</t>
  </si>
  <si>
    <t>Clin vet Prado S.A.C</t>
  </si>
  <si>
    <t>IC 0000003</t>
  </si>
  <si>
    <t>000186</t>
  </si>
  <si>
    <t>000278</t>
  </si>
  <si>
    <t>000360</t>
  </si>
  <si>
    <t>000567</t>
  </si>
  <si>
    <t>000715</t>
  </si>
  <si>
    <t>31/'07/2020</t>
  </si>
  <si>
    <t>000927</t>
  </si>
  <si>
    <t>001147</t>
  </si>
  <si>
    <t>001360</t>
  </si>
  <si>
    <t>001661</t>
  </si>
  <si>
    <t>001952</t>
  </si>
  <si>
    <t>IC 0000004</t>
  </si>
  <si>
    <t>002329</t>
  </si>
  <si>
    <t>002640</t>
  </si>
  <si>
    <t>WF VETERINARIOS SAC</t>
  </si>
  <si>
    <t>Clinica Vet Prado</t>
  </si>
  <si>
    <t>suspender</t>
  </si>
  <si>
    <t>CHINCHA-pueblo nuevo</t>
  </si>
  <si>
    <t>94.40 MENSUAL 10KG</t>
  </si>
  <si>
    <t>0000021</t>
  </si>
  <si>
    <t>000236</t>
  </si>
  <si>
    <t>002999</t>
  </si>
  <si>
    <t>00000241</t>
  </si>
  <si>
    <t>003159</t>
  </si>
  <si>
    <t>00000540</t>
  </si>
  <si>
    <t>003578</t>
  </si>
  <si>
    <t>885</t>
  </si>
  <si>
    <t>004059</t>
  </si>
  <si>
    <t>004386</t>
  </si>
  <si>
    <t>1606</t>
  </si>
  <si>
    <t>004884</t>
  </si>
  <si>
    <t>5502</t>
  </si>
  <si>
    <t>2806</t>
  </si>
  <si>
    <t>6360</t>
  </si>
  <si>
    <t>3410</t>
  </si>
  <si>
    <t>7096</t>
  </si>
  <si>
    <t>3988</t>
  </si>
  <si>
    <t>7877</t>
  </si>
  <si>
    <t>4531</t>
  </si>
  <si>
    <t>8683</t>
  </si>
  <si>
    <t>4888</t>
  </si>
  <si>
    <t>9910</t>
  </si>
  <si>
    <t>30/047/22</t>
  </si>
  <si>
    <t xml:space="preserve">	18687</t>
  </si>
  <si>
    <t>29/11/204</t>
  </si>
  <si>
    <t>28//6/25</t>
  </si>
  <si>
    <t>2.3</t>
  </si>
  <si>
    <t>WF veterinarios S.A.C</t>
  </si>
  <si>
    <t>000187</t>
  </si>
  <si>
    <t>000279</t>
  </si>
  <si>
    <t>000361</t>
  </si>
  <si>
    <t>000928</t>
  </si>
  <si>
    <t>001149</t>
  </si>
  <si>
    <t>001361</t>
  </si>
  <si>
    <t>001662</t>
  </si>
  <si>
    <t>001953</t>
  </si>
  <si>
    <t>002330</t>
  </si>
  <si>
    <t>002638</t>
  </si>
  <si>
    <t>Richard Montoya</t>
  </si>
  <si>
    <t>Clin Vet Montoya</t>
  </si>
  <si>
    <t>no renovo CULMINO</t>
  </si>
  <si>
    <t>IC0000005</t>
  </si>
  <si>
    <t>000188</t>
  </si>
  <si>
    <t>000280</t>
  </si>
  <si>
    <t>000540</t>
  </si>
  <si>
    <t>000716</t>
  </si>
  <si>
    <t>000931</t>
  </si>
  <si>
    <t>001150</t>
  </si>
  <si>
    <t>001362</t>
  </si>
  <si>
    <t>001663</t>
  </si>
  <si>
    <t>001956</t>
  </si>
  <si>
    <t>002331</t>
  </si>
  <si>
    <t xml:space="preserve">2 contenedores siempre adicional </t>
  </si>
  <si>
    <t>30/0/20201</t>
  </si>
  <si>
    <t xml:space="preserve">Vanessa Juliana Tataje Ramos </t>
  </si>
  <si>
    <t>Veterinaria Pettyvet</t>
  </si>
  <si>
    <t>INCUMPLIMIENTO ANULO</t>
  </si>
  <si>
    <t>Ica</t>
  </si>
  <si>
    <t>0000006IC</t>
  </si>
  <si>
    <t>000355</t>
  </si>
  <si>
    <t>000425</t>
  </si>
  <si>
    <t>000594</t>
  </si>
  <si>
    <t>001393</t>
  </si>
  <si>
    <t>001645</t>
  </si>
  <si>
    <t>AVALOS ANDRADE JULIA INES</t>
  </si>
  <si>
    <t>Veterinaria petshop CityVet</t>
  </si>
  <si>
    <t>praxi84@gmail.com</t>
  </si>
  <si>
    <t>CANCELO EL SERVICIO</t>
  </si>
  <si>
    <t>0000007IC</t>
  </si>
  <si>
    <t>000926</t>
  </si>
  <si>
    <t>001151</t>
  </si>
  <si>
    <t>001365</t>
  </si>
  <si>
    <t>001664</t>
  </si>
  <si>
    <t>001957</t>
  </si>
  <si>
    <t>31/2/2020</t>
  </si>
  <si>
    <t>002325</t>
  </si>
  <si>
    <t>002641</t>
  </si>
  <si>
    <t>j</t>
  </si>
  <si>
    <t>0000019</t>
  </si>
  <si>
    <t>002994</t>
  </si>
  <si>
    <t>00000239</t>
  </si>
  <si>
    <t>003156</t>
  </si>
  <si>
    <t>884</t>
  </si>
  <si>
    <t>004060</t>
  </si>
  <si>
    <t>1098</t>
  </si>
  <si>
    <t>004387</t>
  </si>
  <si>
    <t>1604</t>
  </si>
  <si>
    <t>004885</t>
  </si>
  <si>
    <t>CLINICA VETERINARIA DEL DR YOBER CASTRO EIRL</t>
  </si>
  <si>
    <t xml:space="preserve">CLIN VET DEL DR YOBER </t>
  </si>
  <si>
    <t>yobervetsanisidro@hotmail.com</t>
  </si>
  <si>
    <t xml:space="preserve">NO SE RENOVO </t>
  </si>
  <si>
    <t>0000009IC</t>
  </si>
  <si>
    <t>001138</t>
  </si>
  <si>
    <t>001395</t>
  </si>
  <si>
    <t>001642</t>
  </si>
  <si>
    <t>001942</t>
  </si>
  <si>
    <t>002323</t>
  </si>
  <si>
    <t>002669</t>
  </si>
  <si>
    <t>00000026</t>
  </si>
  <si>
    <t>002990</t>
  </si>
  <si>
    <t>13003</t>
  </si>
  <si>
    <t>004378</t>
  </si>
  <si>
    <t>1861</t>
  </si>
  <si>
    <t>4798</t>
  </si>
  <si>
    <t>2505</t>
  </si>
  <si>
    <t>5442</t>
  </si>
  <si>
    <t>2801</t>
  </si>
  <si>
    <t>2983</t>
  </si>
  <si>
    <t>3400</t>
  </si>
  <si>
    <t>6872</t>
  </si>
  <si>
    <t>4064</t>
  </si>
  <si>
    <t xml:space="preserve">CABEZAS YANQUI CINTHIA DEL ROSARIO SOLEDAD </t>
  </si>
  <si>
    <t>veterinaria como reyes</t>
  </si>
  <si>
    <t>mvzcinthiacabezas@gmail.com</t>
  </si>
  <si>
    <t xml:space="preserve">ARENALES </t>
  </si>
  <si>
    <t>70 MENSUAL 10KG</t>
  </si>
  <si>
    <t>001396</t>
  </si>
  <si>
    <t>001643</t>
  </si>
  <si>
    <t>001943</t>
  </si>
  <si>
    <t>002670</t>
  </si>
  <si>
    <t>00000024</t>
  </si>
  <si>
    <t>002988</t>
  </si>
  <si>
    <t>1305</t>
  </si>
  <si>
    <t>004072</t>
  </si>
  <si>
    <t>004379</t>
  </si>
  <si>
    <t>1864</t>
  </si>
  <si>
    <t>4799</t>
  </si>
  <si>
    <t>5443</t>
  </si>
  <si>
    <t>2797</t>
  </si>
  <si>
    <t>2317</t>
  </si>
  <si>
    <t>3401</t>
  </si>
  <si>
    <t>6870</t>
  </si>
  <si>
    <t>4062</t>
  </si>
  <si>
    <t>7920</t>
  </si>
  <si>
    <t>28/012/21</t>
  </si>
  <si>
    <t>4612</t>
  </si>
  <si>
    <t>5786</t>
  </si>
  <si>
    <t>29/08/22</t>
  </si>
  <si>
    <t>26/04/23</t>
  </si>
  <si>
    <t>18/05/23</t>
  </si>
  <si>
    <t xml:space="preserve">	18669</t>
  </si>
  <si>
    <t>39199</t>
  </si>
  <si>
    <t>41342</t>
  </si>
  <si>
    <t>6.5</t>
  </si>
  <si>
    <t>JUAN JOSE SALAS 168 ICA</t>
  </si>
  <si>
    <t xml:space="preserve">ASENTAMINETO HUMANO NUEVA UNION C30 </t>
  </si>
  <si>
    <t>80 MENSUAL 10KG</t>
  </si>
  <si>
    <t>38157</t>
  </si>
  <si>
    <t>40295</t>
  </si>
  <si>
    <t>39202</t>
  </si>
  <si>
    <t>41345</t>
  </si>
  <si>
    <t>AV. JHON F KENNEDY 105</t>
  </si>
  <si>
    <t>Columna13</t>
  </si>
  <si>
    <t>38156</t>
  </si>
  <si>
    <t>40294</t>
  </si>
  <si>
    <t>39201</t>
  </si>
  <si>
    <t>41344</t>
  </si>
  <si>
    <t>40247</t>
  </si>
  <si>
    <t>42400</t>
  </si>
  <si>
    <t>41299</t>
  </si>
  <si>
    <t>43482</t>
  </si>
  <si>
    <t>29921</t>
  </si>
  <si>
    <t>42264</t>
  </si>
  <si>
    <t>44308</t>
  </si>
  <si>
    <t>30725</t>
  </si>
  <si>
    <t>43240</t>
  </si>
  <si>
    <t>45435</t>
  </si>
  <si>
    <t>31530</t>
  </si>
  <si>
    <t>44442</t>
  </si>
  <si>
    <t>32396</t>
  </si>
  <si>
    <t>45448</t>
  </si>
  <si>
    <t>33207</t>
  </si>
  <si>
    <t>46564</t>
  </si>
  <si>
    <t>34040</t>
  </si>
  <si>
    <t>47649</t>
  </si>
  <si>
    <t>34874</t>
  </si>
  <si>
    <t>50066</t>
  </si>
  <si>
    <t>35690</t>
  </si>
  <si>
    <t>50067</t>
  </si>
  <si>
    <t>36503</t>
  </si>
  <si>
    <t>37273</t>
  </si>
  <si>
    <t>1322</t>
  </si>
  <si>
    <t>CALLE ICA G02 SALAS DE GUADALUPE</t>
  </si>
  <si>
    <t>38155</t>
  </si>
  <si>
    <t>40293</t>
  </si>
  <si>
    <t>39200</t>
  </si>
  <si>
    <t>41343</t>
  </si>
  <si>
    <t>40246</t>
  </si>
  <si>
    <t>42399</t>
  </si>
  <si>
    <t>41298</t>
  </si>
  <si>
    <t>43481</t>
  </si>
  <si>
    <t>29923</t>
  </si>
  <si>
    <t>42263</t>
  </si>
  <si>
    <t>44307</t>
  </si>
  <si>
    <t>30723</t>
  </si>
  <si>
    <t>43239</t>
  </si>
  <si>
    <t>31529</t>
  </si>
  <si>
    <t>44441</t>
  </si>
  <si>
    <t>32395</t>
  </si>
  <si>
    <t>45447</t>
  </si>
  <si>
    <t>33206</t>
  </si>
  <si>
    <t>46563</t>
  </si>
  <si>
    <t>33975</t>
  </si>
  <si>
    <t>47648</t>
  </si>
  <si>
    <t>34875</t>
  </si>
  <si>
    <t>50063</t>
  </si>
  <si>
    <t>35689</t>
  </si>
  <si>
    <t>50064</t>
  </si>
  <si>
    <t>36504</t>
  </si>
  <si>
    <t>37271</t>
  </si>
  <si>
    <t>cancelado , PAGÓ 80  , 10 SOLES DE LA SEDE ARENALES</t>
  </si>
  <si>
    <t>CENTRO MEDICO ODONTOLOGICO MI DENTISTA KIDS SAC</t>
  </si>
  <si>
    <t>Centro odontologico mi dentista kids SAC</t>
  </si>
  <si>
    <t>midentistakids.sac@gmail.com</t>
  </si>
  <si>
    <t xml:space="preserve">S/120.00MENSUAL </t>
  </si>
  <si>
    <t>5010</t>
  </si>
  <si>
    <t>2901</t>
  </si>
  <si>
    <t>6864</t>
  </si>
  <si>
    <t>4616</t>
  </si>
  <si>
    <t>7927</t>
  </si>
  <si>
    <t>5378</t>
  </si>
  <si>
    <t>8620</t>
  </si>
  <si>
    <t>6009</t>
  </si>
  <si>
    <t>23/11/22</t>
  </si>
  <si>
    <t>/</t>
  </si>
  <si>
    <t>CARMEN YEREN DE LA CRUZ</t>
  </si>
  <si>
    <t xml:space="preserve">ANULO CONTRATO </t>
  </si>
  <si>
    <t xml:space="preserve">S/ 94.40 MENSUAL </t>
  </si>
  <si>
    <t>000146</t>
  </si>
  <si>
    <t>001635</t>
  </si>
  <si>
    <t>26/011/2020</t>
  </si>
  <si>
    <t>001650</t>
  </si>
  <si>
    <t>00000027</t>
  </si>
  <si>
    <t>002987</t>
  </si>
  <si>
    <t>NASCA VET SERVICIOS VETERINARIOS SAC</t>
  </si>
  <si>
    <t>Clínica Veterinaria Nascavet</t>
  </si>
  <si>
    <t>freshiahuarcaya@gmail.com / gotardo_55k@hotmail.com/ vetpuenteblanco@gmail.com</t>
  </si>
  <si>
    <t>NASCA CON RECOJO EN ICA</t>
  </si>
  <si>
    <t>S/ 94.40 MENSUAL 10KG</t>
  </si>
  <si>
    <t>00000571</t>
  </si>
  <si>
    <t>004074</t>
  </si>
  <si>
    <t>1308</t>
  </si>
  <si>
    <t>004381</t>
  </si>
  <si>
    <t>1869</t>
  </si>
  <si>
    <t>4891</t>
  </si>
  <si>
    <t>1901</t>
  </si>
  <si>
    <t>6319</t>
  </si>
  <si>
    <t>94.4</t>
  </si>
  <si>
    <t>6861</t>
  </si>
  <si>
    <t>7922</t>
  </si>
  <si>
    <t>8616</t>
  </si>
  <si>
    <t>5369</t>
  </si>
  <si>
    <t>9999</t>
  </si>
  <si>
    <t>5394</t>
  </si>
  <si>
    <t>10994</t>
  </si>
  <si>
    <t>11943</t>
  </si>
  <si>
    <t>12833</t>
  </si>
  <si>
    <t>3.3</t>
  </si>
  <si>
    <t>CLINICA FARM VETERINARIA PTE BLANCO EIRL</t>
  </si>
  <si>
    <t xml:space="preserve">Clínica y Farmacia Veterinaria Puente Blanco </t>
  </si>
  <si>
    <t>clifarveteirl@hotmail.com / gotardo_55k@hotmail.com/ vetpuenteblanco@gmail.com</t>
  </si>
  <si>
    <t>S/ 94.4 MENSUAL 10KG</t>
  </si>
  <si>
    <t>00000570</t>
  </si>
  <si>
    <t>004073</t>
  </si>
  <si>
    <t>1307</t>
  </si>
  <si>
    <t>004380</t>
  </si>
  <si>
    <t>1868</t>
  </si>
  <si>
    <t>4800</t>
  </si>
  <si>
    <t>5444</t>
  </si>
  <si>
    <t>6324</t>
  </si>
  <si>
    <t>6860</t>
  </si>
  <si>
    <t>7921</t>
  </si>
  <si>
    <t>8615</t>
  </si>
  <si>
    <t>5375</t>
  </si>
  <si>
    <t xml:space="preserve">10016 </t>
  </si>
  <si>
    <t>5396</t>
  </si>
  <si>
    <t>10995</t>
  </si>
  <si>
    <t>11942</t>
  </si>
  <si>
    <t>12832</t>
  </si>
  <si>
    <t>13/03/23</t>
  </si>
  <si>
    <t>13/03/232</t>
  </si>
  <si>
    <t>4.8</t>
  </si>
  <si>
    <t>VET SERVICE &amp; CIA E.I.R.L</t>
  </si>
  <si>
    <t>Clínica Veterinaria Mr. Pets</t>
  </si>
  <si>
    <t>jaimecapunaycruz@gmail.com</t>
  </si>
  <si>
    <t>150 BIMENSUAL 10 KG LIMTE</t>
  </si>
  <si>
    <t xml:space="preserve">san </t>
  </si>
  <si>
    <t>1067</t>
  </si>
  <si>
    <t>2778</t>
  </si>
  <si>
    <t>6275</t>
  </si>
  <si>
    <t>5007</t>
  </si>
  <si>
    <t>10127</t>
  </si>
  <si>
    <t>8681</t>
  </si>
  <si>
    <t>13927</t>
  </si>
  <si>
    <t>9571</t>
  </si>
  <si>
    <t>17250</t>
  </si>
  <si>
    <t>19447</t>
  </si>
  <si>
    <t>13106</t>
  </si>
  <si>
    <t>20162</t>
  </si>
  <si>
    <t>14131</t>
  </si>
  <si>
    <t>21283</t>
  </si>
  <si>
    <t>15728</t>
  </si>
  <si>
    <t>22979</t>
  </si>
  <si>
    <t>26/4/23</t>
  </si>
  <si>
    <t>6961</t>
  </si>
  <si>
    <t>12673</t>
  </si>
  <si>
    <t>16579</t>
  </si>
  <si>
    <t>24430</t>
  </si>
  <si>
    <t>17975</t>
  </si>
  <si>
    <t>26631</t>
  </si>
  <si>
    <t xml:space="preserve">	19412</t>
  </si>
  <si>
    <t>20855</t>
  </si>
  <si>
    <t>35496</t>
  </si>
  <si>
    <t>36385</t>
  </si>
  <si>
    <t>38340</t>
  </si>
  <si>
    <t>38975</t>
  </si>
  <si>
    <t>41363</t>
  </si>
  <si>
    <t>43453</t>
  </si>
  <si>
    <t>45451</t>
  </si>
  <si>
    <t>no hay recojo</t>
  </si>
  <si>
    <t xml:space="preserve">ACUÑA HUARANGA ARTURO </t>
  </si>
  <si>
    <t xml:space="preserve"> Clínica Evaleti</t>
  </si>
  <si>
    <t xml:space="preserve">NO RENOVO </t>
  </si>
  <si>
    <t>CORRREO</t>
  </si>
  <si>
    <t>clinicaevaleti@gmail.com</t>
  </si>
  <si>
    <t xml:space="preserve"> 5/07/2021</t>
  </si>
  <si>
    <t>BIMENSUAL 170</t>
  </si>
  <si>
    <t>2779</t>
  </si>
  <si>
    <t>6274</t>
  </si>
  <si>
    <t>CABCELADO</t>
  </si>
  <si>
    <t>5083</t>
  </si>
  <si>
    <t>10128</t>
  </si>
  <si>
    <t>ATE</t>
  </si>
  <si>
    <t>MENSUAL</t>
  </si>
  <si>
    <t xml:space="preserve">HOSPITAL REGIONAL DE ICA </t>
  </si>
  <si>
    <t>HOSPITAL REGIONAL DE ICA</t>
  </si>
  <si>
    <t>GERENTE:GRADOS TELLO JAVIER ALFREDO DNI : 43611309</t>
  </si>
  <si>
    <t>DIRECCION: AV.PROLONGACION AYABACA COMATRANA S/N ICA - ICA</t>
  </si>
  <si>
    <t>ORDEN DE SERVICIO</t>
  </si>
  <si>
    <t xml:space="preserve">KILOS </t>
  </si>
  <si>
    <t xml:space="preserve">NUMERO DE GUIA </t>
  </si>
  <si>
    <t>006803</t>
  </si>
  <si>
    <t>006723</t>
  </si>
  <si>
    <t>006801</t>
  </si>
  <si>
    <t>006703</t>
  </si>
  <si>
    <t>007311</t>
  </si>
  <si>
    <t>007312</t>
  </si>
  <si>
    <t>007310</t>
  </si>
  <si>
    <t>007751</t>
  </si>
  <si>
    <t>007753</t>
  </si>
  <si>
    <t>007754</t>
  </si>
  <si>
    <t>009133</t>
  </si>
  <si>
    <t>009130</t>
  </si>
  <si>
    <t>009132</t>
  </si>
  <si>
    <t>007756</t>
  </si>
  <si>
    <t>007755</t>
  </si>
  <si>
    <t>007752</t>
  </si>
  <si>
    <t>RESODUNA SAC</t>
  </si>
  <si>
    <t>RESODUNAS</t>
  </si>
  <si>
    <t>contabilidad@resodunas.com</t>
  </si>
  <si>
    <t>rayalaroxy@gmail.com</t>
  </si>
  <si>
    <t xml:space="preserve"> 18/10/21</t>
  </si>
  <si>
    <t xml:space="preserve">236 INCLUIDO IGV LIMITE 8 KG </t>
  </si>
  <si>
    <t>3335</t>
  </si>
  <si>
    <t>4621</t>
  </si>
  <si>
    <t>8626</t>
  </si>
  <si>
    <t>5420</t>
  </si>
  <si>
    <t>10019</t>
  </si>
  <si>
    <t>6011</t>
  </si>
  <si>
    <t>10989</t>
  </si>
  <si>
    <t>6765</t>
  </si>
  <si>
    <t>11944</t>
  </si>
  <si>
    <t>7888</t>
  </si>
  <si>
    <t>12854</t>
  </si>
  <si>
    <t>7890</t>
  </si>
  <si>
    <t>13907</t>
  </si>
  <si>
    <t>8835</t>
  </si>
  <si>
    <t>14644</t>
  </si>
  <si>
    <t>9629</t>
  </si>
  <si>
    <t>15834</t>
  </si>
  <si>
    <t>17/09/22</t>
  </si>
  <si>
    <t>10468</t>
  </si>
  <si>
    <t>16737</t>
  </si>
  <si>
    <t>11212</t>
  </si>
  <si>
    <t>18075</t>
  </si>
  <si>
    <t>12215</t>
  </si>
  <si>
    <t>18590</t>
  </si>
  <si>
    <t>VETERINARIA ARENALES S.R.L.</t>
  </si>
  <si>
    <t>VETERINARIA ARENALES</t>
  </si>
  <si>
    <t>suspendido</t>
  </si>
  <si>
    <t>Jr_2080@hotmail.com</t>
  </si>
  <si>
    <t xml:space="preserve"> 30/10/21</t>
  </si>
  <si>
    <t xml:space="preserve">80 MENSUAL </t>
  </si>
  <si>
    <t xml:space="preserve"> 19/02/22</t>
  </si>
  <si>
    <t>3418</t>
  </si>
  <si>
    <t>7959</t>
  </si>
  <si>
    <t>4620</t>
  </si>
  <si>
    <t>8625</t>
  </si>
  <si>
    <t>5374</t>
  </si>
  <si>
    <t>10005</t>
  </si>
  <si>
    <t>5785</t>
  </si>
  <si>
    <t>10988</t>
  </si>
  <si>
    <t xml:space="preserve">PORPAGR </t>
  </si>
  <si>
    <t>6780</t>
  </si>
  <si>
    <t>11945</t>
  </si>
  <si>
    <t>7172</t>
  </si>
  <si>
    <t>12834</t>
  </si>
  <si>
    <t>8629</t>
  </si>
  <si>
    <t>13885</t>
  </si>
  <si>
    <t>14634</t>
  </si>
  <si>
    <t>XARO RENAL CARE SAC</t>
  </si>
  <si>
    <t>xarorenalcare@outlook.es/ daizaq@hotmail.com</t>
  </si>
  <si>
    <t xml:space="preserve"> 01/12/21</t>
  </si>
  <si>
    <t>2.50 x kg INTERDIARIO (martes,jueves,sabado)</t>
  </si>
  <si>
    <t xml:space="preserve"> 230.25</t>
  </si>
  <si>
    <t xml:space="preserve"> 02/12/21</t>
  </si>
  <si>
    <t>92.10</t>
  </si>
  <si>
    <t>4608</t>
  </si>
  <si>
    <t>8043</t>
  </si>
  <si>
    <t>8042</t>
  </si>
  <si>
    <t>8041</t>
  </si>
  <si>
    <t>237.5</t>
  </si>
  <si>
    <t>8044</t>
  </si>
  <si>
    <t>227.5</t>
  </si>
  <si>
    <t>8045</t>
  </si>
  <si>
    <t>232.5</t>
  </si>
  <si>
    <t>8046</t>
  </si>
  <si>
    <t>8047</t>
  </si>
  <si>
    <t>240.5</t>
  </si>
  <si>
    <t>96.20</t>
  </si>
  <si>
    <t>8048</t>
  </si>
  <si>
    <t>xaro</t>
  </si>
  <si>
    <t>230.25</t>
  </si>
  <si>
    <t>8049</t>
  </si>
  <si>
    <t>faltaria pagar nosotros 243,4</t>
  </si>
  <si>
    <t>8050</t>
  </si>
  <si>
    <t>8879</t>
  </si>
  <si>
    <t>8881</t>
  </si>
  <si>
    <t>109.6</t>
  </si>
  <si>
    <t>8947</t>
  </si>
  <si>
    <t>total:s/ 3,042.5</t>
  </si>
  <si>
    <t xml:space="preserve">1,217 kg </t>
  </si>
  <si>
    <t>5368</t>
  </si>
  <si>
    <t>8976</t>
  </si>
  <si>
    <t>212.5</t>
  </si>
  <si>
    <t>8977</t>
  </si>
  <si>
    <t>26-02-</t>
  </si>
  <si>
    <t>222.5</t>
  </si>
  <si>
    <t>faltaria pagar nosotros</t>
  </si>
  <si>
    <t>217.5</t>
  </si>
  <si>
    <t>TOTAL: S/ 2,880</t>
  </si>
  <si>
    <t xml:space="preserve">1152 KG </t>
  </si>
  <si>
    <t>5774</t>
  </si>
  <si>
    <t>5774.</t>
  </si>
  <si>
    <t>230.5</t>
  </si>
  <si>
    <t>S/ 2,618</t>
  </si>
  <si>
    <t>1,047.2 kg</t>
  </si>
  <si>
    <t>90.22</t>
  </si>
  <si>
    <t>3,195.55</t>
  </si>
  <si>
    <t xml:space="preserve">1,278.22 kg </t>
  </si>
  <si>
    <t>8179</t>
  </si>
  <si>
    <t>pagar xaro</t>
  </si>
  <si>
    <t>3,267.02</t>
  </si>
  <si>
    <t>7916</t>
  </si>
  <si>
    <t>7/5/222</t>
  </si>
  <si>
    <t>05/07/022</t>
  </si>
  <si>
    <t xml:space="preserve"> 25/6/22</t>
  </si>
  <si>
    <t>3,064,77</t>
  </si>
  <si>
    <t>1,225,91</t>
  </si>
  <si>
    <t>9579</t>
  </si>
  <si>
    <t>3,780,00</t>
  </si>
  <si>
    <t>CENTRO MEDICO ESPECIALIZADO Y SALUD OCUPACIONAL SANTO TORIBIO DE MOGROVEJO E.I.R.L.</t>
  </si>
  <si>
    <t>SE REGALO CONTRATO</t>
  </si>
  <si>
    <t>JOEL.1981@GMAIL.COM</t>
  </si>
  <si>
    <t xml:space="preserve"> 17/11/21</t>
  </si>
  <si>
    <t>118 MENSUAL</t>
  </si>
  <si>
    <t>SWISSDENT E.I.R.L.</t>
  </si>
  <si>
    <t xml:space="preserve">SE REGALO </t>
  </si>
  <si>
    <t>pathy9@gmail.com</t>
  </si>
  <si>
    <t xml:space="preserve">150 mensual </t>
  </si>
  <si>
    <t>SEGURA PARDO LAURA RAQUEL</t>
  </si>
  <si>
    <t>Consultorio dental panchito &amp; bichectomia Cañete</t>
  </si>
  <si>
    <t>Segurapardolauraraquel@gmail.com</t>
  </si>
  <si>
    <t>4162</t>
  </si>
  <si>
    <t>6458</t>
  </si>
  <si>
    <t>8561</t>
  </si>
  <si>
    <t>13932</t>
  </si>
  <si>
    <t>8931</t>
  </si>
  <si>
    <t>14842</t>
  </si>
  <si>
    <t xml:space="preserve">	10875</t>
  </si>
  <si>
    <t>17248</t>
  </si>
  <si>
    <t>13113</t>
  </si>
  <si>
    <t>20166</t>
  </si>
  <si>
    <t>14132</t>
  </si>
  <si>
    <t>21286</t>
  </si>
  <si>
    <t>30/05/23</t>
  </si>
  <si>
    <t>15729</t>
  </si>
  <si>
    <t>21807</t>
  </si>
  <si>
    <t>22983</t>
  </si>
  <si>
    <t>HOSPITAL DE CHINCHA - CAAT</t>
  </si>
  <si>
    <t>GUIA</t>
  </si>
  <si>
    <t xml:space="preserve"> 28/12/21</t>
  </si>
  <si>
    <t>8766</t>
  </si>
  <si>
    <t>8760</t>
  </si>
  <si>
    <t>8269</t>
  </si>
  <si>
    <t>8758</t>
  </si>
  <si>
    <t>8762</t>
  </si>
  <si>
    <t>8764</t>
  </si>
  <si>
    <t>8770</t>
  </si>
  <si>
    <t>9766</t>
  </si>
  <si>
    <t>9764</t>
  </si>
  <si>
    <t>9528</t>
  </si>
  <si>
    <t>9942</t>
  </si>
  <si>
    <t>SIN GUIA</t>
  </si>
  <si>
    <t xml:space="preserve">HOSPITAL SAN JOSE  DE CHINCHA  </t>
  </si>
  <si>
    <t xml:space="preserve"> 11/12/21</t>
  </si>
  <si>
    <t>8268</t>
  </si>
  <si>
    <t xml:space="preserve"> 16/12/21</t>
  </si>
  <si>
    <t>8755</t>
  </si>
  <si>
    <t>8757</t>
  </si>
  <si>
    <t>8759</t>
  </si>
  <si>
    <t>8761</t>
  </si>
  <si>
    <t>8763</t>
  </si>
  <si>
    <t>8769</t>
  </si>
  <si>
    <t>9331</t>
  </si>
  <si>
    <t xml:space="preserve">960KG </t>
  </si>
  <si>
    <t>9642</t>
  </si>
  <si>
    <t>1470KG</t>
  </si>
  <si>
    <t>9513</t>
  </si>
  <si>
    <t xml:space="preserve"> 25/1/22</t>
  </si>
  <si>
    <t>9767</t>
  </si>
  <si>
    <t>9765</t>
  </si>
  <si>
    <t>9527</t>
  </si>
  <si>
    <t>9545</t>
  </si>
  <si>
    <t xml:space="preserve">U.E 401 SALUD CHINCHA - P.S SAN JOSE </t>
  </si>
  <si>
    <t xml:space="preserve">GUIA </t>
  </si>
  <si>
    <t>8778</t>
  </si>
  <si>
    <t xml:space="preserve">U.E 401SALUD CHINCHA -  P.S HOJA REDONDA </t>
  </si>
  <si>
    <t>8776</t>
  </si>
  <si>
    <t>U.E 401SALUD CHINCHA -  P.S WIRACOCHA</t>
  </si>
  <si>
    <t>8777</t>
  </si>
  <si>
    <t xml:space="preserve">U.E 401SALUD CHINCHA -  C.S EL CARMEN </t>
  </si>
  <si>
    <t>8775</t>
  </si>
  <si>
    <t xml:space="preserve"> 30/12/21</t>
  </si>
  <si>
    <t>9135</t>
  </si>
  <si>
    <t>U.E 401SALUD CHINCHA -  P.S EL SALVADOR</t>
  </si>
  <si>
    <t>8793</t>
  </si>
  <si>
    <t>9136</t>
  </si>
  <si>
    <t>9946</t>
  </si>
  <si>
    <t xml:space="preserve">MANIFEISTO SIN GUIA </t>
  </si>
  <si>
    <t xml:space="preserve">U.E 401SALUD CHINCHA -  C.S ALTO LARAN </t>
  </si>
  <si>
    <t xml:space="preserve"> 18/12/21</t>
  </si>
  <si>
    <t>8789</t>
  </si>
  <si>
    <t>9534</t>
  </si>
  <si>
    <t xml:space="preserve">MANIFIESTO SIN FUIA </t>
  </si>
  <si>
    <t xml:space="preserve">U.E 401SALUD CHINCHA -  P.S BALCONCITO </t>
  </si>
  <si>
    <t>8798</t>
  </si>
  <si>
    <t>9532</t>
  </si>
  <si>
    <t xml:space="preserve">MANIFEISTO SIN FUIA </t>
  </si>
  <si>
    <t xml:space="preserve">U.E 401SALUD CHINCHA -  C.S SAN ISIDRO </t>
  </si>
  <si>
    <t>8791</t>
  </si>
  <si>
    <t>9530</t>
  </si>
  <si>
    <t>U.E 401SALUD CHINCHA -   P.S SUNAMPE</t>
  </si>
  <si>
    <t>8797</t>
  </si>
  <si>
    <t>9137</t>
  </si>
  <si>
    <t>9533</t>
  </si>
  <si>
    <t>MANIFIESTO SIN GUIA</t>
  </si>
  <si>
    <t xml:space="preserve">U.E 401SALUD CHINCHA -   P.S CRUZ BLANCA </t>
  </si>
  <si>
    <t>9103</t>
  </si>
  <si>
    <t xml:space="preserve"> 31/1/22</t>
  </si>
  <si>
    <t>9947</t>
  </si>
  <si>
    <t xml:space="preserve">U.E 401SALUD CHINCHA -  P.S CONDORILLO ALTO </t>
  </si>
  <si>
    <t>9101</t>
  </si>
  <si>
    <t>9944</t>
  </si>
  <si>
    <t xml:space="preserve">SIN GUIA </t>
  </si>
  <si>
    <t xml:space="preserve">U.E 401SALUD CHINCHA -  P.S LOS ALAMOS </t>
  </si>
  <si>
    <t xml:space="preserve"> 22/12/21</t>
  </si>
  <si>
    <t>8800</t>
  </si>
  <si>
    <t>9945</t>
  </si>
  <si>
    <t>U.E 401SALUD CHINCHA -  P.S SAN AGUSTIN</t>
  </si>
  <si>
    <t>9102</t>
  </si>
  <si>
    <t>9943</t>
  </si>
  <si>
    <t xml:space="preserve">MANIFIESTO SIN GUIA </t>
  </si>
  <si>
    <t xml:space="preserve">U.E 401SALUD CHINCHA -   C.S CHINCHA BAJA </t>
  </si>
  <si>
    <t>9151</t>
  </si>
  <si>
    <t>9535</t>
  </si>
  <si>
    <t>U.E 401SALUD CHINCHA -    C.S GROCIO PRADO</t>
  </si>
  <si>
    <t xml:space="preserve">MANIFEISTOS SIN GUIA </t>
  </si>
  <si>
    <t>U.E 401SALUD CHINCHA - C.S PUEBLO NUEVO</t>
  </si>
  <si>
    <t xml:space="preserve"> 27/1/22</t>
  </si>
  <si>
    <t>9529</t>
  </si>
  <si>
    <t xml:space="preserve">U.E 401SALUD CHINCHA -   C.S TAMBO DE MORA </t>
  </si>
  <si>
    <t xml:space="preserve"> 24/12/21</t>
  </si>
  <si>
    <t>9152</t>
  </si>
  <si>
    <t>9138</t>
  </si>
  <si>
    <t>9536</t>
  </si>
  <si>
    <t xml:space="preserve">CLINICA VIRGEN DEL ROSARIO S.A </t>
  </si>
  <si>
    <t>clinicavrica@gmail.com</t>
  </si>
  <si>
    <t>clivirosa@speedy.com.pe</t>
  </si>
  <si>
    <t xml:space="preserve"> 3/1/22</t>
  </si>
  <si>
    <t>8.26 X KG SEMANAL</t>
  </si>
  <si>
    <t xml:space="preserve"> 21/03/22</t>
  </si>
  <si>
    <t>58.64</t>
  </si>
  <si>
    <t>5775</t>
  </si>
  <si>
    <t>7.10</t>
  </si>
  <si>
    <t>10463</t>
  </si>
  <si>
    <t>118.20</t>
  </si>
  <si>
    <t>14.31</t>
  </si>
  <si>
    <t>0010464</t>
  </si>
  <si>
    <t>259.36</t>
  </si>
  <si>
    <t>31.40</t>
  </si>
  <si>
    <t>106.14</t>
  </si>
  <si>
    <t>12.85</t>
  </si>
  <si>
    <t>10466</t>
  </si>
  <si>
    <t>83.42</t>
  </si>
  <si>
    <t>10.10</t>
  </si>
  <si>
    <t>0010467</t>
  </si>
  <si>
    <t>TOTAL : S/ 625.77</t>
  </si>
  <si>
    <t xml:space="preserve">75.76 KG </t>
  </si>
  <si>
    <t>255.64</t>
  </si>
  <si>
    <t>5777</t>
  </si>
  <si>
    <t>30.95</t>
  </si>
  <si>
    <t>429.10</t>
  </si>
  <si>
    <t>51,95</t>
  </si>
  <si>
    <t>10469</t>
  </si>
  <si>
    <t>total: S/ 684.74</t>
  </si>
  <si>
    <t xml:space="preserve">82.9 KG </t>
  </si>
  <si>
    <t>595.71</t>
  </si>
  <si>
    <t>6707</t>
  </si>
  <si>
    <t>72.12</t>
  </si>
  <si>
    <t>10472</t>
  </si>
  <si>
    <t>360.38</t>
  </si>
  <si>
    <t>43.63</t>
  </si>
  <si>
    <t>10470</t>
  </si>
  <si>
    <t>total:956.09</t>
  </si>
  <si>
    <t xml:space="preserve">115.75 kg </t>
  </si>
  <si>
    <t>69,33</t>
  </si>
  <si>
    <t>7913</t>
  </si>
  <si>
    <t>72,81</t>
  </si>
  <si>
    <t>11019</t>
  </si>
  <si>
    <t>102,28</t>
  </si>
  <si>
    <t>11018</t>
  </si>
  <si>
    <t>TOTAL: S/1,446,24</t>
  </si>
  <si>
    <t xml:space="preserve">TOTAL </t>
  </si>
  <si>
    <t>175,09</t>
  </si>
  <si>
    <t>8632</t>
  </si>
  <si>
    <t>58,92</t>
  </si>
  <si>
    <t>9578</t>
  </si>
  <si>
    <t>44,95</t>
  </si>
  <si>
    <t>10937</t>
  </si>
  <si>
    <t>66,84</t>
  </si>
  <si>
    <t>11226</t>
  </si>
  <si>
    <t>120,5</t>
  </si>
  <si>
    <t>12382</t>
  </si>
  <si>
    <t>falta manifiesto y guia de transporte de noviembre / agosto</t>
  </si>
  <si>
    <t>CCOLCCA MITMA FELY JUANA</t>
  </si>
  <si>
    <t xml:space="preserve">CRISDENT </t>
  </si>
  <si>
    <t xml:space="preserve">CHINCHA </t>
  </si>
  <si>
    <t>juanaccolccamitma@gmail.com</t>
  </si>
  <si>
    <t xml:space="preserve"> 23/11/21</t>
  </si>
  <si>
    <t>100 MENSUAL</t>
  </si>
  <si>
    <t>8560</t>
  </si>
  <si>
    <t>9858</t>
  </si>
  <si>
    <t>15738</t>
  </si>
  <si>
    <t>10370</t>
  </si>
  <si>
    <t>16774</t>
  </si>
  <si>
    <t xml:space="preserve">   </t>
  </si>
  <si>
    <t>11214</t>
  </si>
  <si>
    <t>17702</t>
  </si>
  <si>
    <t>12334</t>
  </si>
  <si>
    <t>19460</t>
  </si>
  <si>
    <t>13133</t>
  </si>
  <si>
    <t>21280</t>
  </si>
  <si>
    <t>278/02/23</t>
  </si>
  <si>
    <t>14722</t>
  </si>
  <si>
    <t>21804</t>
  </si>
  <si>
    <t>15730</t>
  </si>
  <si>
    <t>22996</t>
  </si>
  <si>
    <t>15866</t>
  </si>
  <si>
    <t>23428</t>
  </si>
  <si>
    <t>CENTRO DE DIAGNOSTICO ESPECIALIZADO INTEGRALAB E.I.R.L.</t>
  </si>
  <si>
    <t>Laboratorio de Análisis Clínico Integralab</t>
  </si>
  <si>
    <t>cd.integralab@gmail.com</t>
  </si>
  <si>
    <t>150 MENSUAL  20KG</t>
  </si>
  <si>
    <t>6760</t>
  </si>
  <si>
    <t>12871</t>
  </si>
  <si>
    <t>7073</t>
  </si>
  <si>
    <t>13877</t>
  </si>
  <si>
    <t>8604</t>
  </si>
  <si>
    <t>14625</t>
  </si>
  <si>
    <t>8863</t>
  </si>
  <si>
    <t>15825</t>
  </si>
  <si>
    <t>9796</t>
  </si>
  <si>
    <t>16727</t>
  </si>
  <si>
    <t>10558</t>
  </si>
  <si>
    <t>17942</t>
  </si>
  <si>
    <t>11487</t>
  </si>
  <si>
    <t>18580</t>
  </si>
  <si>
    <t>12318</t>
  </si>
  <si>
    <t>19621</t>
  </si>
  <si>
    <t>31/12/22</t>
  </si>
  <si>
    <t>13107</t>
  </si>
  <si>
    <t>20688</t>
  </si>
  <si>
    <t>13711</t>
  </si>
  <si>
    <t>21620</t>
  </si>
  <si>
    <t>15192</t>
  </si>
  <si>
    <t>22614</t>
  </si>
  <si>
    <t>15275</t>
  </si>
  <si>
    <t>23532</t>
  </si>
  <si>
    <t>16455</t>
  </si>
  <si>
    <t>24587</t>
  </si>
  <si>
    <t>17139</t>
  </si>
  <si>
    <t>25653</t>
  </si>
  <si>
    <t>17931</t>
  </si>
  <si>
    <t>26580</t>
  </si>
  <si>
    <t xml:space="preserve">	18642</t>
  </si>
  <si>
    <t>27924</t>
  </si>
  <si>
    <t>19243</t>
  </si>
  <si>
    <t>28895</t>
  </si>
  <si>
    <t>20040</t>
  </si>
  <si>
    <t>20678</t>
  </si>
  <si>
    <t>21477</t>
  </si>
  <si>
    <t>22189</t>
  </si>
  <si>
    <t>22850</t>
  </si>
  <si>
    <t>23453</t>
  </si>
  <si>
    <t>24398</t>
  </si>
  <si>
    <t>25118</t>
  </si>
  <si>
    <t>26443</t>
  </si>
  <si>
    <t>27460</t>
  </si>
  <si>
    <t>28266</t>
  </si>
  <si>
    <t>29106</t>
  </si>
  <si>
    <t>29917</t>
  </si>
  <si>
    <t>30719</t>
  </si>
  <si>
    <t>31523</t>
  </si>
  <si>
    <t>32386</t>
  </si>
  <si>
    <t>33162</t>
  </si>
  <si>
    <t>34035</t>
  </si>
  <si>
    <t>34842</t>
  </si>
  <si>
    <t>35666</t>
  </si>
  <si>
    <t>36466</t>
  </si>
  <si>
    <t>37260</t>
  </si>
  <si>
    <t>38101</t>
  </si>
  <si>
    <t>38934</t>
  </si>
  <si>
    <t>39696</t>
  </si>
  <si>
    <t>40624</t>
  </si>
  <si>
    <t>41523</t>
  </si>
  <si>
    <t>42421</t>
  </si>
  <si>
    <t>43169</t>
  </si>
  <si>
    <t>44023</t>
  </si>
  <si>
    <t>44923</t>
  </si>
  <si>
    <t>LABORATORIO FARMACEUTICO PERUANO S.R.L</t>
  </si>
  <si>
    <t>13287</t>
  </si>
  <si>
    <t>13288</t>
  </si>
  <si>
    <t>CORPORACION EMPRESARIAL SEÑOR DE LUREN SAC</t>
  </si>
  <si>
    <t>|</t>
  </si>
  <si>
    <t>info@corporacionluren.com</t>
  </si>
  <si>
    <t>150 -  frec QUINCENAL 7KG</t>
  </si>
  <si>
    <t xml:space="preserve"> 06/09/22</t>
  </si>
  <si>
    <t>8116</t>
  </si>
  <si>
    <t>13925</t>
  </si>
  <si>
    <t>cancelado bcp</t>
  </si>
  <si>
    <t>8</t>
  </si>
  <si>
    <t>13926</t>
  </si>
  <si>
    <t>7</t>
  </si>
  <si>
    <t>8682</t>
  </si>
  <si>
    <t>14651</t>
  </si>
  <si>
    <t>6</t>
  </si>
  <si>
    <t>9632</t>
  </si>
  <si>
    <t>14650</t>
  </si>
  <si>
    <t>10591</t>
  </si>
  <si>
    <t>16739</t>
  </si>
  <si>
    <t>agosto cambia frec 150,00</t>
  </si>
  <si>
    <t>5</t>
  </si>
  <si>
    <t>37525</t>
  </si>
  <si>
    <t>37526</t>
  </si>
  <si>
    <t>37527</t>
  </si>
  <si>
    <t>26232</t>
  </si>
  <si>
    <t>38153</t>
  </si>
  <si>
    <t>40312</t>
  </si>
  <si>
    <t>27469</t>
  </si>
  <si>
    <t>39226</t>
  </si>
  <si>
    <t>41386</t>
  </si>
  <si>
    <t>28316</t>
  </si>
  <si>
    <t>40249</t>
  </si>
  <si>
    <t>42402</t>
  </si>
  <si>
    <t>29114</t>
  </si>
  <si>
    <t>41300</t>
  </si>
  <si>
    <t>43496</t>
  </si>
  <si>
    <t>29891</t>
  </si>
  <si>
    <t>42265</t>
  </si>
  <si>
    <t>44309</t>
  </si>
  <si>
    <t>30629</t>
  </si>
  <si>
    <t>43241</t>
  </si>
  <si>
    <t>45436</t>
  </si>
  <si>
    <t>31531</t>
  </si>
  <si>
    <t>44443</t>
  </si>
  <si>
    <t>32397</t>
  </si>
  <si>
    <t>45449</t>
  </si>
  <si>
    <t>33211</t>
  </si>
  <si>
    <t>34041</t>
  </si>
  <si>
    <t>34876</t>
  </si>
  <si>
    <t>35691</t>
  </si>
  <si>
    <t>36508</t>
  </si>
  <si>
    <t>37265</t>
  </si>
  <si>
    <t>38148</t>
  </si>
  <si>
    <t>194.50</t>
  </si>
  <si>
    <t>39011</t>
  </si>
  <si>
    <t>39851</t>
  </si>
  <si>
    <t>40557</t>
  </si>
  <si>
    <t>41643</t>
  </si>
  <si>
    <t>42427</t>
  </si>
  <si>
    <t>43268</t>
  </si>
  <si>
    <t>44141</t>
  </si>
  <si>
    <t>SERVICIOS MEDICOS ZOE - MED SAC</t>
  </si>
  <si>
    <t>ANULADO</t>
  </si>
  <si>
    <t>zoemed.labs@gmail.com</t>
  </si>
  <si>
    <t xml:space="preserve"> 01/6/22</t>
  </si>
  <si>
    <t xml:space="preserve">100 MENSUAL </t>
  </si>
  <si>
    <t>15004</t>
  </si>
  <si>
    <t>SALUS LABORIS SAC</t>
  </si>
  <si>
    <t>SAN FERNANDO CHINCHA</t>
  </si>
  <si>
    <t>CANCELO CONTRATO</t>
  </si>
  <si>
    <t>beatriz.quenta@saluslaboris.pe , Maria.emma@saluslaboris.pe</t>
  </si>
  <si>
    <t xml:space="preserve">FUNDO SAN PABLO LT 1 </t>
  </si>
  <si>
    <t>236-TRIMESTRAL 10 KG</t>
  </si>
  <si>
    <t>PESO</t>
  </si>
  <si>
    <t xml:space="preserve"> 25/06/22</t>
  </si>
  <si>
    <t>8385</t>
  </si>
  <si>
    <t>14887</t>
  </si>
  <si>
    <t>11086</t>
  </si>
  <si>
    <t>20/01/232</t>
  </si>
  <si>
    <t>12823</t>
  </si>
  <si>
    <t>19890</t>
  </si>
  <si>
    <t>SARMIENTO INFANTE JAIMAR JOHANA</t>
  </si>
  <si>
    <t>ortopedia y topico j&amp;s</t>
  </si>
  <si>
    <t>jaimarsarmiento77@gmail.com</t>
  </si>
  <si>
    <t>200 MENSUAL 12 KG LIMITE</t>
  </si>
  <si>
    <t xml:space="preserve">	10098</t>
  </si>
  <si>
    <t>17251</t>
  </si>
  <si>
    <t>PLIN cancelado</t>
  </si>
  <si>
    <t>11619</t>
  </si>
  <si>
    <t>18202</t>
  </si>
  <si>
    <t>cancelado yape</t>
  </si>
  <si>
    <t>12480</t>
  </si>
  <si>
    <t>19452</t>
  </si>
  <si>
    <t>28/12/23</t>
  </si>
  <si>
    <t>14273</t>
  </si>
  <si>
    <t>21815</t>
  </si>
  <si>
    <t>si le han hecho recojo sin manifiesto/ CANCELADO</t>
  </si>
  <si>
    <t>29/1/23</t>
  </si>
  <si>
    <t>21810</t>
  </si>
  <si>
    <t>15732</t>
  </si>
  <si>
    <t>22304</t>
  </si>
  <si>
    <t>24/05/23</t>
  </si>
  <si>
    <t>22985</t>
  </si>
  <si>
    <t>16282</t>
  </si>
  <si>
    <t>23437</t>
  </si>
  <si>
    <t>16581</t>
  </si>
  <si>
    <t>24895</t>
  </si>
  <si>
    <t>17146</t>
  </si>
  <si>
    <t>25637</t>
  </si>
  <si>
    <t>17976</t>
  </si>
  <si>
    <t>26633</t>
  </si>
  <si>
    <t>18487</t>
  </si>
  <si>
    <t>27952</t>
  </si>
  <si>
    <t xml:space="preserve">	19414</t>
  </si>
  <si>
    <t>28901</t>
  </si>
  <si>
    <t>20151</t>
  </si>
  <si>
    <t>29754</t>
  </si>
  <si>
    <t>31867</t>
  </si>
  <si>
    <t>20856</t>
  </si>
  <si>
    <t>30689</t>
  </si>
  <si>
    <t>32811</t>
  </si>
  <si>
    <t>21486</t>
  </si>
  <si>
    <t>33671</t>
  </si>
  <si>
    <t>22198</t>
  </si>
  <si>
    <t>22859</t>
  </si>
  <si>
    <t>23627</t>
  </si>
  <si>
    <t>24407</t>
  </si>
  <si>
    <t>25125</t>
  </si>
  <si>
    <t>25818</t>
  </si>
  <si>
    <t>26641</t>
  </si>
  <si>
    <t>27195</t>
  </si>
  <si>
    <t>28277</t>
  </si>
  <si>
    <t>REPROGRAMADO</t>
  </si>
  <si>
    <t>08.02.24</t>
  </si>
  <si>
    <t>31509</t>
  </si>
  <si>
    <t>32374</t>
  </si>
  <si>
    <t>33214</t>
  </si>
  <si>
    <t>34032</t>
  </si>
  <si>
    <t>34863</t>
  </si>
  <si>
    <t>36483</t>
  </si>
  <si>
    <t>37242</t>
  </si>
  <si>
    <t>38129</t>
  </si>
  <si>
    <t>38968</t>
  </si>
  <si>
    <t>39842</t>
  </si>
  <si>
    <t>40671</t>
  </si>
  <si>
    <t>42434</t>
  </si>
  <si>
    <t>43254</t>
  </si>
  <si>
    <t>44096</t>
  </si>
  <si>
    <t>por pagar</t>
  </si>
  <si>
    <t>Mirian Milagros Huallpa Lujan</t>
  </si>
  <si>
    <t>Mimi veterinaria</t>
  </si>
  <si>
    <t>mirianlujan12@gmail.com / mimi.veterinaria12@gmail.com</t>
  </si>
  <si>
    <t>80 MENSUAL LIMITE DE PESO 10 KG</t>
  </si>
  <si>
    <t xml:space="preserve">	10746</t>
  </si>
  <si>
    <t>18203</t>
  </si>
  <si>
    <t>YAPE/CANCELADO</t>
  </si>
  <si>
    <t>12481</t>
  </si>
  <si>
    <t>19451</t>
  </si>
  <si>
    <t>13112</t>
  </si>
  <si>
    <t>20168</t>
  </si>
  <si>
    <t>14274</t>
  </si>
  <si>
    <t>21288</t>
  </si>
  <si>
    <t>21811</t>
  </si>
  <si>
    <t>22987</t>
  </si>
  <si>
    <t>15868</t>
  </si>
  <si>
    <t>23438</t>
  </si>
  <si>
    <t>CANCELADO/ YAPE</t>
  </si>
  <si>
    <t>16582</t>
  </si>
  <si>
    <t>24896</t>
  </si>
  <si>
    <t>17147</t>
  </si>
  <si>
    <t>25638</t>
  </si>
  <si>
    <t>17977</t>
  </si>
  <si>
    <t>26639</t>
  </si>
  <si>
    <t xml:space="preserve">PROGRAMA DE DESARROLLO DE SANIDAD AGROPE </t>
  </si>
  <si>
    <t>ORDEN DE SERVICO</t>
  </si>
  <si>
    <t>19445</t>
  </si>
  <si>
    <t>53362</t>
  </si>
  <si>
    <t>Clinica Dental Señor Nazareno EIRL</t>
  </si>
  <si>
    <t>dariovillagaray@hotmail.com</t>
  </si>
  <si>
    <t>22/2/23</t>
  </si>
  <si>
    <t xml:space="preserve"> 27/2/23</t>
  </si>
  <si>
    <t>14371</t>
  </si>
  <si>
    <t>22623</t>
  </si>
  <si>
    <t>PLIN/ CANCELADO</t>
  </si>
  <si>
    <t>15541</t>
  </si>
  <si>
    <t>23533</t>
  </si>
  <si>
    <t>16568</t>
  </si>
  <si>
    <t>24596</t>
  </si>
  <si>
    <t>17144</t>
  </si>
  <si>
    <t>25660</t>
  </si>
  <si>
    <t>CANCELADO /yape</t>
  </si>
  <si>
    <t>17985</t>
  </si>
  <si>
    <t>26589</t>
  </si>
  <si>
    <t xml:space="preserve">	18672</t>
  </si>
  <si>
    <t>27931</t>
  </si>
  <si>
    <t xml:space="preserve">	19410</t>
  </si>
  <si>
    <t>28896</t>
  </si>
  <si>
    <t>20148</t>
  </si>
  <si>
    <t>29750</t>
  </si>
  <si>
    <t>31897</t>
  </si>
  <si>
    <t>20852</t>
  </si>
  <si>
    <t>30682</t>
  </si>
  <si>
    <t>32800</t>
  </si>
  <si>
    <t>21478</t>
  </si>
  <si>
    <t>31514</t>
  </si>
  <si>
    <t>33686</t>
  </si>
  <si>
    <t>22190</t>
  </si>
  <si>
    <t>32505</t>
  </si>
  <si>
    <t>34560</t>
  </si>
  <si>
    <t>22867</t>
  </si>
  <si>
    <t>33393</t>
  </si>
  <si>
    <t>35477</t>
  </si>
  <si>
    <t>23454</t>
  </si>
  <si>
    <t>34367</t>
  </si>
  <si>
    <t>36288</t>
  </si>
  <si>
    <t>24330</t>
  </si>
  <si>
    <t>35356</t>
  </si>
  <si>
    <t>37359</t>
  </si>
  <si>
    <t>25071</t>
  </si>
  <si>
    <t>36261</t>
  </si>
  <si>
    <t>38297</t>
  </si>
  <si>
    <t>37178</t>
  </si>
  <si>
    <t>26605</t>
  </si>
  <si>
    <t>40287</t>
  </si>
  <si>
    <t>28267</t>
  </si>
  <si>
    <t>29918</t>
  </si>
  <si>
    <t>30720</t>
  </si>
  <si>
    <t>30/0|/25</t>
  </si>
  <si>
    <t>31524</t>
  </si>
  <si>
    <t>32388</t>
  </si>
  <si>
    <t>33201</t>
  </si>
  <si>
    <t>34036</t>
  </si>
  <si>
    <t>35685</t>
  </si>
  <si>
    <t>36497</t>
  </si>
  <si>
    <t>37261</t>
  </si>
  <si>
    <t>38985</t>
  </si>
  <si>
    <t>39847</t>
  </si>
  <si>
    <t>40647</t>
  </si>
  <si>
    <t>41609</t>
  </si>
  <si>
    <t>42422</t>
  </si>
  <si>
    <t>43261</t>
  </si>
  <si>
    <t>44110</t>
  </si>
  <si>
    <t>ZELAYA JULIAN SHARON ABIGAIL</t>
  </si>
  <si>
    <t xml:space="preserve">CENTRO ODONTOLOGICO  Zodonto Centro </t>
  </si>
  <si>
    <t>zodontocentro@gmail.com</t>
  </si>
  <si>
    <t>180 BIMENSUAL 10 KG</t>
  </si>
  <si>
    <t xml:space="preserve">	15253</t>
  </si>
  <si>
    <t>23970</t>
  </si>
  <si>
    <t>PLIN</t>
  </si>
  <si>
    <t>16533</t>
  </si>
  <si>
    <t>24898</t>
  </si>
  <si>
    <t>17136</t>
  </si>
  <si>
    <t>25639</t>
  </si>
  <si>
    <t xml:space="preserve">	18694</t>
  </si>
  <si>
    <t>27948</t>
  </si>
  <si>
    <t>20152</t>
  </si>
  <si>
    <t>29755</t>
  </si>
  <si>
    <t>31868</t>
  </si>
  <si>
    <t>21487</t>
  </si>
  <si>
    <t>31519</t>
  </si>
  <si>
    <t>33672</t>
  </si>
  <si>
    <t>22858</t>
  </si>
  <si>
    <t>33378</t>
  </si>
  <si>
    <t>35456</t>
  </si>
  <si>
    <t>24216</t>
  </si>
  <si>
    <t>35367</t>
  </si>
  <si>
    <t>37344</t>
  </si>
  <si>
    <t>25755</t>
  </si>
  <si>
    <t>37183</t>
  </si>
  <si>
    <t>38976</t>
  </si>
  <si>
    <t>27480</t>
  </si>
  <si>
    <t>41364</t>
  </si>
  <si>
    <t>29092</t>
  </si>
  <si>
    <t>41319</t>
  </si>
  <si>
    <t>43497</t>
  </si>
  <si>
    <t>43562</t>
  </si>
  <si>
    <t>41387</t>
  </si>
  <si>
    <t>32373</t>
  </si>
  <si>
    <t>45462</t>
  </si>
  <si>
    <t>34031</t>
  </si>
  <si>
    <t>47619</t>
  </si>
  <si>
    <t>35709</t>
  </si>
  <si>
    <t>332</t>
  </si>
  <si>
    <t>1299</t>
  </si>
  <si>
    <t>51329</t>
  </si>
  <si>
    <t>38969</t>
  </si>
  <si>
    <t>40670</t>
  </si>
  <si>
    <t>42436</t>
  </si>
  <si>
    <t>44098</t>
  </si>
  <si>
    <t>CARDENAS FIGUEROA ALEXANDER WILFREDO</t>
  </si>
  <si>
    <t xml:space="preserve">Consultorio Dental Figueroa </t>
  </si>
  <si>
    <t>alexandervirgo171717@gmail.com</t>
  </si>
  <si>
    <t xml:space="preserve">80 MENSUAL 10KG </t>
  </si>
  <si>
    <t xml:space="preserve"> 12/5/23</t>
  </si>
  <si>
    <t xml:space="preserve"> 31/5/23</t>
  </si>
  <si>
    <t>15938</t>
  </si>
  <si>
    <t>24899</t>
  </si>
  <si>
    <t>25664</t>
  </si>
  <si>
    <t>17978</t>
  </si>
  <si>
    <t>26634</t>
  </si>
  <si>
    <t>18492</t>
  </si>
  <si>
    <t>27949</t>
  </si>
  <si>
    <t>19280</t>
  </si>
  <si>
    <t>28903</t>
  </si>
  <si>
    <t>20153</t>
  </si>
  <si>
    <t>29756</t>
  </si>
  <si>
    <t>31870</t>
  </si>
  <si>
    <t>20857</t>
  </si>
  <si>
    <t>30685</t>
  </si>
  <si>
    <t>32812</t>
  </si>
  <si>
    <t>21488</t>
  </si>
  <si>
    <t>31521</t>
  </si>
  <si>
    <t>33674</t>
  </si>
  <si>
    <t>22199</t>
  </si>
  <si>
    <t>32484</t>
  </si>
  <si>
    <t>34572</t>
  </si>
  <si>
    <t>22857</t>
  </si>
  <si>
    <t>33380</t>
  </si>
  <si>
    <t>35458</t>
  </si>
  <si>
    <t>23628</t>
  </si>
  <si>
    <t>34355</t>
  </si>
  <si>
    <t>36304</t>
  </si>
  <si>
    <t>24408</t>
  </si>
  <si>
    <t>35370</t>
  </si>
  <si>
    <t>37347</t>
  </si>
  <si>
    <t>25126</t>
  </si>
  <si>
    <t>36273</t>
  </si>
  <si>
    <t>38284</t>
  </si>
  <si>
    <t xml:space="preserve">
25126</t>
  </si>
  <si>
    <t>37186</t>
  </si>
  <si>
    <t>38979</t>
  </si>
  <si>
    <t>26642</t>
  </si>
  <si>
    <t>38161</t>
  </si>
  <si>
    <t>40300</t>
  </si>
  <si>
    <t>27462</t>
  </si>
  <si>
    <t>39216</t>
  </si>
  <si>
    <t>41356</t>
  </si>
  <si>
    <t>29064</t>
  </si>
  <si>
    <t>29853</t>
  </si>
  <si>
    <t>30321</t>
  </si>
  <si>
    <t>32331</t>
  </si>
  <si>
    <t>33101</t>
  </si>
  <si>
    <t>34030</t>
  </si>
  <si>
    <t>34850</t>
  </si>
  <si>
    <t>35526</t>
  </si>
  <si>
    <t>36481</t>
  </si>
  <si>
    <t>37243</t>
  </si>
  <si>
    <t>38966</t>
  </si>
  <si>
    <t>39841</t>
  </si>
  <si>
    <t>41553</t>
  </si>
  <si>
    <t>42433</t>
  </si>
  <si>
    <t>43252</t>
  </si>
  <si>
    <t>44027</t>
  </si>
  <si>
    <t>44821</t>
  </si>
  <si>
    <t>VIDA MEDIC INVERSIONES S.A.C.</t>
  </si>
  <si>
    <t>VIVAMEDIC</t>
  </si>
  <si>
    <t>118 MENSUAL 15KG</t>
  </si>
  <si>
    <t>27481</t>
  </si>
  <si>
    <t>39205</t>
  </si>
  <si>
    <t>41348</t>
  </si>
  <si>
    <t>28258</t>
  </si>
  <si>
    <t>40250</t>
  </si>
  <si>
    <t>42403</t>
  </si>
  <si>
    <t>29116</t>
  </si>
  <si>
    <t>41302</t>
  </si>
  <si>
    <t>43485</t>
  </si>
  <si>
    <t>29531</t>
  </si>
  <si>
    <t>42266</t>
  </si>
  <si>
    <t>44310</t>
  </si>
  <si>
    <t>30479</t>
  </si>
  <si>
    <t>43243</t>
  </si>
  <si>
    <t>45438</t>
  </si>
  <si>
    <t>C</t>
  </si>
  <si>
    <t>31532</t>
  </si>
  <si>
    <t>44444</t>
  </si>
  <si>
    <t>32399</t>
  </si>
  <si>
    <t>33208</t>
  </si>
  <si>
    <t>46566</t>
  </si>
  <si>
    <t>34877</t>
  </si>
  <si>
    <t>50072</t>
  </si>
  <si>
    <t>35693</t>
  </si>
  <si>
    <t>319</t>
  </si>
  <si>
    <t>37267</t>
  </si>
  <si>
    <t>51319</t>
  </si>
  <si>
    <t>38151</t>
  </si>
  <si>
    <t>52147</t>
  </si>
  <si>
    <t>38990</t>
  </si>
  <si>
    <t>53350</t>
  </si>
  <si>
    <t>41614</t>
  </si>
  <si>
    <t>56486</t>
  </si>
  <si>
    <t>42375</t>
  </si>
  <si>
    <t>58406</t>
  </si>
  <si>
    <t>CANCELADO + YAPE</t>
  </si>
  <si>
    <t>43266</t>
  </si>
  <si>
    <t>59584</t>
  </si>
  <si>
    <t>44115</t>
  </si>
  <si>
    <t>1809</t>
  </si>
  <si>
    <t>SARAVIA HERNANDEZ LUVIA VICTORIA</t>
  </si>
  <si>
    <t xml:space="preserve">ANDRIUVET </t>
  </si>
  <si>
    <t xml:space="preserve">luviasaraviahernandez@gmail.com </t>
  </si>
  <si>
    <t xml:space="preserve"> 8/9/23</t>
  </si>
  <si>
    <t>94,4 MENSUAL 10KG</t>
  </si>
  <si>
    <t>PAGO</t>
  </si>
  <si>
    <t xml:space="preserve"> 7/9/23</t>
  </si>
  <si>
    <t>18922</t>
  </si>
  <si>
    <t>28898</t>
  </si>
  <si>
    <t>20149</t>
  </si>
  <si>
    <t>29751</t>
  </si>
  <si>
    <t>31898</t>
  </si>
  <si>
    <t>20853</t>
  </si>
  <si>
    <t>30683</t>
  </si>
  <si>
    <t>32801</t>
  </si>
  <si>
    <t>21479</t>
  </si>
  <si>
    <t>31515</t>
  </si>
  <si>
    <t>33687</t>
  </si>
  <si>
    <t xml:space="preserve">22188	</t>
  </si>
  <si>
    <t>32506</t>
  </si>
  <si>
    <t>34561</t>
  </si>
  <si>
    <t>22866</t>
  </si>
  <si>
    <t>33394</t>
  </si>
  <si>
    <t>35478</t>
  </si>
  <si>
    <t>23618</t>
  </si>
  <si>
    <t>34240</t>
  </si>
  <si>
    <t>36289</t>
  </si>
  <si>
    <t>24215</t>
  </si>
  <si>
    <t>35357</t>
  </si>
  <si>
    <t>37360</t>
  </si>
  <si>
    <t>CANCELADO YAPE</t>
  </si>
  <si>
    <t>COBRAR</t>
  </si>
  <si>
    <t>25120</t>
  </si>
  <si>
    <t>36262</t>
  </si>
  <si>
    <t>38298</t>
  </si>
  <si>
    <t>37179</t>
  </si>
  <si>
    <t>39227</t>
  </si>
  <si>
    <t>38149</t>
  </si>
  <si>
    <t>40288</t>
  </si>
  <si>
    <t>ROJAS MOLLAPAZA VIOLETA</t>
  </si>
  <si>
    <t>CLINICA - DENTAL FAMILY</t>
  </si>
  <si>
    <t>CHILCA-CAÑETE</t>
  </si>
  <si>
    <t>administracion@dentalfamilychilca.com</t>
  </si>
  <si>
    <t>200 MENSUAL 10KG</t>
  </si>
  <si>
    <t>19216</t>
  </si>
  <si>
    <t>29740</t>
  </si>
  <si>
    <t>31869</t>
  </si>
  <si>
    <t>30687</t>
  </si>
  <si>
    <t>32864</t>
  </si>
  <si>
    <t>31520</t>
  </si>
  <si>
    <t>33673</t>
  </si>
  <si>
    <t>21979</t>
  </si>
  <si>
    <t>32486</t>
  </si>
  <si>
    <t>34571</t>
  </si>
  <si>
    <t>22851</t>
  </si>
  <si>
    <t>33379</t>
  </si>
  <si>
    <t>35457</t>
  </si>
  <si>
    <t>23455</t>
  </si>
  <si>
    <t>34241</t>
  </si>
  <si>
    <t>36292</t>
  </si>
  <si>
    <t>23864</t>
  </si>
  <si>
    <t>35372</t>
  </si>
  <si>
    <t>37389</t>
  </si>
  <si>
    <t>24614</t>
  </si>
  <si>
    <t>36275</t>
  </si>
  <si>
    <t>38286</t>
  </si>
  <si>
    <t>37188</t>
  </si>
  <si>
    <t>38981</t>
  </si>
  <si>
    <t>26541</t>
  </si>
  <si>
    <t>38177</t>
  </si>
  <si>
    <t>40299</t>
  </si>
  <si>
    <t>27455</t>
  </si>
  <si>
    <t>39219</t>
  </si>
  <si>
    <t>28287</t>
  </si>
  <si>
    <t>40364</t>
  </si>
  <si>
    <t>42476</t>
  </si>
  <si>
    <t>29090</t>
  </si>
  <si>
    <t>41242</t>
  </si>
  <si>
    <t>43427</t>
  </si>
  <si>
    <t>28.11.24</t>
  </si>
  <si>
    <t>29794</t>
  </si>
  <si>
    <t>42214</t>
  </si>
  <si>
    <t>44238</t>
  </si>
  <si>
    <t>31.12.24</t>
  </si>
  <si>
    <t>30752</t>
  </si>
  <si>
    <t>45456</t>
  </si>
  <si>
    <t>31477</t>
  </si>
  <si>
    <t>44379</t>
  </si>
  <si>
    <t>32357</t>
  </si>
  <si>
    <t>33213</t>
  </si>
  <si>
    <t>34477</t>
  </si>
  <si>
    <t>34778</t>
  </si>
  <si>
    <t>35546</t>
  </si>
  <si>
    <t>36384</t>
  </si>
  <si>
    <t>37032</t>
  </si>
  <si>
    <t>38104</t>
  </si>
  <si>
    <t>38878</t>
  </si>
  <si>
    <t>39694</t>
  </si>
  <si>
    <t>40417</t>
  </si>
  <si>
    <t>41414</t>
  </si>
  <si>
    <t>42239</t>
  </si>
  <si>
    <t>43038</t>
  </si>
  <si>
    <t>43934</t>
  </si>
  <si>
    <t>44827</t>
  </si>
  <si>
    <t>Clínica Veterinaria Martinez E.I.R.L</t>
  </si>
  <si>
    <t xml:space="preserve"> vet.martinez.ica@gmail.com</t>
  </si>
  <si>
    <t>94,40 MENSUAL 10KG  - S/3.5 EXCED</t>
  </si>
  <si>
    <t>21747</t>
  </si>
  <si>
    <t>32507</t>
  </si>
  <si>
    <t>33396</t>
  </si>
  <si>
    <t>34242</t>
  </si>
  <si>
    <t xml:space="preserve">
24135</t>
  </si>
  <si>
    <t>35359</t>
  </si>
  <si>
    <t>36263</t>
  </si>
  <si>
    <t>37180</t>
  </si>
  <si>
    <t>26604</t>
  </si>
  <si>
    <t>38150</t>
  </si>
  <si>
    <t>27472</t>
  </si>
  <si>
    <t>39196</t>
  </si>
  <si>
    <t>28268</t>
  </si>
  <si>
    <t>40242</t>
  </si>
  <si>
    <t>41294</t>
  </si>
  <si>
    <t>29919</t>
  </si>
  <si>
    <t>42259</t>
  </si>
  <si>
    <t>30721</t>
  </si>
  <si>
    <t>43235</t>
  </si>
  <si>
    <t>30..01.24</t>
  </si>
  <si>
    <t>31525</t>
  </si>
  <si>
    <t>44437</t>
  </si>
  <si>
    <t>32389</t>
  </si>
  <si>
    <t>45443</t>
  </si>
  <si>
    <t>33202</t>
  </si>
  <si>
    <t>46559</t>
  </si>
  <si>
    <t>4.6</t>
  </si>
  <si>
    <t>34037</t>
  </si>
  <si>
    <t>47644</t>
  </si>
  <si>
    <t>34869</t>
  </si>
  <si>
    <t>50051</t>
  </si>
  <si>
    <t>35686</t>
  </si>
  <si>
    <t>36498</t>
  </si>
  <si>
    <t>37262</t>
  </si>
  <si>
    <t>39848</t>
  </si>
  <si>
    <t>108.40</t>
  </si>
  <si>
    <t>40556</t>
  </si>
  <si>
    <t>S/ 151.80</t>
  </si>
  <si>
    <t>41610</t>
  </si>
  <si>
    <t>S/ 134.30</t>
  </si>
  <si>
    <t>42423</t>
  </si>
  <si>
    <t>S/ 129.40</t>
  </si>
  <si>
    <t>43262</t>
  </si>
  <si>
    <t>44111</t>
  </si>
  <si>
    <t>Vanessa Juliana Tataje Ramos</t>
  </si>
  <si>
    <t>Veterinaria PETTYVET</t>
  </si>
  <si>
    <t>Vanessatr_19@hotmail.com</t>
  </si>
  <si>
    <t>120 MENSUAL 10KG</t>
  </si>
  <si>
    <t>24387</t>
  </si>
  <si>
    <t xml:space="preserve">ROSA MERCEDES DONAYRE CAYO							</t>
  </si>
  <si>
    <t xml:space="preserve">CLINICA VETERINARIA PETSHOP CLAUDIVAL				</t>
  </si>
  <si>
    <t xml:space="preserve">10414097729		</t>
  </si>
  <si>
    <t>rdonayrecayo@gmail.com</t>
  </si>
  <si>
    <t xml:space="preserve">118 MENSUAL 10KG							</t>
  </si>
  <si>
    <t xml:space="preserve">	24871</t>
  </si>
  <si>
    <t>37181</t>
  </si>
  <si>
    <t>39229</t>
  </si>
  <si>
    <t>26640</t>
  </si>
  <si>
    <t>27466</t>
  </si>
  <si>
    <t>39197</t>
  </si>
  <si>
    <t>28269</t>
  </si>
  <si>
    <t>40243</t>
  </si>
  <si>
    <t>29109</t>
  </si>
  <si>
    <t>41295</t>
  </si>
  <si>
    <t>29890</t>
  </si>
  <si>
    <t>42260</t>
  </si>
  <si>
    <t>30619</t>
  </si>
  <si>
    <t>43236</t>
  </si>
  <si>
    <t>44438</t>
  </si>
  <si>
    <t>32390</t>
  </si>
  <si>
    <t>33203</t>
  </si>
  <si>
    <t>46560</t>
  </si>
  <si>
    <t>34038</t>
  </si>
  <si>
    <t>47645</t>
  </si>
  <si>
    <t>34870</t>
  </si>
  <si>
    <t>50055</t>
  </si>
  <si>
    <t>36499</t>
  </si>
  <si>
    <t>50054</t>
  </si>
  <si>
    <t>36500</t>
  </si>
  <si>
    <t>50056</t>
  </si>
  <si>
    <t>37263</t>
  </si>
  <si>
    <t>51312</t>
  </si>
  <si>
    <t>38146</t>
  </si>
  <si>
    <t>52141</t>
  </si>
  <si>
    <t>38987</t>
  </si>
  <si>
    <t>39849</t>
  </si>
  <si>
    <t>40648</t>
  </si>
  <si>
    <t>41611</t>
  </si>
  <si>
    <t>42424</t>
  </si>
  <si>
    <t>1644</t>
  </si>
  <si>
    <t>43263</t>
  </si>
  <si>
    <t>CLINICA VETERINARIA BROWN EIRL</t>
  </si>
  <si>
    <t>118 MENSUAL - 10KG</t>
  </si>
  <si>
    <t>25995</t>
  </si>
  <si>
    <t>38152</t>
  </si>
  <si>
    <t>27471</t>
  </si>
  <si>
    <t>39198</t>
  </si>
  <si>
    <t>28270</t>
  </si>
  <si>
    <t>40244</t>
  </si>
  <si>
    <t>29110</t>
  </si>
  <si>
    <t>41296</t>
  </si>
  <si>
    <t>29920</t>
  </si>
  <si>
    <t>42261</t>
  </si>
  <si>
    <t>30722</t>
  </si>
  <si>
    <t>43237</t>
  </si>
  <si>
    <t>31527</t>
  </si>
  <si>
    <t>44439</t>
  </si>
  <si>
    <t>32392</t>
  </si>
  <si>
    <t>45445</t>
  </si>
  <si>
    <t>33204</t>
  </si>
  <si>
    <t>46561</t>
  </si>
  <si>
    <t>34039</t>
  </si>
  <si>
    <t>47646</t>
  </si>
  <si>
    <t>34871</t>
  </si>
  <si>
    <t>50057</t>
  </si>
  <si>
    <t>35687</t>
  </si>
  <si>
    <t>50058</t>
  </si>
  <si>
    <t>36501</t>
  </si>
  <si>
    <t>50059</t>
  </si>
  <si>
    <t>37264</t>
  </si>
  <si>
    <t>51313</t>
  </si>
  <si>
    <t>38147</t>
  </si>
  <si>
    <t>52142</t>
  </si>
  <si>
    <t>38988</t>
  </si>
  <si>
    <t>53343</t>
  </si>
  <si>
    <t>39850</t>
  </si>
  <si>
    <t>40649</t>
  </si>
  <si>
    <t>41612</t>
  </si>
  <si>
    <t>2.1</t>
  </si>
  <si>
    <t>42425</t>
  </si>
  <si>
    <t>43264</t>
  </si>
  <si>
    <t>44113</t>
  </si>
  <si>
    <t>Asociación Civil San Martin de Porres Perú ONG</t>
  </si>
  <si>
    <t>Policlínico Solidario de Chincha</t>
  </si>
  <si>
    <t>willichumpitazg@gmail. com</t>
  </si>
  <si>
    <t>350 BIMENSUAL 25KG</t>
  </si>
  <si>
    <t xml:space="preserve">	27223</t>
  </si>
  <si>
    <t>38717</t>
  </si>
  <si>
    <t>29099</t>
  </si>
  <si>
    <t>41317</t>
  </si>
  <si>
    <t>30331</t>
  </si>
  <si>
    <t>43221</t>
  </si>
  <si>
    <t>34087</t>
  </si>
  <si>
    <t>44430</t>
  </si>
  <si>
    <t>34088</t>
  </si>
  <si>
    <t>46023</t>
  </si>
  <si>
    <t>34051</t>
  </si>
  <si>
    <t>47628</t>
  </si>
  <si>
    <t>S/ 350.00</t>
  </si>
  <si>
    <t>36490</t>
  </si>
  <si>
    <t>50019</t>
  </si>
  <si>
    <t>38098</t>
  </si>
  <si>
    <t>52123</t>
  </si>
  <si>
    <t>39712</t>
  </si>
  <si>
    <t>54616</t>
  </si>
  <si>
    <t>S/ 350.01</t>
  </si>
  <si>
    <t>41597</t>
  </si>
  <si>
    <t>56457</t>
  </si>
  <si>
    <t>43280</t>
  </si>
  <si>
    <t>59600</t>
  </si>
  <si>
    <t>44966</t>
  </si>
  <si>
    <t>62071</t>
  </si>
  <si>
    <t>LEXMI QUINTANILLA TAMBRA</t>
  </si>
  <si>
    <t>LABORATORIO CLINICO ESPECIALIZADO GADIEL</t>
  </si>
  <si>
    <t>OKYGIOVANNI@HOTMAIL.COM</t>
  </si>
  <si>
    <t>118 mensual 10kg</t>
  </si>
  <si>
    <t>28313</t>
  </si>
  <si>
    <t>648</t>
  </si>
  <si>
    <t>40301</t>
  </si>
  <si>
    <t>29924</t>
  </si>
  <si>
    <t>41303</t>
  </si>
  <si>
    <t>42267</t>
  </si>
  <si>
    <t>30727</t>
  </si>
  <si>
    <t>43244</t>
  </si>
  <si>
    <t>31533</t>
  </si>
  <si>
    <t>44445</t>
  </si>
  <si>
    <t>33163</t>
  </si>
  <si>
    <t>45452</t>
  </si>
  <si>
    <t>33164</t>
  </si>
  <si>
    <t>46587</t>
  </si>
  <si>
    <t>34043</t>
  </si>
  <si>
    <t>47653</t>
  </si>
  <si>
    <t>34878</t>
  </si>
  <si>
    <t>50074</t>
  </si>
  <si>
    <t>35719</t>
  </si>
  <si>
    <t>50913</t>
  </si>
  <si>
    <t>36509</t>
  </si>
  <si>
    <t>50075</t>
  </si>
  <si>
    <t>37299</t>
  </si>
  <si>
    <t>51320</t>
  </si>
  <si>
    <t>38127</t>
  </si>
  <si>
    <t>52148</t>
  </si>
  <si>
    <t>53351</t>
  </si>
  <si>
    <t>39852</t>
  </si>
  <si>
    <t>53352</t>
  </si>
  <si>
    <t>40530</t>
  </si>
  <si>
    <t>41528</t>
  </si>
  <si>
    <t>42412</t>
  </si>
  <si>
    <t>44117</t>
  </si>
  <si>
    <t>MEDICOS SOLIDARIOS SMG SAC</t>
  </si>
  <si>
    <t>VINALI</t>
  </si>
  <si>
    <t>CALLE LIMA ICA</t>
  </si>
  <si>
    <t>120 mensual 10kg</t>
  </si>
  <si>
    <t>28373</t>
  </si>
  <si>
    <t>663</t>
  </si>
  <si>
    <t>41304</t>
  </si>
  <si>
    <t>29886</t>
  </si>
  <si>
    <t>42268</t>
  </si>
  <si>
    <t>30330</t>
  </si>
  <si>
    <t>43222</t>
  </si>
  <si>
    <t>30.01-25</t>
  </si>
  <si>
    <t>44425</t>
  </si>
  <si>
    <t>32381</t>
  </si>
  <si>
    <t>33209</t>
  </si>
  <si>
    <t>46567</t>
  </si>
  <si>
    <t>34050</t>
  </si>
  <si>
    <t>47654</t>
  </si>
  <si>
    <t>34862</t>
  </si>
  <si>
    <t>50077</t>
  </si>
  <si>
    <t>35694</t>
  </si>
  <si>
    <t>50076</t>
  </si>
  <si>
    <t>36518</t>
  </si>
  <si>
    <t>50078</t>
  </si>
  <si>
    <t>37253</t>
  </si>
  <si>
    <t>51321</t>
  </si>
  <si>
    <t>38140</t>
  </si>
  <si>
    <t>52149</t>
  </si>
  <si>
    <t>38991</t>
  </si>
  <si>
    <t>53353</t>
  </si>
  <si>
    <t>39840</t>
  </si>
  <si>
    <t>54448</t>
  </si>
  <si>
    <t>12-01.26</t>
  </si>
  <si>
    <t>40639</t>
  </si>
  <si>
    <t>55717</t>
  </si>
  <si>
    <t>41599</t>
  </si>
  <si>
    <t>56488</t>
  </si>
  <si>
    <t>42429</t>
  </si>
  <si>
    <t>43151</t>
  </si>
  <si>
    <t>44100</t>
  </si>
  <si>
    <t>662</t>
  </si>
  <si>
    <t>40679</t>
  </si>
  <si>
    <t>NO SE LLEVO BALANZA</t>
  </si>
  <si>
    <t xml:space="preserve">30330	</t>
  </si>
  <si>
    <t>42271</t>
  </si>
  <si>
    <t>43223</t>
  </si>
  <si>
    <t>44426</t>
  </si>
  <si>
    <t>45471</t>
  </si>
  <si>
    <t>33223</t>
  </si>
  <si>
    <t>46580</t>
  </si>
  <si>
    <t>34029</t>
  </si>
  <si>
    <t>47631</t>
  </si>
  <si>
    <t>49997</t>
  </si>
  <si>
    <t>35707</t>
  </si>
  <si>
    <t>50017</t>
  </si>
  <si>
    <t>36494</t>
  </si>
  <si>
    <t>50018</t>
  </si>
  <si>
    <t>37252</t>
  </si>
  <si>
    <t>51342</t>
  </si>
  <si>
    <t>38139</t>
  </si>
  <si>
    <t>52128</t>
  </si>
  <si>
    <t>53329</t>
  </si>
  <si>
    <t>54622</t>
  </si>
  <si>
    <t>55646</t>
  </si>
  <si>
    <t>56459</t>
  </si>
  <si>
    <t>7.5</t>
  </si>
  <si>
    <t xml:space="preserve">LUISA CORDOVA HERRERA </t>
  </si>
  <si>
    <t>90 MENSUAL - LIMITE 10KG</t>
  </si>
  <si>
    <t>AV MANCO CAPAC MZ23 LOTE 01-TUPAC AMARU INCA PISCO</t>
  </si>
  <si>
    <t>31/10/204</t>
  </si>
  <si>
    <t>29844</t>
  </si>
  <si>
    <t>41499</t>
  </si>
  <si>
    <t>42272</t>
  </si>
  <si>
    <t>30675</t>
  </si>
  <si>
    <t>43597</t>
  </si>
  <si>
    <t>NO SE HIZO</t>
  </si>
  <si>
    <t>32401</t>
  </si>
  <si>
    <t>46570</t>
  </si>
  <si>
    <t>33297/ANULAR</t>
  </si>
  <si>
    <t>Policlinico Santa Teresa Jesús SAC</t>
  </si>
  <si>
    <t>440 MENSUAL - FREC QUINCENAL SIN LIMITE</t>
  </si>
  <si>
    <t>CORREGIR A QUINCENAL</t>
  </si>
  <si>
    <t>712</t>
  </si>
  <si>
    <t>42270</t>
  </si>
  <si>
    <t>43247</t>
  </si>
  <si>
    <t>43248</t>
  </si>
  <si>
    <t>44135</t>
  </si>
  <si>
    <t>44446</t>
  </si>
  <si>
    <t>45032</t>
  </si>
  <si>
    <t>45455</t>
  </si>
  <si>
    <t>46024</t>
  </si>
  <si>
    <t>46569</t>
  </si>
  <si>
    <t>47223</t>
  </si>
  <si>
    <t>47656</t>
  </si>
  <si>
    <t>50083</t>
  </si>
  <si>
    <t>M</t>
  </si>
  <si>
    <t>50082</t>
  </si>
  <si>
    <t>50916</t>
  </si>
  <si>
    <t>50920</t>
  </si>
  <si>
    <t>50084</t>
  </si>
  <si>
    <t>50021</t>
  </si>
  <si>
    <t>FALTA CANCELAR S/120</t>
  </si>
  <si>
    <t>CLINICA NIÑO DE PRAGA SAC</t>
  </si>
  <si>
    <t>DRA. YEARLING HERRERA</t>
  </si>
  <si>
    <t>10475685674 - YAUJA HERRERA YEARLING ESTEFFAN - BOLETA DE VENTA</t>
  </si>
  <si>
    <t>YEARLING77@GMAIL.COM</t>
  </si>
  <si>
    <t>100 MENSUAL  6KG</t>
  </si>
  <si>
    <t>29925</t>
  </si>
  <si>
    <t>42269</t>
  </si>
  <si>
    <t>30728</t>
  </si>
  <si>
    <t>43245</t>
  </si>
  <si>
    <t>31534</t>
  </si>
  <si>
    <t>44448</t>
  </si>
  <si>
    <t>33165</t>
  </si>
  <si>
    <t>46568</t>
  </si>
  <si>
    <t>33976</t>
  </si>
  <si>
    <t>47655</t>
  </si>
  <si>
    <t>34879</t>
  </si>
  <si>
    <t>50079</t>
  </si>
  <si>
    <t>35695</t>
  </si>
  <si>
    <t>50080</t>
  </si>
  <si>
    <t>36519</t>
  </si>
  <si>
    <t>50081</t>
  </si>
  <si>
    <t>xmi</t>
  </si>
  <si>
    <t>37268</t>
  </si>
  <si>
    <t>51322</t>
  </si>
  <si>
    <t>38128</t>
  </si>
  <si>
    <t>52150</t>
  </si>
  <si>
    <t>38997</t>
  </si>
  <si>
    <t>53354</t>
  </si>
  <si>
    <t>YNTHIA</t>
  </si>
  <si>
    <t>54449</t>
  </si>
  <si>
    <t xml:space="preserve"> B001-89</t>
  </si>
  <si>
    <t>55718</t>
  </si>
  <si>
    <t>B001-96</t>
  </si>
  <si>
    <t>56489</t>
  </si>
  <si>
    <t>B001-100</t>
  </si>
  <si>
    <t>58409</t>
  </si>
  <si>
    <t xml:space="preserve"> B001-104</t>
  </si>
  <si>
    <t>59587</t>
  </si>
  <si>
    <t>CENTRO DIAGNOSTICO ECOFETAL SOCIEDAD ANONIMA CERRADA</t>
  </si>
  <si>
    <t>Ecofetal</t>
  </si>
  <si>
    <t>Hernandezdonayremariafernanda@gmail.com</t>
  </si>
  <si>
    <t>s</t>
  </si>
  <si>
    <t>31647</t>
  </si>
  <si>
    <t>45457</t>
  </si>
  <si>
    <t>33166</t>
  </si>
  <si>
    <t>46571</t>
  </si>
  <si>
    <t>33978</t>
  </si>
  <si>
    <t>47658</t>
  </si>
  <si>
    <t>34881</t>
  </si>
  <si>
    <t>50085</t>
  </si>
  <si>
    <t>35697</t>
  </si>
  <si>
    <t>50914</t>
  </si>
  <si>
    <t>36522</t>
  </si>
  <si>
    <t>50086</t>
  </si>
  <si>
    <t>37246</t>
  </si>
  <si>
    <t>51324</t>
  </si>
  <si>
    <t>52152</t>
  </si>
  <si>
    <t>53355</t>
  </si>
  <si>
    <t>39718</t>
  </si>
  <si>
    <t>54450</t>
  </si>
  <si>
    <t>40660</t>
  </si>
  <si>
    <t>55719</t>
  </si>
  <si>
    <t>41558</t>
  </si>
  <si>
    <t>56490</t>
  </si>
  <si>
    <t>42378</t>
  </si>
  <si>
    <t>58410</t>
  </si>
  <si>
    <t>43270</t>
  </si>
  <si>
    <t>59588</t>
  </si>
  <si>
    <t>44028</t>
  </si>
  <si>
    <t>61005</t>
  </si>
  <si>
    <t>44858</t>
  </si>
  <si>
    <t>CLINICA HERNANI SAC</t>
  </si>
  <si>
    <t>Clínica Nueva Salud</t>
  </si>
  <si>
    <t xml:space="preserve"> CHINCHA</t>
  </si>
  <si>
    <t>ksotelo@clinicanuevasalud.pe , mmeza@clinicanuevasalud.pe</t>
  </si>
  <si>
    <t>7 X KG INC IGV BIO /ESP QUINCENAL</t>
  </si>
  <si>
    <t>33102</t>
  </si>
  <si>
    <t>45901</t>
  </si>
  <si>
    <t>s/ 2,479,85</t>
  </si>
  <si>
    <t>46579</t>
  </si>
  <si>
    <t>34211</t>
  </si>
  <si>
    <t>47222</t>
  </si>
  <si>
    <t>47629</t>
  </si>
  <si>
    <t>34997</t>
  </si>
  <si>
    <t>48016</t>
  </si>
  <si>
    <t>49993</t>
  </si>
  <si>
    <t>35962</t>
  </si>
  <si>
    <t>50011</t>
  </si>
  <si>
    <t>50020</t>
  </si>
  <si>
    <t xml:space="preserve">     </t>
  </si>
  <si>
    <t>36649</t>
  </si>
  <si>
    <t>50910</t>
  </si>
  <si>
    <t>50911</t>
  </si>
  <si>
    <t>37452</t>
  </si>
  <si>
    <t>51338</t>
  </si>
  <si>
    <t>38302</t>
  </si>
  <si>
    <t>50919</t>
  </si>
  <si>
    <t>52124</t>
  </si>
  <si>
    <t>39122</t>
  </si>
  <si>
    <t>51344</t>
  </si>
  <si>
    <t>53330</t>
  </si>
  <si>
    <t>39820</t>
  </si>
  <si>
    <t>40707</t>
  </si>
  <si>
    <t>1320.10</t>
  </si>
  <si>
    <t>41641</t>
  </si>
  <si>
    <t>42526</t>
  </si>
  <si>
    <t>S/2018.2</t>
  </si>
  <si>
    <t>43416</t>
  </si>
  <si>
    <t>S/1679.2</t>
  </si>
  <si>
    <t>44206</t>
  </si>
  <si>
    <t>2,017.50</t>
  </si>
  <si>
    <t>PRINCIPAL VET SAC</t>
  </si>
  <si>
    <t>33222</t>
  </si>
  <si>
    <t>1042</t>
  </si>
  <si>
    <t>46581</t>
  </si>
  <si>
    <t>34028</t>
  </si>
  <si>
    <t>47630</t>
  </si>
  <si>
    <t>34852</t>
  </si>
  <si>
    <t>49994</t>
  </si>
  <si>
    <t>50012</t>
  </si>
  <si>
    <t>36491</t>
  </si>
  <si>
    <t>37244</t>
  </si>
  <si>
    <t>51339</t>
  </si>
  <si>
    <t>38100</t>
  </si>
  <si>
    <t>52125</t>
  </si>
  <si>
    <t>38970</t>
  </si>
  <si>
    <t>53325</t>
  </si>
  <si>
    <t>39838</t>
  </si>
  <si>
    <t>54618</t>
  </si>
  <si>
    <t>40637</t>
  </si>
  <si>
    <t>55642</t>
  </si>
  <si>
    <t>41603</t>
  </si>
  <si>
    <t>56464</t>
  </si>
  <si>
    <t>42443</t>
  </si>
  <si>
    <t>58377</t>
  </si>
  <si>
    <t>43284</t>
  </si>
  <si>
    <t>59775</t>
  </si>
  <si>
    <t>44093</t>
  </si>
  <si>
    <t>60975</t>
  </si>
  <si>
    <t>62079</t>
  </si>
  <si>
    <t>GONZALES ELIAS CLAUDIO JESUS</t>
  </si>
  <si>
    <t>CADAVERES DE ANIMALES S/140</t>
  </si>
  <si>
    <t>150 MENSUAL 15KG</t>
  </si>
  <si>
    <t>33778</t>
  </si>
  <si>
    <t>SINC ODIGO</t>
  </si>
  <si>
    <t>48884</t>
  </si>
  <si>
    <t>35677</t>
  </si>
  <si>
    <t>49967</t>
  </si>
  <si>
    <t>36533</t>
  </si>
  <si>
    <t>50149</t>
  </si>
  <si>
    <t>50469</t>
  </si>
  <si>
    <t>52203</t>
  </si>
  <si>
    <t>53405</t>
  </si>
  <si>
    <t>39858</t>
  </si>
  <si>
    <t>54496</t>
  </si>
  <si>
    <t>40615</t>
  </si>
  <si>
    <t>55768</t>
  </si>
  <si>
    <t>41497</t>
  </si>
  <si>
    <t>57039</t>
  </si>
  <si>
    <t>42356</t>
  </si>
  <si>
    <t>58330</t>
  </si>
  <si>
    <t>43255</t>
  </si>
  <si>
    <t>59563</t>
  </si>
  <si>
    <t>44161</t>
  </si>
  <si>
    <t>60955</t>
  </si>
  <si>
    <t>44947</t>
  </si>
  <si>
    <t>62279</t>
  </si>
  <si>
    <t>Dr. Francisco Roman M. EIRL</t>
  </si>
  <si>
    <t>Ver +</t>
  </si>
  <si>
    <t>franroman39@hotmail.com</t>
  </si>
  <si>
    <t>34404</t>
  </si>
  <si>
    <t>1104</t>
  </si>
  <si>
    <t>50088</t>
  </si>
  <si>
    <t>35698</t>
  </si>
  <si>
    <t>50089</t>
  </si>
  <si>
    <t>36457</t>
  </si>
  <si>
    <t>50090</t>
  </si>
  <si>
    <t>37143</t>
  </si>
  <si>
    <t>51325</t>
  </si>
  <si>
    <t>38114</t>
  </si>
  <si>
    <t>52153</t>
  </si>
  <si>
    <t>38998</t>
  </si>
  <si>
    <t>53357</t>
  </si>
  <si>
    <t>39746</t>
  </si>
  <si>
    <t>54601</t>
  </si>
  <si>
    <t>40661</t>
  </si>
  <si>
    <t>55720</t>
  </si>
  <si>
    <t>41615</t>
  </si>
  <si>
    <t>56491</t>
  </si>
  <si>
    <t>43271</t>
  </si>
  <si>
    <t>59589</t>
  </si>
  <si>
    <t>44116</t>
  </si>
  <si>
    <t>61006</t>
  </si>
  <si>
    <t>44861</t>
  </si>
  <si>
    <t>CLINICA VETERINARIA ALONZO SAC</t>
  </si>
  <si>
    <t>CLINICA VETERINARIA ALONZO</t>
  </si>
  <si>
    <t>alonzovet25@gmail.com</t>
  </si>
  <si>
    <t>34612</t>
  </si>
  <si>
    <t>49995</t>
  </si>
  <si>
    <t>35706</t>
  </si>
  <si>
    <t>50013</t>
  </si>
  <si>
    <t>36492</t>
  </si>
  <si>
    <t>50014</t>
  </si>
  <si>
    <t>caNCELADO</t>
  </si>
  <si>
    <t>37251</t>
  </si>
  <si>
    <t>51340</t>
  </si>
  <si>
    <t>29/9//25</t>
  </si>
  <si>
    <t>38099</t>
  </si>
  <si>
    <t>52126</t>
  </si>
  <si>
    <t>38972</t>
  </si>
  <si>
    <t>53326</t>
  </si>
  <si>
    <t>39839</t>
  </si>
  <si>
    <t>54619</t>
  </si>
  <si>
    <t>40638</t>
  </si>
  <si>
    <t>55643</t>
  </si>
  <si>
    <t>41604</t>
  </si>
  <si>
    <t>42444</t>
  </si>
  <si>
    <t>58378</t>
  </si>
  <si>
    <t>44104</t>
  </si>
  <si>
    <t>60976</t>
  </si>
  <si>
    <t>62080</t>
  </si>
  <si>
    <t>Zuly Geraldine Ayón Cayo</t>
  </si>
  <si>
    <t>Clínica Veterinaria ZAC</t>
  </si>
  <si>
    <t>zayoncayo@gmail.com</t>
  </si>
  <si>
    <t xml:space="preserve">	37193</t>
  </si>
  <si>
    <t>52129</t>
  </si>
  <si>
    <t>38973</t>
  </si>
  <si>
    <t>53328</t>
  </si>
  <si>
    <t>39713</t>
  </si>
  <si>
    <t>54621</t>
  </si>
  <si>
    <t>40553</t>
  </si>
  <si>
    <t>55645</t>
  </si>
  <si>
    <t>41554</t>
  </si>
  <si>
    <t>56467</t>
  </si>
  <si>
    <t>42446</t>
  </si>
  <si>
    <t>58380</t>
  </si>
  <si>
    <t>43286</t>
  </si>
  <si>
    <t>59778</t>
  </si>
  <si>
    <t>44095</t>
  </si>
  <si>
    <t>60978</t>
  </si>
  <si>
    <t>LOZA AYBAR YULY KATHERINE</t>
  </si>
  <si>
    <t xml:space="preserve">Veterinaria DFRANK </t>
  </si>
  <si>
    <t>yulyjm18af@gmail.com</t>
  </si>
  <si>
    <t>35198</t>
  </si>
  <si>
    <t>49996</t>
  </si>
  <si>
    <t>36493</t>
  </si>
  <si>
    <t>50015</t>
  </si>
  <si>
    <t>37245</t>
  </si>
  <si>
    <t>51341</t>
  </si>
  <si>
    <t>38138</t>
  </si>
  <si>
    <t>52127</t>
  </si>
  <si>
    <t>38971</t>
  </si>
  <si>
    <t>53327</t>
  </si>
  <si>
    <t>39714</t>
  </si>
  <si>
    <t>54620</t>
  </si>
  <si>
    <t>40554</t>
  </si>
  <si>
    <t>55644</t>
  </si>
  <si>
    <t>41605</t>
  </si>
  <si>
    <t>56466</t>
  </si>
  <si>
    <t>42445</t>
  </si>
  <si>
    <t>58379</t>
  </si>
  <si>
    <t>43285</t>
  </si>
  <si>
    <t>59777</t>
  </si>
  <si>
    <t>44094</t>
  </si>
  <si>
    <t>60977</t>
  </si>
  <si>
    <t>KELY BURGA GONZALES</t>
  </si>
  <si>
    <t>90 MENSUAL 10KG</t>
  </si>
  <si>
    <t>34710</t>
  </si>
  <si>
    <t>50094</t>
  </si>
  <si>
    <t>50095</t>
  </si>
  <si>
    <t>51327</t>
  </si>
  <si>
    <t>52155</t>
  </si>
  <si>
    <t>53359</t>
  </si>
  <si>
    <t>39853</t>
  </si>
  <si>
    <t>54603</t>
  </si>
  <si>
    <t>YAPE - FALTA S/20</t>
  </si>
  <si>
    <t>YAPE los 20 que faltaba</t>
  </si>
  <si>
    <t>38558</t>
  </si>
  <si>
    <t>55722</t>
  </si>
  <si>
    <t>41617</t>
  </si>
  <si>
    <t>56493</t>
  </si>
  <si>
    <t>42431</t>
  </si>
  <si>
    <t>58413</t>
  </si>
  <si>
    <t>43273</t>
  </si>
  <si>
    <t>59591</t>
  </si>
  <si>
    <t>44119</t>
  </si>
  <si>
    <t>61008</t>
  </si>
  <si>
    <t>Emerson Escriba Palomino</t>
  </si>
  <si>
    <t xml:space="preserve">emersonescribapalomino@gmail.com </t>
  </si>
  <si>
    <t>34712</t>
  </si>
  <si>
    <t>50091</t>
  </si>
  <si>
    <t>35304</t>
  </si>
  <si>
    <t>50092</t>
  </si>
  <si>
    <t>36523</t>
  </si>
  <si>
    <t>50093</t>
  </si>
  <si>
    <t>37184</t>
  </si>
  <si>
    <t>51326</t>
  </si>
  <si>
    <t>52154</t>
  </si>
  <si>
    <t>38999</t>
  </si>
  <si>
    <t>53358</t>
  </si>
  <si>
    <t>39715</t>
  </si>
  <si>
    <t>54602</t>
  </si>
  <si>
    <t>40471</t>
  </si>
  <si>
    <t>55721</t>
  </si>
  <si>
    <t>56492</t>
  </si>
  <si>
    <t>42430</t>
  </si>
  <si>
    <t>58412</t>
  </si>
  <si>
    <t>43272</t>
  </si>
  <si>
    <t>59590</t>
  </si>
  <si>
    <t>44118</t>
  </si>
  <si>
    <t>61007</t>
  </si>
  <si>
    <t>44967</t>
  </si>
  <si>
    <t>CLINICA DENTAL PERU DENT EIRL</t>
  </si>
  <si>
    <t>ica</t>
  </si>
  <si>
    <t>38042</t>
  </si>
  <si>
    <t>1315</t>
  </si>
  <si>
    <t>51347</t>
  </si>
  <si>
    <t>52156</t>
  </si>
  <si>
    <t>39000</t>
  </si>
  <si>
    <t>54604</t>
  </si>
  <si>
    <t>39716</t>
  </si>
  <si>
    <t>54626</t>
  </si>
  <si>
    <t>40662</t>
  </si>
  <si>
    <t>55723</t>
  </si>
  <si>
    <t>41559</t>
  </si>
  <si>
    <t>56494</t>
  </si>
  <si>
    <t>42372</t>
  </si>
  <si>
    <t>58414</t>
  </si>
  <si>
    <t>43274</t>
  </si>
  <si>
    <t>59592</t>
  </si>
  <si>
    <t>44088</t>
  </si>
  <si>
    <t>61009</t>
  </si>
  <si>
    <t>44970</t>
  </si>
  <si>
    <t>clinica veterinaria faccevet sac.</t>
  </si>
  <si>
    <t xml:space="preserve">Cvfaccevet@gmail.com. </t>
  </si>
  <si>
    <t>38038</t>
  </si>
  <si>
    <t>52184</t>
  </si>
  <si>
    <t>39001</t>
  </si>
  <si>
    <t>53361</t>
  </si>
  <si>
    <t>39854</t>
  </si>
  <si>
    <t>54605</t>
  </si>
  <si>
    <t>40663</t>
  </si>
  <si>
    <t>55724</t>
  </si>
  <si>
    <t>41618</t>
  </si>
  <si>
    <t>56495</t>
  </si>
  <si>
    <t>7.2</t>
  </si>
  <si>
    <t>42432</t>
  </si>
  <si>
    <t>58415</t>
  </si>
  <si>
    <t>43275</t>
  </si>
  <si>
    <t>59593</t>
  </si>
  <si>
    <t>44120</t>
  </si>
  <si>
    <t>61010</t>
  </si>
  <si>
    <t>RR GASTROCENTER SAC</t>
  </si>
  <si>
    <t>GASTROSALUD ICA</t>
  </si>
  <si>
    <t>roxana.ig@hotmail.com</t>
  </si>
  <si>
    <t>100 MENSUAL 13KG</t>
  </si>
  <si>
    <t>38954</t>
  </si>
  <si>
    <t>53364</t>
  </si>
  <si>
    <t>CANCAELADO</t>
  </si>
  <si>
    <t>39857</t>
  </si>
  <si>
    <t>54623</t>
  </si>
  <si>
    <t>40664</t>
  </si>
  <si>
    <t>55725</t>
  </si>
  <si>
    <t>42374</t>
  </si>
  <si>
    <t>58416</t>
  </si>
  <si>
    <t>43104</t>
  </si>
  <si>
    <t>59594</t>
  </si>
  <si>
    <t>44092</t>
  </si>
  <si>
    <t>61011</t>
  </si>
  <si>
    <t>CENTRO NEFROLOGICO SEÑOR DE LA MISERICORDIA SAC</t>
  </si>
  <si>
    <t>CENSEMI SAC</t>
  </si>
  <si>
    <t>DIALISIS SEÑOR DE LA MISERICORDIA</t>
  </si>
  <si>
    <t>PENALIDAD S/.2500</t>
  </si>
  <si>
    <t xml:space="preserve">3.5 X KG INTERDIARIO </t>
  </si>
  <si>
    <t>ADELANTO Y 04-03-212</t>
  </si>
  <si>
    <t>39819</t>
  </si>
  <si>
    <t>54627</t>
  </si>
  <si>
    <t>54628</t>
  </si>
  <si>
    <t>54629</t>
  </si>
  <si>
    <t>54630</t>
  </si>
  <si>
    <t>54631</t>
  </si>
  <si>
    <t>40717</t>
  </si>
  <si>
    <t>54799</t>
  </si>
  <si>
    <t>Fecha de Pago</t>
  </si>
  <si>
    <t>Monto</t>
  </si>
  <si>
    <t>54800</t>
  </si>
  <si>
    <t>Adelanto</t>
  </si>
  <si>
    <t>54801</t>
  </si>
  <si>
    <t>54802</t>
  </si>
  <si>
    <t>54803</t>
  </si>
  <si>
    <t>54804</t>
  </si>
  <si>
    <t>55104</t>
  </si>
  <si>
    <t>55105</t>
  </si>
  <si>
    <t>55106</t>
  </si>
  <si>
    <t>55506</t>
  </si>
  <si>
    <t>55507</t>
  </si>
  <si>
    <t>41780</t>
  </si>
  <si>
    <t>43758</t>
  </si>
  <si>
    <t>44205</t>
  </si>
  <si>
    <t>POB SAC</t>
  </si>
  <si>
    <t>56218</t>
  </si>
  <si>
    <t>SIN PESO</t>
  </si>
  <si>
    <t>POLICLINICO BIOQUIIM</t>
  </si>
  <si>
    <t>CALLE CADIAS 115 -</t>
  </si>
  <si>
    <t>90 MENSUAL 15KG</t>
  </si>
  <si>
    <t>42449</t>
  </si>
  <si>
    <t>1592</t>
  </si>
  <si>
    <t>56498</t>
  </si>
  <si>
    <t>42450</t>
  </si>
  <si>
    <t>58418</t>
  </si>
  <si>
    <t>43277</t>
  </si>
  <si>
    <t>59596</t>
  </si>
  <si>
    <t>44106</t>
  </si>
  <si>
    <t>61013</t>
  </si>
  <si>
    <t>44860</t>
  </si>
  <si>
    <t>ROSEMARY MARLENY URIBE DOMINGUEZ</t>
  </si>
  <si>
    <t>41828</t>
  </si>
  <si>
    <t>1598</t>
  </si>
  <si>
    <t>56497</t>
  </si>
  <si>
    <t>42377</t>
  </si>
  <si>
    <t>58417</t>
  </si>
  <si>
    <t>43276</t>
  </si>
  <si>
    <t>59595</t>
  </si>
  <si>
    <t>44121</t>
  </si>
  <si>
    <t>61012</t>
  </si>
  <si>
    <t>PRIMED SAC</t>
  </si>
  <si>
    <t>CREADO DESDE EL MANIFIESTO</t>
  </si>
  <si>
    <t>59672</t>
  </si>
  <si>
    <t>BIOQUIM ASOCIADOS SAC</t>
  </si>
  <si>
    <t>NUEVA SEDE GUADALUPE</t>
  </si>
  <si>
    <t>61015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</si>
</sst>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S/&quot;\ #,##0.00;[Red]&quot;S/&quot;\ \-#,##0.00"/>
    <numFmt numFmtId="165" formatCode="_ &quot;S/&quot;\ * #,##0.00_ ;_ &quot;S/&quot;\ * \-#,##0.00_ ;_ &quot;S/&quot;\ * &quot;-&quot;??_ ;_ @_ "/>
    <numFmt numFmtId="166" formatCode="&quot;S/&quot;\ #,##0.00"/>
    <numFmt numFmtId="167" formatCode="_ [$S/-280A]\ * #,##0.00_ ;_ [$S/-280A]\ * \-#,##0.00_ ;_ [$S/-280A]\ * &quot;-&quot;??_ ;_ @_ "/>
    <numFmt numFmtId="168" formatCode="&quot;$&quot;\ #,##0.00"/>
    <numFmt numFmtId="169" formatCode="&quot;$&quot;#,##0.00"/>
    <numFmt numFmtId="170" formatCode="0.00000E+00"/>
    <numFmt numFmtId="171" formatCode="0.0"/>
  </numFmts>
  <fonts count="80"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</font>
    <font>
      <sz val="14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4"/>
      <name val="Calibri"/>
    </font>
    <font>
      <sz val="11"/>
      <color rgb="FF444444"/>
      <name val="Calibri"/>
      <charset val="1"/>
    </font>
    <font>
      <sz val="11"/>
      <color rgb="FF000000"/>
      <name val="Calibri"/>
      <family val="2"/>
    </font>
    <font>
      <sz val="18"/>
      <name val="Calibri"/>
      <family val="2"/>
      <scheme val="minor"/>
    </font>
    <font>
      <sz val="10"/>
      <color theme="1"/>
      <name val="Arial"/>
      <charset val="1"/>
    </font>
    <font>
      <b/>
      <sz val="12"/>
      <color rgb="FF000000"/>
      <name val="Calibri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u/>
      <sz val="18"/>
      <color rgb="FFFFFFFF"/>
      <name val="Calibri"/>
      <family val="2"/>
      <scheme val="minor"/>
    </font>
    <font>
      <b/>
      <sz val="14"/>
      <color rgb="FFFFFFFF"/>
      <name val="Calibri"/>
    </font>
    <font>
      <sz val="11"/>
      <name val="Calibri"/>
      <family val="2"/>
    </font>
    <font>
      <u/>
      <sz val="12"/>
      <color theme="1"/>
      <name val="Calibri"/>
      <family val="2"/>
      <scheme val="minor"/>
    </font>
    <font>
      <b/>
      <sz val="14"/>
      <color theme="1"/>
      <name val="Calibri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000000"/>
      <name val="Trebuchet MS"/>
    </font>
    <font>
      <u/>
      <sz val="10"/>
      <color theme="10"/>
      <name val="Arial"/>
      <charset val="1"/>
    </font>
    <font>
      <sz val="11"/>
      <color rgb="FFFF0000"/>
      <name val="Calibri"/>
      <family val="2"/>
      <scheme val="minor"/>
    </font>
    <font>
      <sz val="18"/>
      <color rgb="FF333333"/>
      <name val="Raleway"/>
      <charset val="1"/>
    </font>
    <font>
      <sz val="11"/>
      <color rgb="FF000000"/>
      <name val="Aptos Narrow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400404"/>
      <name val="Calibri"/>
      <charset val="1"/>
    </font>
    <font>
      <sz val="11"/>
      <color rgb="FF400404"/>
      <name val="Calibri"/>
      <family val="2"/>
      <scheme val="minor"/>
    </font>
    <font>
      <b/>
      <u val="double"/>
      <sz val="18"/>
      <name val="Calibri"/>
      <family val="2"/>
      <scheme val="minor"/>
    </font>
    <font>
      <b/>
      <sz val="18"/>
      <name val="Arial"/>
      <charset val="1"/>
    </font>
    <font>
      <b/>
      <u/>
      <sz val="11"/>
      <color theme="10"/>
      <name val="Calibri"/>
      <family val="2"/>
      <scheme val="minor"/>
    </font>
    <font>
      <b/>
      <sz val="14"/>
      <name val="Arial"/>
      <charset val="1"/>
    </font>
    <font>
      <b/>
      <sz val="14"/>
      <color theme="1"/>
      <name val="Arial"/>
      <charset val="1"/>
    </font>
    <font>
      <b/>
      <u/>
      <sz val="14"/>
      <color theme="10"/>
      <name val="Calibri"/>
      <family val="2"/>
      <scheme val="minor"/>
    </font>
    <font>
      <b/>
      <sz val="11"/>
      <name val="Arial"/>
      <charset val="1"/>
    </font>
    <font>
      <b/>
      <sz val="11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1481C4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2CA0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rgb="FF04CCC7"/>
        <bgColor indexed="64"/>
      </patternFill>
    </fill>
    <fill>
      <patternFill patternType="solid">
        <fgColor rgb="FF2176A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4999542222357860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49995422223578601"/>
        <bgColor indexed="64"/>
      </patternFill>
    </fill>
    <fill>
      <patternFill patternType="solid">
        <fgColor rgb="FFC2BE1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3AD6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0F666"/>
        <bgColor indexed="64"/>
      </patternFill>
    </fill>
    <fill>
      <patternFill patternType="solid">
        <fgColor theme="6" tint="-0.49995422223578601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5422223578601"/>
        <bgColor indexed="64"/>
      </patternFill>
    </fill>
    <fill>
      <patternFill patternType="solid">
        <fgColor rgb="FFD7C285"/>
        <bgColor indexed="64"/>
      </patternFill>
    </fill>
    <fill>
      <patternFill patternType="solid">
        <fgColor rgb="FF7683E6"/>
        <bgColor indexed="64"/>
      </patternFill>
    </fill>
    <fill>
      <patternFill patternType="solid">
        <fgColor rgb="FF7DDFC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67C7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192E8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theme="5"/>
      </left>
      <right style="thin">
        <color theme="5"/>
      </right>
      <top/>
      <bottom style="medium">
        <color theme="5"/>
      </bottom>
      <diagonal/>
    </border>
    <border>
      <left style="thin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thin">
        <color theme="5"/>
      </right>
      <top/>
      <bottom style="medium">
        <color theme="5"/>
      </bottom>
      <diagonal/>
    </border>
    <border>
      <left style="thin">
        <color rgb="FFED7D31"/>
      </left>
      <right style="thin">
        <color rgb="FFED7D31"/>
      </right>
      <top/>
      <bottom style="medium">
        <color rgb="FFED7D31"/>
      </bottom>
      <diagonal/>
    </border>
    <border>
      <left style="thin">
        <color rgb="FF9900FF"/>
      </left>
      <right style="thin">
        <color rgb="FF9900FF"/>
      </right>
      <top/>
      <bottom style="thin">
        <color rgb="FF9900FF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4472C4"/>
      </left>
      <right/>
      <top style="thin">
        <color rgb="FF4472C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165" fontId="37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16">
    <xf numFmtId="0" fontId="0" fillId="0" borderId="0" xfId="0"/>
    <xf numFmtId="0" fontId="24" fillId="24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2" applyAlignment="1">
      <alignment wrapText="1"/>
    </xf>
    <xf numFmtId="0" fontId="3" fillId="0" borderId="0" xfId="0" applyFont="1" applyAlignment="1">
      <alignment wrapText="1"/>
    </xf>
    <xf numFmtId="15" fontId="2" fillId="0" borderId="0" xfId="2" applyNumberFormat="1" applyFill="1" applyAlignment="1">
      <alignment wrapText="1"/>
    </xf>
    <xf numFmtId="0" fontId="4" fillId="0" borderId="0" xfId="0" applyFont="1" applyAlignment="1">
      <alignment wrapText="1"/>
    </xf>
    <xf numFmtId="14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  <xf numFmtId="15" fontId="1" fillId="2" borderId="0" xfId="0" applyNumberFormat="1" applyFont="1" applyFill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wrapText="1"/>
    </xf>
    <xf numFmtId="15" fontId="1" fillId="3" borderId="0" xfId="0" applyNumberFormat="1" applyFont="1" applyFill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2"/>
    <xf numFmtId="0" fontId="1" fillId="5" borderId="0" xfId="0" applyFont="1" applyFill="1" applyAlignment="1">
      <alignment wrapText="1"/>
    </xf>
    <xf numFmtId="15" fontId="1" fillId="5" borderId="0" xfId="0" applyNumberFormat="1" applyFont="1" applyFill="1" applyAlignment="1">
      <alignment wrapText="1"/>
    </xf>
    <xf numFmtId="0" fontId="5" fillId="5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wrapText="1"/>
    </xf>
    <xf numFmtId="15" fontId="1" fillId="6" borderId="0" xfId="0" applyNumberFormat="1" applyFont="1" applyFill="1" applyAlignment="1">
      <alignment wrapText="1"/>
    </xf>
    <xf numFmtId="0" fontId="11" fillId="7" borderId="0" xfId="0" applyFont="1" applyFill="1" applyAlignment="1">
      <alignment wrapText="1"/>
    </xf>
    <xf numFmtId="15" fontId="11" fillId="7" borderId="0" xfId="0" applyNumberFormat="1" applyFont="1" applyFill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8" fillId="0" borderId="0" xfId="0" applyFont="1"/>
    <xf numFmtId="0" fontId="17" fillId="0" borderId="0" xfId="0" applyFont="1" applyAlignment="1">
      <alignment wrapText="1"/>
    </xf>
    <xf numFmtId="14" fontId="17" fillId="0" borderId="0" xfId="0" applyNumberFormat="1" applyFont="1" applyAlignment="1">
      <alignment wrapText="1"/>
    </xf>
    <xf numFmtId="49" fontId="17" fillId="0" borderId="0" xfId="0" applyNumberFormat="1" applyFont="1" applyAlignment="1">
      <alignment wrapText="1"/>
    </xf>
    <xf numFmtId="0" fontId="1" fillId="8" borderId="0" xfId="0" applyFont="1" applyFill="1" applyAlignment="1">
      <alignment wrapText="1"/>
    </xf>
    <xf numFmtId="15" fontId="1" fillId="8" borderId="0" xfId="0" applyNumberFormat="1" applyFont="1" applyFill="1" applyAlignment="1">
      <alignment wrapText="1"/>
    </xf>
    <xf numFmtId="0" fontId="5" fillId="8" borderId="1" xfId="0" applyFont="1" applyFill="1" applyBorder="1" applyAlignment="1">
      <alignment horizontal="center" vertical="center" wrapText="1"/>
    </xf>
    <xf numFmtId="0" fontId="8" fillId="8" borderId="0" xfId="0" applyFont="1" applyFill="1"/>
    <xf numFmtId="0" fontId="0" fillId="8" borderId="0" xfId="0" applyFill="1"/>
    <xf numFmtId="0" fontId="15" fillId="0" borderId="0" xfId="0" applyFont="1"/>
    <xf numFmtId="0" fontId="11" fillId="9" borderId="0" xfId="0" applyFont="1" applyFill="1" applyAlignment="1">
      <alignment wrapText="1"/>
    </xf>
    <xf numFmtId="15" fontId="11" fillId="9" borderId="0" xfId="0" applyNumberFormat="1" applyFont="1" applyFill="1" applyAlignment="1">
      <alignment wrapText="1"/>
    </xf>
    <xf numFmtId="0" fontId="15" fillId="9" borderId="0" xfId="0" applyFont="1" applyFill="1"/>
    <xf numFmtId="0" fontId="11" fillId="9" borderId="0" xfId="0" applyFont="1" applyFill="1"/>
    <xf numFmtId="0" fontId="0" fillId="9" borderId="0" xfId="0" applyFill="1"/>
    <xf numFmtId="0" fontId="12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4" fontId="7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0" fontId="1" fillId="10" borderId="0" xfId="0" applyFont="1" applyFill="1" applyAlignment="1">
      <alignment wrapText="1"/>
    </xf>
    <xf numFmtId="15" fontId="1" fillId="10" borderId="0" xfId="0" applyNumberFormat="1" applyFont="1" applyFill="1" applyAlignment="1">
      <alignment wrapText="1"/>
    </xf>
    <xf numFmtId="0" fontId="0" fillId="10" borderId="0" xfId="0" applyFill="1"/>
    <xf numFmtId="0" fontId="8" fillId="10" borderId="0" xfId="0" applyFont="1" applyFill="1" applyAlignment="1">
      <alignment wrapText="1"/>
    </xf>
    <xf numFmtId="0" fontId="0" fillId="10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5" borderId="0" xfId="0" applyFill="1"/>
    <xf numFmtId="0" fontId="8" fillId="5" borderId="0" xfId="0" applyFont="1" applyFill="1" applyAlignment="1">
      <alignment wrapText="1"/>
    </xf>
    <xf numFmtId="0" fontId="0" fillId="11" borderId="0" xfId="0" applyFill="1" applyAlignment="1">
      <alignment wrapText="1"/>
    </xf>
    <xf numFmtId="0" fontId="17" fillId="11" borderId="0" xfId="0" applyFont="1" applyFill="1" applyAlignment="1">
      <alignment wrapText="1"/>
    </xf>
    <xf numFmtId="14" fontId="0" fillId="11" borderId="0" xfId="0" applyNumberFormat="1" applyFill="1" applyAlignment="1">
      <alignment wrapText="1"/>
    </xf>
    <xf numFmtId="49" fontId="0" fillId="11" borderId="0" xfId="0" applyNumberFormat="1" applyFill="1" applyAlignment="1">
      <alignment wrapText="1"/>
    </xf>
    <xf numFmtId="0" fontId="20" fillId="11" borderId="0" xfId="0" applyFont="1" applyFill="1" applyAlignment="1">
      <alignment wrapText="1"/>
    </xf>
    <xf numFmtId="49" fontId="20" fillId="11" borderId="0" xfId="0" applyNumberFormat="1" applyFont="1" applyFill="1" applyAlignment="1">
      <alignment wrapText="1"/>
    </xf>
    <xf numFmtId="4" fontId="7" fillId="11" borderId="0" xfId="0" applyNumberFormat="1" applyFont="1" applyFill="1" applyAlignment="1">
      <alignment wrapText="1"/>
    </xf>
    <xf numFmtId="49" fontId="7" fillId="11" borderId="0" xfId="0" applyNumberFormat="1" applyFont="1" applyFill="1" applyAlignment="1">
      <alignment wrapText="1"/>
    </xf>
    <xf numFmtId="14" fontId="9" fillId="0" borderId="0" xfId="0" applyNumberFormat="1" applyFont="1" applyAlignment="1">
      <alignment wrapText="1"/>
    </xf>
    <xf numFmtId="0" fontId="9" fillId="0" borderId="0" xfId="0" applyFont="1" applyAlignment="1">
      <alignment wrapText="1"/>
    </xf>
    <xf numFmtId="4" fontId="9" fillId="0" borderId="0" xfId="0" applyNumberFormat="1" applyFont="1" applyAlignment="1">
      <alignment wrapText="1"/>
    </xf>
    <xf numFmtId="49" fontId="9" fillId="0" borderId="0" xfId="0" applyNumberFormat="1" applyFont="1" applyAlignment="1">
      <alignment wrapText="1"/>
    </xf>
    <xf numFmtId="167" fontId="9" fillId="0" borderId="0" xfId="1" applyNumberFormat="1" applyFont="1" applyFill="1" applyAlignment="1">
      <alignment wrapText="1"/>
    </xf>
    <xf numFmtId="3" fontId="9" fillId="0" borderId="0" xfId="0" applyNumberFormat="1" applyFont="1" applyAlignment="1">
      <alignment wrapText="1"/>
    </xf>
    <xf numFmtId="166" fontId="0" fillId="11" borderId="0" xfId="0" applyNumberFormat="1" applyFill="1" applyAlignment="1">
      <alignment wrapText="1"/>
    </xf>
    <xf numFmtId="0" fontId="11" fillId="12" borderId="0" xfId="0" applyFont="1" applyFill="1" applyAlignment="1">
      <alignment wrapText="1"/>
    </xf>
    <xf numFmtId="15" fontId="11" fillId="12" borderId="0" xfId="0" applyNumberFormat="1" applyFont="1" applyFill="1" applyAlignment="1">
      <alignment wrapText="1"/>
    </xf>
    <xf numFmtId="0" fontId="12" fillId="12" borderId="1" xfId="0" applyFont="1" applyFill="1" applyBorder="1" applyAlignment="1">
      <alignment horizontal="center" vertical="center" wrapText="1"/>
    </xf>
    <xf numFmtId="14" fontId="0" fillId="8" borderId="0" xfId="0" applyNumberFormat="1" applyFill="1" applyAlignment="1">
      <alignment wrapText="1"/>
    </xf>
    <xf numFmtId="166" fontId="0" fillId="8" borderId="0" xfId="0" applyNumberFormat="1" applyFill="1" applyAlignment="1">
      <alignment wrapText="1"/>
    </xf>
    <xf numFmtId="0" fontId="0" fillId="8" borderId="0" xfId="0" applyFill="1" applyAlignment="1">
      <alignment wrapText="1"/>
    </xf>
    <xf numFmtId="49" fontId="0" fillId="8" borderId="0" xfId="0" applyNumberFormat="1" applyFill="1" applyAlignment="1">
      <alignment wrapText="1"/>
    </xf>
    <xf numFmtId="4" fontId="0" fillId="8" borderId="0" xfId="0" applyNumberFormat="1" applyFill="1" applyAlignment="1">
      <alignment wrapText="1"/>
    </xf>
    <xf numFmtId="49" fontId="0" fillId="0" borderId="0" xfId="0" applyNumberFormat="1"/>
    <xf numFmtId="14" fontId="0" fillId="13" borderId="0" xfId="0" applyNumberFormat="1" applyFill="1" applyAlignment="1">
      <alignment wrapText="1"/>
    </xf>
    <xf numFmtId="0" fontId="0" fillId="13" borderId="0" xfId="0" applyFill="1" applyAlignment="1">
      <alignment wrapText="1"/>
    </xf>
    <xf numFmtId="49" fontId="0" fillId="13" borderId="0" xfId="0" applyNumberFormat="1" applyFill="1" applyAlignment="1">
      <alignment wrapText="1"/>
    </xf>
    <xf numFmtId="14" fontId="0" fillId="14" borderId="0" xfId="0" applyNumberFormat="1" applyFill="1" applyAlignment="1">
      <alignment wrapText="1"/>
    </xf>
    <xf numFmtId="0" fontId="0" fillId="14" borderId="0" xfId="0" applyFill="1" applyAlignment="1">
      <alignment wrapText="1"/>
    </xf>
    <xf numFmtId="49" fontId="0" fillId="14" borderId="0" xfId="0" applyNumberFormat="1" applyFill="1" applyAlignment="1">
      <alignment wrapText="1"/>
    </xf>
    <xf numFmtId="0" fontId="17" fillId="14" borderId="0" xfId="0" applyFont="1" applyFill="1" applyAlignment="1">
      <alignment wrapText="1"/>
    </xf>
    <xf numFmtId="0" fontId="20" fillId="14" borderId="0" xfId="0" applyFont="1" applyFill="1" applyAlignment="1">
      <alignment wrapText="1"/>
    </xf>
    <xf numFmtId="14" fontId="0" fillId="15" borderId="0" xfId="0" applyNumberFormat="1" applyFill="1" applyAlignment="1">
      <alignment wrapText="1"/>
    </xf>
    <xf numFmtId="0" fontId="0" fillId="15" borderId="0" xfId="0" applyFill="1" applyAlignment="1">
      <alignment wrapText="1"/>
    </xf>
    <xf numFmtId="49" fontId="0" fillId="15" borderId="0" xfId="0" applyNumberFormat="1" applyFill="1" applyAlignment="1">
      <alignment wrapText="1"/>
    </xf>
    <xf numFmtId="49" fontId="0" fillId="15" borderId="0" xfId="0" applyNumberFormat="1" applyFill="1"/>
    <xf numFmtId="165" fontId="0" fillId="13" borderId="0" xfId="1" applyFont="1" applyFill="1" applyAlignment="1">
      <alignment wrapText="1"/>
    </xf>
    <xf numFmtId="4" fontId="8" fillId="0" borderId="0" xfId="0" applyNumberFormat="1" applyFont="1" applyAlignment="1">
      <alignment wrapText="1"/>
    </xf>
    <xf numFmtId="49" fontId="22" fillId="0" borderId="0" xfId="0" applyNumberFormat="1" applyFont="1" applyAlignment="1">
      <alignment wrapText="1"/>
    </xf>
    <xf numFmtId="164" fontId="9" fillId="0" borderId="0" xfId="1" applyNumberFormat="1" applyFont="1" applyFill="1" applyAlignment="1">
      <alignment wrapText="1"/>
    </xf>
    <xf numFmtId="0" fontId="16" fillId="0" borderId="0" xfId="0" applyFont="1" applyAlignment="1">
      <alignment wrapText="1"/>
    </xf>
    <xf numFmtId="49" fontId="16" fillId="0" borderId="0" xfId="0" applyNumberFormat="1" applyFont="1" applyAlignment="1">
      <alignment wrapText="1"/>
    </xf>
    <xf numFmtId="0" fontId="11" fillId="0" borderId="0" xfId="0" applyFont="1"/>
    <xf numFmtId="0" fontId="12" fillId="1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/>
    <xf numFmtId="14" fontId="0" fillId="16" borderId="0" xfId="0" applyNumberFormat="1" applyFill="1" applyAlignment="1">
      <alignment wrapText="1"/>
    </xf>
    <xf numFmtId="0" fontId="0" fillId="16" borderId="0" xfId="0" applyFill="1" applyAlignment="1">
      <alignment wrapText="1"/>
    </xf>
    <xf numFmtId="49" fontId="0" fillId="16" borderId="0" xfId="0" applyNumberFormat="1" applyFill="1" applyAlignment="1">
      <alignment wrapText="1"/>
    </xf>
    <xf numFmtId="14" fontId="0" fillId="17" borderId="0" xfId="0" applyNumberFormat="1" applyFill="1" applyAlignment="1">
      <alignment wrapText="1"/>
    </xf>
    <xf numFmtId="165" fontId="0" fillId="17" borderId="0" xfId="1" applyFont="1" applyFill="1" applyAlignment="1">
      <alignment wrapText="1"/>
    </xf>
    <xf numFmtId="0" fontId="0" fillId="17" borderId="0" xfId="0" applyFill="1" applyAlignment="1">
      <alignment wrapText="1"/>
    </xf>
    <xf numFmtId="49" fontId="0" fillId="17" borderId="0" xfId="0" applyNumberFormat="1" applyFill="1" applyAlignment="1">
      <alignment wrapText="1"/>
    </xf>
    <xf numFmtId="0" fontId="0" fillId="18" borderId="0" xfId="0" applyFill="1" applyAlignment="1">
      <alignment wrapText="1"/>
    </xf>
    <xf numFmtId="14" fontId="0" fillId="18" borderId="0" xfId="0" applyNumberFormat="1" applyFill="1" applyAlignment="1">
      <alignment wrapText="1"/>
    </xf>
    <xf numFmtId="49" fontId="0" fillId="18" borderId="0" xfId="0" applyNumberFormat="1" applyFill="1" applyAlignment="1">
      <alignment wrapText="1"/>
    </xf>
    <xf numFmtId="0" fontId="0" fillId="19" borderId="0" xfId="0" applyFill="1" applyAlignment="1">
      <alignment wrapText="1"/>
    </xf>
    <xf numFmtId="165" fontId="0" fillId="19" borderId="0" xfId="1" applyFont="1" applyFill="1" applyAlignment="1">
      <alignment wrapText="1"/>
    </xf>
    <xf numFmtId="14" fontId="0" fillId="19" borderId="0" xfId="0" applyNumberFormat="1" applyFill="1" applyAlignment="1">
      <alignment wrapText="1"/>
    </xf>
    <xf numFmtId="49" fontId="0" fillId="19" borderId="0" xfId="0" applyNumberFormat="1" applyFill="1" applyAlignment="1">
      <alignment wrapText="1"/>
    </xf>
    <xf numFmtId="0" fontId="3" fillId="17" borderId="0" xfId="0" applyFont="1" applyFill="1" applyAlignment="1">
      <alignment wrapText="1"/>
    </xf>
    <xf numFmtId="14" fontId="3" fillId="17" borderId="0" xfId="0" applyNumberFormat="1" applyFont="1" applyFill="1" applyAlignment="1">
      <alignment wrapText="1"/>
    </xf>
    <xf numFmtId="49" fontId="3" fillId="17" borderId="0" xfId="0" applyNumberFormat="1" applyFont="1" applyFill="1" applyAlignment="1">
      <alignment wrapText="1"/>
    </xf>
    <xf numFmtId="165" fontId="9" fillId="0" borderId="0" xfId="1" applyFont="1" applyFill="1" applyAlignment="1">
      <alignment wrapText="1"/>
    </xf>
    <xf numFmtId="165" fontId="3" fillId="17" borderId="0" xfId="1" applyFont="1" applyFill="1" applyAlignment="1">
      <alignment wrapText="1"/>
    </xf>
    <xf numFmtId="0" fontId="0" fillId="20" borderId="0" xfId="0" applyFill="1" applyAlignment="1">
      <alignment wrapText="1"/>
    </xf>
    <xf numFmtId="14" fontId="0" fillId="20" borderId="0" xfId="0" applyNumberFormat="1" applyFill="1" applyAlignment="1">
      <alignment wrapText="1"/>
    </xf>
    <xf numFmtId="49" fontId="0" fillId="20" borderId="0" xfId="0" applyNumberFormat="1" applyFill="1" applyAlignment="1">
      <alignment wrapText="1"/>
    </xf>
    <xf numFmtId="16" fontId="0" fillId="0" borderId="0" xfId="0" applyNumberFormat="1" applyAlignment="1">
      <alignment wrapText="1"/>
    </xf>
    <xf numFmtId="0" fontId="0" fillId="21" borderId="0" xfId="0" applyFill="1" applyAlignment="1">
      <alignment wrapText="1"/>
    </xf>
    <xf numFmtId="165" fontId="0" fillId="21" borderId="0" xfId="1" applyFont="1" applyFill="1" applyAlignment="1">
      <alignment wrapText="1"/>
    </xf>
    <xf numFmtId="14" fontId="0" fillId="21" borderId="0" xfId="0" applyNumberFormat="1" applyFill="1" applyAlignment="1">
      <alignment wrapText="1"/>
    </xf>
    <xf numFmtId="49" fontId="0" fillId="21" borderId="0" xfId="0" applyNumberFormat="1" applyFill="1" applyAlignment="1">
      <alignment wrapText="1"/>
    </xf>
    <xf numFmtId="0" fontId="0" fillId="6" borderId="0" xfId="0" applyFill="1" applyAlignment="1">
      <alignment wrapText="1"/>
    </xf>
    <xf numFmtId="165" fontId="0" fillId="6" borderId="0" xfId="1" applyFont="1" applyFill="1" applyAlignment="1">
      <alignment wrapText="1"/>
    </xf>
    <xf numFmtId="14" fontId="0" fillId="6" borderId="0" xfId="0" applyNumberFormat="1" applyFill="1" applyAlignment="1">
      <alignment wrapText="1"/>
    </xf>
    <xf numFmtId="49" fontId="0" fillId="6" borderId="0" xfId="0" applyNumberFormat="1" applyFill="1" applyAlignment="1">
      <alignment wrapText="1"/>
    </xf>
    <xf numFmtId="165" fontId="9" fillId="6" borderId="0" xfId="1" applyFont="1" applyFill="1" applyAlignment="1">
      <alignment wrapText="1"/>
    </xf>
    <xf numFmtId="0" fontId="21" fillId="6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0" fontId="1" fillId="19" borderId="0" xfId="0" applyFont="1" applyFill="1" applyAlignment="1">
      <alignment wrapText="1"/>
    </xf>
    <xf numFmtId="15" fontId="1" fillId="19" borderId="0" xfId="0" applyNumberFormat="1" applyFont="1" applyFill="1" applyAlignment="1">
      <alignment wrapText="1"/>
    </xf>
    <xf numFmtId="0" fontId="5" fillId="1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" fillId="22" borderId="0" xfId="0" applyFont="1" applyFill="1" applyAlignment="1">
      <alignment wrapText="1"/>
    </xf>
    <xf numFmtId="15" fontId="1" fillId="22" borderId="0" xfId="0" applyNumberFormat="1" applyFont="1" applyFill="1" applyAlignment="1">
      <alignment wrapText="1"/>
    </xf>
    <xf numFmtId="0" fontId="5" fillId="22" borderId="1" xfId="0" applyFont="1" applyFill="1" applyBorder="1" applyAlignment="1">
      <alignment horizontal="center" vertical="center" wrapText="1"/>
    </xf>
    <xf numFmtId="0" fontId="12" fillId="24" borderId="0" xfId="0" applyFont="1" applyFill="1" applyAlignment="1">
      <alignment wrapText="1"/>
    </xf>
    <xf numFmtId="15" fontId="12" fillId="24" borderId="0" xfId="0" applyNumberFormat="1" applyFont="1" applyFill="1" applyAlignment="1">
      <alignment wrapText="1"/>
    </xf>
    <xf numFmtId="0" fontId="12" fillId="24" borderId="5" xfId="0" applyFont="1" applyFill="1" applyBorder="1" applyAlignment="1">
      <alignment horizontal="center" vertical="center" wrapText="1"/>
    </xf>
    <xf numFmtId="0" fontId="12" fillId="25" borderId="0" xfId="0" applyFont="1" applyFill="1" applyAlignment="1">
      <alignment wrapText="1"/>
    </xf>
    <xf numFmtId="15" fontId="12" fillId="25" borderId="0" xfId="0" applyNumberFormat="1" applyFont="1" applyFill="1" applyAlignment="1">
      <alignment wrapText="1"/>
    </xf>
    <xf numFmtId="0" fontId="12" fillId="25" borderId="5" xfId="0" applyFont="1" applyFill="1" applyBorder="1" applyAlignment="1">
      <alignment horizontal="center" vertical="center" wrapText="1"/>
    </xf>
    <xf numFmtId="0" fontId="9" fillId="26" borderId="0" xfId="0" applyFont="1" applyFill="1" applyAlignment="1">
      <alignment wrapText="1"/>
    </xf>
    <xf numFmtId="15" fontId="9" fillId="26" borderId="0" xfId="0" applyNumberFormat="1" applyFont="1" applyFill="1" applyAlignment="1">
      <alignment wrapText="1"/>
    </xf>
    <xf numFmtId="0" fontId="9" fillId="26" borderId="5" xfId="0" applyFont="1" applyFill="1" applyBorder="1" applyAlignment="1">
      <alignment horizontal="center" vertical="center" wrapText="1"/>
    </xf>
    <xf numFmtId="0" fontId="36" fillId="27" borderId="0" xfId="0" applyFont="1" applyFill="1"/>
    <xf numFmtId="0" fontId="16" fillId="27" borderId="0" xfId="0" applyFont="1" applyFill="1" applyAlignment="1">
      <alignment wrapText="1"/>
    </xf>
    <xf numFmtId="15" fontId="16" fillId="27" borderId="0" xfId="0" applyNumberFormat="1" applyFont="1" applyFill="1" applyAlignment="1">
      <alignment wrapText="1"/>
    </xf>
    <xf numFmtId="0" fontId="12" fillId="27" borderId="5" xfId="0" applyFont="1" applyFill="1" applyBorder="1" applyAlignment="1">
      <alignment horizontal="center" vertical="center" wrapText="1"/>
    </xf>
    <xf numFmtId="14" fontId="0" fillId="0" borderId="0" xfId="0" applyNumberFormat="1"/>
    <xf numFmtId="166" fontId="0" fillId="0" borderId="0" xfId="0" applyNumberFormat="1"/>
    <xf numFmtId="0" fontId="12" fillId="27" borderId="6" xfId="0" applyFont="1" applyFill="1" applyBorder="1" applyAlignment="1">
      <alignment wrapText="1"/>
    </xf>
    <xf numFmtId="0" fontId="12" fillId="27" borderId="6" xfId="0" applyFont="1" applyFill="1" applyBorder="1" applyAlignment="1">
      <alignment horizontal="center" wrapText="1"/>
    </xf>
    <xf numFmtId="0" fontId="36" fillId="29" borderId="0" xfId="0" applyFont="1" applyFill="1"/>
    <xf numFmtId="0" fontId="16" fillId="28" borderId="0" xfId="0" applyFont="1" applyFill="1" applyAlignment="1">
      <alignment wrapText="1"/>
    </xf>
    <xf numFmtId="15" fontId="16" fillId="28" borderId="0" xfId="0" applyNumberFormat="1" applyFont="1" applyFill="1" applyAlignment="1">
      <alignment wrapText="1"/>
    </xf>
    <xf numFmtId="0" fontId="12" fillId="28" borderId="5" xfId="0" applyFont="1" applyFill="1" applyBorder="1" applyAlignment="1">
      <alignment horizontal="center" vertical="center" wrapText="1"/>
    </xf>
    <xf numFmtId="0" fontId="12" fillId="23" borderId="6" xfId="0" applyFont="1" applyFill="1" applyBorder="1" applyAlignment="1">
      <alignment wrapText="1"/>
    </xf>
    <xf numFmtId="0" fontId="12" fillId="23" borderId="6" xfId="0" applyFont="1" applyFill="1" applyBorder="1" applyAlignment="1">
      <alignment horizontal="center" wrapText="1"/>
    </xf>
    <xf numFmtId="0" fontId="24" fillId="30" borderId="0" xfId="0" applyFont="1" applyFill="1" applyAlignment="1">
      <alignment wrapText="1"/>
    </xf>
    <xf numFmtId="15" fontId="24" fillId="30" borderId="0" xfId="0" applyNumberFormat="1" applyFont="1" applyFill="1"/>
    <xf numFmtId="0" fontId="25" fillId="30" borderId="0" xfId="0" applyFont="1" applyFill="1"/>
    <xf numFmtId="0" fontId="12" fillId="30" borderId="5" xfId="0" applyFont="1" applyFill="1" applyBorder="1" applyAlignment="1">
      <alignment horizontal="center" vertical="center" wrapText="1"/>
    </xf>
    <xf numFmtId="0" fontId="7" fillId="18" borderId="0" xfId="0" applyFont="1" applyFill="1" applyAlignment="1">
      <alignment wrapText="1"/>
    </xf>
    <xf numFmtId="15" fontId="7" fillId="18" borderId="0" xfId="0" applyNumberFormat="1" applyFont="1" applyFill="1"/>
    <xf numFmtId="0" fontId="28" fillId="18" borderId="0" xfId="0" applyFont="1" applyFill="1"/>
    <xf numFmtId="0" fontId="5" fillId="18" borderId="5" xfId="0" applyFont="1" applyFill="1" applyBorder="1" applyAlignment="1">
      <alignment horizontal="center" vertical="center" wrapText="1"/>
    </xf>
    <xf numFmtId="0" fontId="24" fillId="14" borderId="0" xfId="0" applyFont="1" applyFill="1" applyAlignment="1">
      <alignment wrapText="1"/>
    </xf>
    <xf numFmtId="15" fontId="24" fillId="14" borderId="0" xfId="0" applyNumberFormat="1" applyFont="1" applyFill="1" applyAlignment="1">
      <alignment wrapText="1"/>
    </xf>
    <xf numFmtId="0" fontId="12" fillId="14" borderId="5" xfId="0" applyFont="1" applyFill="1" applyBorder="1" applyAlignment="1">
      <alignment horizontal="center" vertical="center" wrapText="1"/>
    </xf>
    <xf numFmtId="49" fontId="0" fillId="16" borderId="0" xfId="0" applyNumberFormat="1" applyFill="1"/>
    <xf numFmtId="16" fontId="0" fillId="0" borderId="0" xfId="0" applyNumberFormat="1"/>
    <xf numFmtId="0" fontId="24" fillId="4" borderId="0" xfId="0" applyFont="1" applyFill="1" applyAlignment="1">
      <alignment wrapText="1"/>
    </xf>
    <xf numFmtId="15" fontId="24" fillId="4" borderId="0" xfId="0" applyNumberFormat="1" applyFont="1" applyFill="1" applyAlignment="1">
      <alignment wrapText="1"/>
    </xf>
    <xf numFmtId="0" fontId="12" fillId="4" borderId="5" xfId="0" applyFont="1" applyFill="1" applyBorder="1" applyAlignment="1">
      <alignment horizontal="center" vertical="center" wrapText="1"/>
    </xf>
    <xf numFmtId="0" fontId="7" fillId="31" borderId="0" xfId="0" applyFont="1" applyFill="1" applyAlignment="1">
      <alignment wrapText="1"/>
    </xf>
    <xf numFmtId="15" fontId="7" fillId="31" borderId="0" xfId="0" applyNumberFormat="1" applyFont="1" applyFill="1" applyAlignment="1">
      <alignment wrapText="1"/>
    </xf>
    <xf numFmtId="0" fontId="12" fillId="31" borderId="5" xfId="0" applyFont="1" applyFill="1" applyBorder="1" applyAlignment="1">
      <alignment horizontal="center" vertical="center" wrapText="1"/>
    </xf>
    <xf numFmtId="0" fontId="7" fillId="32" borderId="0" xfId="0" applyFont="1" applyFill="1" applyAlignment="1">
      <alignment wrapText="1"/>
    </xf>
    <xf numFmtId="15" fontId="7" fillId="32" borderId="0" xfId="0" applyNumberFormat="1" applyFont="1" applyFill="1" applyAlignment="1">
      <alignment wrapText="1"/>
    </xf>
    <xf numFmtId="0" fontId="12" fillId="32" borderId="5" xfId="0" applyFont="1" applyFill="1" applyBorder="1" applyAlignment="1">
      <alignment horizontal="center" vertical="center" wrapText="1"/>
    </xf>
    <xf numFmtId="0" fontId="5" fillId="33" borderId="0" xfId="0" applyFont="1" applyFill="1" applyAlignment="1">
      <alignment wrapText="1"/>
    </xf>
    <xf numFmtId="15" fontId="5" fillId="33" borderId="0" xfId="0" applyNumberFormat="1" applyFont="1" applyFill="1" applyAlignment="1">
      <alignment wrapText="1"/>
    </xf>
    <xf numFmtId="0" fontId="5" fillId="33" borderId="5" xfId="0" applyFont="1" applyFill="1" applyBorder="1" applyAlignment="1">
      <alignment horizontal="center" vertical="center" wrapText="1"/>
    </xf>
    <xf numFmtId="0" fontId="12" fillId="35" borderId="0" xfId="0" applyFont="1" applyFill="1" applyAlignment="1">
      <alignment wrapText="1"/>
    </xf>
    <xf numFmtId="15" fontId="12" fillId="35" borderId="0" xfId="0" applyNumberFormat="1" applyFont="1" applyFill="1" applyAlignment="1">
      <alignment wrapText="1"/>
    </xf>
    <xf numFmtId="0" fontId="12" fillId="35" borderId="5" xfId="0" applyFont="1" applyFill="1" applyBorder="1" applyAlignment="1">
      <alignment horizontal="center" vertical="center" wrapText="1"/>
    </xf>
    <xf numFmtId="0" fontId="5" fillId="29" borderId="0" xfId="0" applyFont="1" applyFill="1" applyAlignment="1">
      <alignment wrapText="1"/>
    </xf>
    <xf numFmtId="15" fontId="5" fillId="29" borderId="0" xfId="0" applyNumberFormat="1" applyFont="1" applyFill="1" applyAlignment="1">
      <alignment wrapText="1"/>
    </xf>
    <xf numFmtId="0" fontId="5" fillId="29" borderId="5" xfId="0" applyFont="1" applyFill="1" applyBorder="1" applyAlignment="1">
      <alignment horizontal="center" vertical="center" wrapText="1"/>
    </xf>
    <xf numFmtId="0" fontId="5" fillId="36" borderId="0" xfId="0" applyFont="1" applyFill="1" applyAlignment="1">
      <alignment wrapText="1"/>
    </xf>
    <xf numFmtId="15" fontId="5" fillId="36" borderId="0" xfId="0" applyNumberFormat="1" applyFont="1" applyFill="1" applyAlignment="1">
      <alignment wrapText="1"/>
    </xf>
    <xf numFmtId="0" fontId="5" fillId="36" borderId="5" xfId="0" applyFont="1" applyFill="1" applyBorder="1" applyAlignment="1">
      <alignment horizontal="center" vertical="center" wrapText="1"/>
    </xf>
    <xf numFmtId="0" fontId="5" fillId="37" borderId="0" xfId="0" applyFont="1" applyFill="1" applyAlignment="1">
      <alignment wrapText="1"/>
    </xf>
    <xf numFmtId="15" fontId="5" fillId="37" borderId="0" xfId="0" applyNumberFormat="1" applyFont="1" applyFill="1" applyAlignment="1">
      <alignment wrapText="1"/>
    </xf>
    <xf numFmtId="0" fontId="5" fillId="37" borderId="5" xfId="0" applyFont="1" applyFill="1" applyBorder="1" applyAlignment="1">
      <alignment horizontal="center" vertical="center" wrapText="1"/>
    </xf>
    <xf numFmtId="166" fontId="0" fillId="0" borderId="7" xfId="0" applyNumberFormat="1" applyBorder="1"/>
    <xf numFmtId="0" fontId="0" fillId="0" borderId="7" xfId="0" applyBorder="1"/>
    <xf numFmtId="0" fontId="30" fillId="36" borderId="6" xfId="0" applyFont="1" applyFill="1" applyBorder="1" applyAlignment="1">
      <alignment wrapText="1"/>
    </xf>
    <xf numFmtId="0" fontId="30" fillId="36" borderId="6" xfId="0" applyFont="1" applyFill="1" applyBorder="1" applyAlignment="1">
      <alignment horizontal="center" wrapText="1"/>
    </xf>
    <xf numFmtId="0" fontId="5" fillId="38" borderId="0" xfId="0" applyFont="1" applyFill="1" applyAlignment="1">
      <alignment wrapText="1"/>
    </xf>
    <xf numFmtId="15" fontId="5" fillId="38" borderId="0" xfId="0" applyNumberFormat="1" applyFont="1" applyFill="1" applyAlignment="1">
      <alignment wrapText="1"/>
    </xf>
    <xf numFmtId="0" fontId="5" fillId="38" borderId="5" xfId="0" applyFont="1" applyFill="1" applyBorder="1" applyAlignment="1">
      <alignment horizontal="center" vertical="center" wrapText="1"/>
    </xf>
    <xf numFmtId="0" fontId="5" fillId="39" borderId="0" xfId="0" applyFont="1" applyFill="1" applyAlignment="1">
      <alignment wrapText="1"/>
    </xf>
    <xf numFmtId="15" fontId="5" fillId="39" borderId="0" xfId="0" applyNumberFormat="1" applyFont="1" applyFill="1" applyAlignment="1">
      <alignment wrapText="1"/>
    </xf>
    <xf numFmtId="0" fontId="5" fillId="39" borderId="5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wrapText="1"/>
    </xf>
    <xf numFmtId="15" fontId="12" fillId="4" borderId="0" xfId="0" applyNumberFormat="1" applyFont="1" applyFill="1" applyAlignment="1">
      <alignment wrapText="1"/>
    </xf>
    <xf numFmtId="0" fontId="5" fillId="40" borderId="0" xfId="0" applyFont="1" applyFill="1" applyAlignment="1">
      <alignment wrapText="1"/>
    </xf>
    <xf numFmtId="15" fontId="5" fillId="40" borderId="0" xfId="0" applyNumberFormat="1" applyFont="1" applyFill="1" applyAlignment="1">
      <alignment wrapText="1"/>
    </xf>
    <xf numFmtId="0" fontId="5" fillId="40" borderId="5" xfId="0" applyFont="1" applyFill="1" applyBorder="1" applyAlignment="1">
      <alignment horizontal="center" vertical="center" wrapText="1"/>
    </xf>
    <xf numFmtId="0" fontId="12" fillId="41" borderId="0" xfId="0" applyFont="1" applyFill="1" applyAlignment="1">
      <alignment wrapText="1"/>
    </xf>
    <xf numFmtId="15" fontId="12" fillId="41" borderId="0" xfId="0" applyNumberFormat="1" applyFont="1" applyFill="1" applyAlignment="1">
      <alignment wrapText="1"/>
    </xf>
    <xf numFmtId="0" fontId="12" fillId="41" borderId="5" xfId="0" applyFont="1" applyFill="1" applyBorder="1" applyAlignment="1">
      <alignment horizontal="center" vertical="center" wrapText="1"/>
    </xf>
    <xf numFmtId="0" fontId="12" fillId="42" borderId="0" xfId="0" applyFont="1" applyFill="1" applyAlignment="1">
      <alignment wrapText="1"/>
    </xf>
    <xf numFmtId="15" fontId="12" fillId="42" borderId="0" xfId="0" applyNumberFormat="1" applyFont="1" applyFill="1" applyAlignment="1">
      <alignment wrapText="1"/>
    </xf>
    <xf numFmtId="0" fontId="12" fillId="42" borderId="5" xfId="0" applyFont="1" applyFill="1" applyBorder="1" applyAlignment="1">
      <alignment horizontal="center" vertical="center" wrapText="1"/>
    </xf>
    <xf numFmtId="0" fontId="12" fillId="43" borderId="0" xfId="0" applyFont="1" applyFill="1" applyAlignment="1">
      <alignment wrapText="1"/>
    </xf>
    <xf numFmtId="15" fontId="12" fillId="43" borderId="0" xfId="0" applyNumberFormat="1" applyFont="1" applyFill="1" applyAlignment="1">
      <alignment wrapText="1"/>
    </xf>
    <xf numFmtId="0" fontId="12" fillId="43" borderId="5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wrapText="1"/>
    </xf>
    <xf numFmtId="15" fontId="11" fillId="4" borderId="0" xfId="0" applyNumberFormat="1" applyFont="1" applyFill="1" applyAlignment="1">
      <alignment wrapText="1"/>
    </xf>
    <xf numFmtId="0" fontId="18" fillId="0" borderId="0" xfId="0" applyFont="1" applyAlignment="1">
      <alignment wrapText="1"/>
    </xf>
    <xf numFmtId="0" fontId="12" fillId="4" borderId="1" xfId="0" applyFont="1" applyFill="1" applyBorder="1" applyAlignment="1">
      <alignment horizontal="center" vertical="center" wrapText="1"/>
    </xf>
    <xf numFmtId="166" fontId="7" fillId="0" borderId="0" xfId="0" applyNumberFormat="1" applyFont="1" applyAlignment="1">
      <alignment wrapText="1"/>
    </xf>
    <xf numFmtId="166" fontId="0" fillId="8" borderId="0" xfId="1" applyNumberFormat="1" applyFont="1" applyFill="1" applyAlignment="1">
      <alignment wrapText="1"/>
    </xf>
    <xf numFmtId="166" fontId="20" fillId="8" borderId="0" xfId="1" applyNumberFormat="1" applyFont="1" applyFill="1" applyAlignment="1">
      <alignment wrapText="1"/>
    </xf>
    <xf numFmtId="166" fontId="0" fillId="16" borderId="0" xfId="1" applyNumberFormat="1" applyFont="1" applyFill="1" applyAlignment="1">
      <alignment wrapText="1"/>
    </xf>
    <xf numFmtId="166" fontId="21" fillId="0" borderId="0" xfId="1" applyNumberFormat="1" applyFont="1" applyFill="1" applyAlignment="1">
      <alignment wrapText="1"/>
    </xf>
    <xf numFmtId="166" fontId="0" fillId="17" borderId="0" xfId="1" applyNumberFormat="1" applyFont="1" applyFill="1" applyAlignment="1">
      <alignment wrapText="1"/>
    </xf>
    <xf numFmtId="166" fontId="20" fillId="17" borderId="0" xfId="1" applyNumberFormat="1" applyFont="1" applyFill="1" applyAlignment="1">
      <alignment wrapText="1"/>
    </xf>
    <xf numFmtId="166" fontId="9" fillId="0" borderId="0" xfId="0" applyNumberFormat="1" applyFont="1" applyAlignment="1">
      <alignment wrapText="1"/>
    </xf>
    <xf numFmtId="166" fontId="0" fillId="18" borderId="0" xfId="1" applyNumberFormat="1" applyFont="1" applyFill="1" applyAlignment="1">
      <alignment wrapText="1"/>
    </xf>
    <xf numFmtId="166" fontId="16" fillId="0" borderId="0" xfId="0" applyNumberFormat="1" applyFont="1" applyAlignment="1">
      <alignment wrapText="1"/>
    </xf>
    <xf numFmtId="166" fontId="0" fillId="20" borderId="0" xfId="1" applyNumberFormat="1" applyFont="1" applyFill="1" applyAlignment="1">
      <alignment wrapText="1"/>
    </xf>
    <xf numFmtId="166" fontId="20" fillId="20" borderId="0" xfId="0" applyNumberFormat="1" applyFont="1" applyFill="1" applyAlignment="1">
      <alignment wrapText="1"/>
    </xf>
    <xf numFmtId="166" fontId="0" fillId="20" borderId="0" xfId="0" applyNumberFormat="1" applyFill="1" applyAlignment="1">
      <alignment wrapText="1"/>
    </xf>
    <xf numFmtId="166" fontId="9" fillId="0" borderId="0" xfId="1" applyNumberFormat="1" applyFont="1" applyFill="1" applyAlignment="1">
      <alignment wrapText="1"/>
    </xf>
    <xf numFmtId="166" fontId="0" fillId="6" borderId="0" xfId="1" applyNumberFormat="1" applyFont="1" applyFill="1" applyAlignment="1">
      <alignment wrapText="1"/>
    </xf>
    <xf numFmtId="166" fontId="33" fillId="0" borderId="0" xfId="0" applyNumberFormat="1" applyFont="1" applyAlignment="1">
      <alignment wrapText="1"/>
    </xf>
    <xf numFmtId="0" fontId="33" fillId="0" borderId="0" xfId="0" applyFont="1" applyAlignment="1">
      <alignment wrapText="1"/>
    </xf>
    <xf numFmtId="14" fontId="0" fillId="45" borderId="0" xfId="0" applyNumberFormat="1" applyFill="1" applyAlignment="1">
      <alignment wrapText="1"/>
    </xf>
    <xf numFmtId="166" fontId="0" fillId="45" borderId="0" xfId="0" applyNumberFormat="1" applyFill="1" applyAlignment="1">
      <alignment wrapText="1"/>
    </xf>
    <xf numFmtId="0" fontId="0" fillId="45" borderId="0" xfId="0" applyFill="1" applyAlignment="1">
      <alignment wrapText="1"/>
    </xf>
    <xf numFmtId="49" fontId="0" fillId="45" borderId="0" xfId="0" applyNumberFormat="1" applyFill="1" applyAlignment="1">
      <alignment wrapText="1"/>
    </xf>
    <xf numFmtId="166" fontId="9" fillId="45" borderId="0" xfId="0" applyNumberFormat="1" applyFont="1" applyFill="1" applyAlignment="1">
      <alignment wrapText="1"/>
    </xf>
    <xf numFmtId="0" fontId="9" fillId="45" borderId="0" xfId="0" applyFont="1" applyFill="1" applyAlignment="1">
      <alignment wrapText="1"/>
    </xf>
    <xf numFmtId="0" fontId="0" fillId="46" borderId="0" xfId="0" applyFill="1" applyAlignment="1">
      <alignment wrapText="1"/>
    </xf>
    <xf numFmtId="166" fontId="0" fillId="46" borderId="0" xfId="0" applyNumberFormat="1" applyFill="1" applyAlignment="1">
      <alignment wrapText="1"/>
    </xf>
    <xf numFmtId="14" fontId="0" fillId="46" borderId="0" xfId="0" applyNumberFormat="1" applyFill="1" applyAlignment="1">
      <alignment wrapText="1"/>
    </xf>
    <xf numFmtId="49" fontId="0" fillId="46" borderId="0" xfId="0" applyNumberFormat="1" applyFill="1" applyAlignment="1">
      <alignment wrapText="1"/>
    </xf>
    <xf numFmtId="0" fontId="38" fillId="31" borderId="5" xfId="0" applyFont="1" applyFill="1" applyBorder="1" applyAlignment="1">
      <alignment horizontal="center" vertical="center" wrapText="1"/>
    </xf>
    <xf numFmtId="0" fontId="39" fillId="0" borderId="0" xfId="0" applyFont="1"/>
    <xf numFmtId="0" fontId="26" fillId="40" borderId="8" xfId="0" applyFont="1" applyFill="1" applyBorder="1" applyAlignment="1">
      <alignment wrapText="1"/>
    </xf>
    <xf numFmtId="0" fontId="10" fillId="0" borderId="0" xfId="0" applyFont="1"/>
    <xf numFmtId="0" fontId="5" fillId="0" borderId="5" xfId="0" applyFont="1" applyBorder="1" applyAlignment="1">
      <alignment horizontal="center" vertical="center" wrapText="1"/>
    </xf>
    <xf numFmtId="0" fontId="9" fillId="0" borderId="0" xfId="0" applyFont="1"/>
    <xf numFmtId="14" fontId="40" fillId="0" borderId="0" xfId="0" applyNumberFormat="1" applyFont="1"/>
    <xf numFmtId="0" fontId="0" fillId="23" borderId="0" xfId="0" applyFill="1" applyAlignment="1">
      <alignment wrapText="1"/>
    </xf>
    <xf numFmtId="14" fontId="0" fillId="23" borderId="0" xfId="0" applyNumberFormat="1" applyFill="1" applyAlignment="1">
      <alignment wrapText="1"/>
    </xf>
    <xf numFmtId="49" fontId="0" fillId="23" borderId="0" xfId="0" applyNumberFormat="1" applyFill="1" applyAlignment="1">
      <alignment wrapText="1"/>
    </xf>
    <xf numFmtId="0" fontId="41" fillId="0" borderId="5" xfId="0" applyFont="1" applyBorder="1" applyAlignment="1">
      <alignment horizontal="center" vertical="center" wrapText="1"/>
    </xf>
    <xf numFmtId="14" fontId="42" fillId="0" borderId="0" xfId="0" applyNumberFormat="1" applyFont="1"/>
    <xf numFmtId="0" fontId="21" fillId="0" borderId="0" xfId="0" applyFont="1" applyAlignment="1">
      <alignment wrapText="1"/>
    </xf>
    <xf numFmtId="166" fontId="21" fillId="0" borderId="0" xfId="0" applyNumberFormat="1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8" borderId="0" xfId="0" applyFill="1" applyAlignment="1">
      <alignment wrapText="1"/>
    </xf>
    <xf numFmtId="166" fontId="21" fillId="48" borderId="0" xfId="0" applyNumberFormat="1" applyFont="1" applyFill="1" applyAlignment="1">
      <alignment wrapText="1"/>
    </xf>
    <xf numFmtId="14" fontId="0" fillId="48" borderId="0" xfId="0" applyNumberFormat="1" applyFill="1" applyAlignment="1">
      <alignment wrapText="1"/>
    </xf>
    <xf numFmtId="0" fontId="16" fillId="48" borderId="0" xfId="0" applyFont="1" applyFill="1" applyAlignment="1">
      <alignment wrapText="1"/>
    </xf>
    <xf numFmtId="0" fontId="20" fillId="48" borderId="0" xfId="0" applyFont="1" applyFill="1" applyAlignment="1">
      <alignment wrapText="1"/>
    </xf>
    <xf numFmtId="0" fontId="20" fillId="0" borderId="0" xfId="0" applyFont="1" applyAlignment="1">
      <alignment wrapText="1"/>
    </xf>
    <xf numFmtId="166" fontId="0" fillId="48" borderId="0" xfId="0" applyNumberFormat="1" applyFill="1" applyAlignment="1">
      <alignment wrapText="1"/>
    </xf>
    <xf numFmtId="0" fontId="45" fillId="0" borderId="0" xfId="0" applyFont="1"/>
    <xf numFmtId="14" fontId="16" fillId="0" borderId="0" xfId="0" applyNumberFormat="1" applyFont="1" applyAlignment="1">
      <alignment wrapText="1"/>
    </xf>
    <xf numFmtId="0" fontId="20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0" fillId="48" borderId="0" xfId="0" applyFont="1" applyFill="1" applyAlignment="1">
      <alignment horizontal="right" vertical="center" wrapText="1"/>
    </xf>
    <xf numFmtId="0" fontId="0" fillId="49" borderId="0" xfId="0" applyFill="1" applyAlignment="1">
      <alignment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16" fillId="0" borderId="0" xfId="0" applyFont="1"/>
    <xf numFmtId="0" fontId="38" fillId="24" borderId="5" xfId="0" applyFont="1" applyFill="1" applyBorder="1" applyAlignment="1">
      <alignment horizontal="center" vertical="center" wrapText="1"/>
    </xf>
    <xf numFmtId="0" fontId="0" fillId="16" borderId="0" xfId="0" applyFill="1"/>
    <xf numFmtId="0" fontId="46" fillId="0" borderId="0" xfId="0" applyFont="1"/>
    <xf numFmtId="0" fontId="38" fillId="43" borderId="5" xfId="0" applyFont="1" applyFill="1" applyBorder="1" applyAlignment="1">
      <alignment horizontal="center" vertical="center" wrapText="1"/>
    </xf>
    <xf numFmtId="0" fontId="41" fillId="22" borderId="1" xfId="0" applyFont="1" applyFill="1" applyBorder="1" applyAlignment="1">
      <alignment horizontal="center" vertical="center" wrapText="1"/>
    </xf>
    <xf numFmtId="0" fontId="43" fillId="0" borderId="11" xfId="0" applyFont="1" applyBorder="1" applyAlignment="1">
      <alignment wrapText="1"/>
    </xf>
    <xf numFmtId="14" fontId="33" fillId="0" borderId="0" xfId="0" applyNumberFormat="1" applyFont="1" applyAlignment="1">
      <alignment wrapText="1"/>
    </xf>
    <xf numFmtId="0" fontId="47" fillId="50" borderId="0" xfId="0" applyFont="1" applyFill="1" applyAlignment="1">
      <alignment wrapText="1"/>
    </xf>
    <xf numFmtId="14" fontId="47" fillId="50" borderId="0" xfId="0" applyNumberFormat="1" applyFont="1" applyFill="1" applyAlignment="1">
      <alignment wrapText="1"/>
    </xf>
    <xf numFmtId="0" fontId="0" fillId="51" borderId="0" xfId="0" applyFill="1" applyAlignment="1">
      <alignment wrapText="1"/>
    </xf>
    <xf numFmtId="166" fontId="0" fillId="51" borderId="0" xfId="0" applyNumberFormat="1" applyFill="1" applyAlignment="1">
      <alignment wrapText="1"/>
    </xf>
    <xf numFmtId="14" fontId="0" fillId="51" borderId="0" xfId="0" applyNumberFormat="1" applyFill="1" applyAlignment="1">
      <alignment wrapText="1"/>
    </xf>
    <xf numFmtId="0" fontId="0" fillId="52" borderId="0" xfId="0" applyFill="1"/>
    <xf numFmtId="14" fontId="0" fillId="52" borderId="0" xfId="0" applyNumberFormat="1" applyFill="1"/>
    <xf numFmtId="0" fontId="0" fillId="52" borderId="0" xfId="0" applyFill="1" applyAlignment="1">
      <alignment wrapText="1"/>
    </xf>
    <xf numFmtId="49" fontId="0" fillId="52" borderId="0" xfId="0" applyNumberFormat="1" applyFill="1"/>
    <xf numFmtId="49" fontId="0" fillId="52" borderId="0" xfId="0" applyNumberFormat="1" applyFill="1" applyAlignment="1">
      <alignment wrapText="1"/>
    </xf>
    <xf numFmtId="166" fontId="16" fillId="0" borderId="0" xfId="0" applyNumberFormat="1" applyFont="1"/>
    <xf numFmtId="49" fontId="16" fillId="0" borderId="0" xfId="0" applyNumberFormat="1" applyFont="1"/>
    <xf numFmtId="16" fontId="0" fillId="52" borderId="0" xfId="0" applyNumberFormat="1" applyFill="1"/>
    <xf numFmtId="16" fontId="5" fillId="0" borderId="0" xfId="0" applyNumberFormat="1" applyFont="1" applyAlignment="1">
      <alignment horizontal="center" vertical="center" wrapText="1"/>
    </xf>
    <xf numFmtId="0" fontId="48" fillId="0" borderId="0" xfId="0" applyFont="1"/>
    <xf numFmtId="0" fontId="21" fillId="0" borderId="0" xfId="0" applyFont="1"/>
    <xf numFmtId="0" fontId="21" fillId="52" borderId="0" xfId="0" applyFont="1" applyFill="1" applyAlignment="1">
      <alignment wrapText="1"/>
    </xf>
    <xf numFmtId="49" fontId="21" fillId="0" borderId="0" xfId="0" applyNumberFormat="1" applyFont="1"/>
    <xf numFmtId="14" fontId="0" fillId="53" borderId="0" xfId="0" applyNumberFormat="1" applyFill="1" applyAlignment="1">
      <alignment wrapText="1"/>
    </xf>
    <xf numFmtId="166" fontId="0" fillId="53" borderId="0" xfId="0" applyNumberFormat="1" applyFill="1" applyAlignment="1">
      <alignment wrapText="1"/>
    </xf>
    <xf numFmtId="0" fontId="0" fillId="53" borderId="0" xfId="0" applyFill="1" applyAlignment="1">
      <alignment wrapText="1"/>
    </xf>
    <xf numFmtId="49" fontId="0" fillId="53" borderId="0" xfId="0" applyNumberFormat="1" applyFill="1"/>
    <xf numFmtId="49" fontId="0" fillId="53" borderId="0" xfId="0" applyNumberFormat="1" applyFill="1" applyAlignment="1">
      <alignment wrapText="1"/>
    </xf>
    <xf numFmtId="0" fontId="0" fillId="53" borderId="0" xfId="0" applyFill="1"/>
    <xf numFmtId="14" fontId="0" fillId="53" borderId="0" xfId="0" applyNumberFormat="1" applyFill="1"/>
    <xf numFmtId="166" fontId="21" fillId="53" borderId="0" xfId="0" applyNumberFormat="1" applyFont="1" applyFill="1"/>
    <xf numFmtId="0" fontId="21" fillId="53" borderId="0" xfId="0" applyFont="1" applyFill="1"/>
    <xf numFmtId="0" fontId="21" fillId="53" borderId="0" xfId="0" applyFont="1" applyFill="1" applyAlignment="1">
      <alignment wrapText="1"/>
    </xf>
    <xf numFmtId="49" fontId="21" fillId="53" borderId="0" xfId="0" applyNumberFormat="1" applyFont="1" applyFill="1"/>
    <xf numFmtId="49" fontId="21" fillId="53" borderId="0" xfId="0" applyNumberFormat="1" applyFont="1" applyFill="1" applyAlignment="1">
      <alignment wrapText="1"/>
    </xf>
    <xf numFmtId="0" fontId="49" fillId="50" borderId="0" xfId="0" applyFont="1" applyFill="1" applyAlignment="1">
      <alignment wrapText="1"/>
    </xf>
    <xf numFmtId="166" fontId="8" fillId="0" borderId="0" xfId="0" applyNumberFormat="1" applyFont="1" applyAlignment="1">
      <alignment wrapText="1"/>
    </xf>
    <xf numFmtId="166" fontId="21" fillId="0" borderId="0" xfId="0" applyNumberFormat="1" applyFont="1"/>
    <xf numFmtId="0" fontId="41" fillId="8" borderId="1" xfId="0" applyFont="1" applyFill="1" applyBorder="1" applyAlignment="1">
      <alignment horizontal="center" vertical="center" wrapText="1"/>
    </xf>
    <xf numFmtId="49" fontId="21" fillId="0" borderId="0" xfId="0" applyNumberFormat="1" applyFont="1" applyAlignment="1">
      <alignment wrapText="1"/>
    </xf>
    <xf numFmtId="0" fontId="41" fillId="6" borderId="1" xfId="0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center" vertical="center" wrapText="1"/>
    </xf>
    <xf numFmtId="14" fontId="0" fillId="54" borderId="0" xfId="0" applyNumberFormat="1" applyFill="1" applyAlignment="1">
      <alignment wrapText="1"/>
    </xf>
    <xf numFmtId="0" fontId="0" fillId="54" borderId="0" xfId="0" applyFill="1" applyAlignment="1">
      <alignment wrapText="1"/>
    </xf>
    <xf numFmtId="0" fontId="47" fillId="54" borderId="0" xfId="0" applyFont="1" applyFill="1" applyAlignment="1">
      <alignment wrapText="1"/>
    </xf>
    <xf numFmtId="0" fontId="41" fillId="10" borderId="1" xfId="0" applyFont="1" applyFill="1" applyBorder="1" applyAlignment="1">
      <alignment horizontal="center" vertical="center" wrapText="1"/>
    </xf>
    <xf numFmtId="0" fontId="0" fillId="55" borderId="0" xfId="0" applyFill="1" applyAlignment="1">
      <alignment wrapText="1"/>
    </xf>
    <xf numFmtId="14" fontId="0" fillId="55" borderId="0" xfId="0" applyNumberFormat="1" applyFill="1" applyAlignment="1">
      <alignment wrapText="1"/>
    </xf>
    <xf numFmtId="0" fontId="47" fillId="55" borderId="0" xfId="0" applyFont="1" applyFill="1" applyAlignment="1">
      <alignment wrapText="1"/>
    </xf>
    <xf numFmtId="0" fontId="0" fillId="56" borderId="0" xfId="0" applyFill="1"/>
    <xf numFmtId="14" fontId="0" fillId="56" borderId="0" xfId="0" applyNumberFormat="1" applyFill="1"/>
    <xf numFmtId="0" fontId="0" fillId="56" borderId="0" xfId="0" applyFill="1" applyAlignment="1">
      <alignment wrapText="1"/>
    </xf>
    <xf numFmtId="49" fontId="0" fillId="56" borderId="0" xfId="0" applyNumberFormat="1" applyFill="1"/>
    <xf numFmtId="49" fontId="9" fillId="0" borderId="0" xfId="0" applyNumberFormat="1" applyFont="1"/>
    <xf numFmtId="14" fontId="20" fillId="0" borderId="0" xfId="0" applyNumberFormat="1" applyFont="1" applyAlignment="1">
      <alignment wrapText="1"/>
    </xf>
    <xf numFmtId="4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166" fontId="0" fillId="16" borderId="0" xfId="0" applyNumberFormat="1" applyFill="1" applyAlignment="1">
      <alignment wrapText="1"/>
    </xf>
    <xf numFmtId="0" fontId="38" fillId="35" borderId="5" xfId="0" applyFont="1" applyFill="1" applyBorder="1" applyAlignment="1">
      <alignment horizontal="center" vertical="center" wrapText="1"/>
    </xf>
    <xf numFmtId="0" fontId="52" fillId="4" borderId="1" xfId="0" applyFont="1" applyFill="1" applyBorder="1" applyAlignment="1">
      <alignment horizontal="center" vertical="center" wrapText="1"/>
    </xf>
    <xf numFmtId="0" fontId="50" fillId="4" borderId="0" xfId="0" applyFont="1" applyFill="1" applyAlignment="1">
      <alignment wrapText="1"/>
    </xf>
    <xf numFmtId="15" fontId="50" fillId="4" borderId="0" xfId="0" applyNumberFormat="1" applyFont="1" applyFill="1" applyAlignment="1">
      <alignment wrapText="1"/>
    </xf>
    <xf numFmtId="0" fontId="54" fillId="4" borderId="1" xfId="0" applyFont="1" applyFill="1" applyBorder="1" applyAlignment="1">
      <alignment horizontal="center" vertical="center" wrapText="1"/>
    </xf>
    <xf numFmtId="0" fontId="0" fillId="57" borderId="0" xfId="0" applyFill="1"/>
    <xf numFmtId="14" fontId="0" fillId="57" borderId="0" xfId="0" applyNumberFormat="1" applyFill="1"/>
    <xf numFmtId="0" fontId="0" fillId="57" borderId="0" xfId="0" applyFill="1" applyAlignment="1">
      <alignment wrapText="1"/>
    </xf>
    <xf numFmtId="49" fontId="0" fillId="57" borderId="0" xfId="0" applyNumberFormat="1" applyFill="1"/>
    <xf numFmtId="49" fontId="0" fillId="57" borderId="0" xfId="0" applyNumberFormat="1" applyFill="1" applyAlignment="1">
      <alignment wrapText="1"/>
    </xf>
    <xf numFmtId="14" fontId="0" fillId="57" borderId="0" xfId="0" applyNumberFormat="1" applyFill="1" applyAlignment="1">
      <alignment wrapText="1"/>
    </xf>
    <xf numFmtId="0" fontId="47" fillId="57" borderId="0" xfId="0" applyFont="1" applyFill="1" applyAlignment="1">
      <alignment wrapText="1"/>
    </xf>
    <xf numFmtId="0" fontId="0" fillId="50" borderId="0" xfId="0" applyFill="1" applyAlignment="1">
      <alignment wrapText="1"/>
    </xf>
    <xf numFmtId="14" fontId="0" fillId="50" borderId="0" xfId="0" applyNumberFormat="1" applyFill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/>
    <xf numFmtId="49" fontId="7" fillId="0" borderId="0" xfId="0" applyNumberFormat="1" applyFont="1"/>
    <xf numFmtId="168" fontId="9" fillId="0" borderId="0" xfId="0" applyNumberFormat="1" applyFont="1"/>
    <xf numFmtId="0" fontId="11" fillId="0" borderId="0" xfId="0" applyFont="1" applyAlignment="1">
      <alignment horizontal="center" wrapText="1"/>
    </xf>
    <xf numFmtId="0" fontId="55" fillId="58" borderId="8" xfId="0" applyFont="1" applyFill="1" applyBorder="1"/>
    <xf numFmtId="0" fontId="56" fillId="0" borderId="0" xfId="0" applyFont="1" applyAlignment="1">
      <alignment wrapText="1"/>
    </xf>
    <xf numFmtId="14" fontId="56" fillId="0" borderId="0" xfId="0" applyNumberFormat="1" applyFont="1" applyAlignment="1">
      <alignment wrapText="1"/>
    </xf>
    <xf numFmtId="49" fontId="56" fillId="0" borderId="0" xfId="0" applyNumberFormat="1" applyFont="1" applyAlignment="1">
      <alignment wrapText="1"/>
    </xf>
    <xf numFmtId="0" fontId="0" fillId="59" borderId="0" xfId="0" applyFill="1" applyAlignment="1">
      <alignment wrapText="1"/>
    </xf>
    <xf numFmtId="166" fontId="0" fillId="59" borderId="0" xfId="0" applyNumberFormat="1" applyFill="1" applyAlignment="1">
      <alignment wrapText="1"/>
    </xf>
    <xf numFmtId="14" fontId="0" fillId="59" borderId="0" xfId="0" applyNumberFormat="1" applyFill="1" applyAlignment="1">
      <alignment wrapText="1"/>
    </xf>
    <xf numFmtId="0" fontId="0" fillId="60" borderId="0" xfId="0" applyFill="1"/>
    <xf numFmtId="14" fontId="0" fillId="60" borderId="0" xfId="0" applyNumberFormat="1" applyFill="1"/>
    <xf numFmtId="49" fontId="0" fillId="60" borderId="0" xfId="0" applyNumberFormat="1" applyFill="1"/>
    <xf numFmtId="49" fontId="0" fillId="60" borderId="0" xfId="0" applyNumberFormat="1" applyFill="1" applyAlignment="1">
      <alignment wrapText="1"/>
    </xf>
    <xf numFmtId="0" fontId="0" fillId="60" borderId="12" xfId="0" applyFill="1" applyBorder="1"/>
    <xf numFmtId="14" fontId="0" fillId="60" borderId="12" xfId="0" applyNumberFormat="1" applyFill="1" applyBorder="1"/>
    <xf numFmtId="0" fontId="0" fillId="60" borderId="12" xfId="0" applyFill="1" applyBorder="1" applyAlignment="1">
      <alignment wrapText="1"/>
    </xf>
    <xf numFmtId="49" fontId="0" fillId="60" borderId="12" xfId="0" applyNumberFormat="1" applyFill="1" applyBorder="1"/>
    <xf numFmtId="0" fontId="9" fillId="60" borderId="12" xfId="0" applyFont="1" applyFill="1" applyBorder="1"/>
    <xf numFmtId="0" fontId="16" fillId="60" borderId="12" xfId="0" applyFont="1" applyFill="1" applyBorder="1" applyAlignment="1">
      <alignment wrapText="1"/>
    </xf>
    <xf numFmtId="0" fontId="16" fillId="60" borderId="12" xfId="0" applyFont="1" applyFill="1" applyBorder="1"/>
    <xf numFmtId="0" fontId="47" fillId="52" borderId="0" xfId="0" applyFont="1" applyFill="1" applyAlignment="1">
      <alignment wrapText="1"/>
    </xf>
    <xf numFmtId="14" fontId="0" fillId="52" borderId="0" xfId="0" applyNumberFormat="1" applyFill="1" applyAlignment="1">
      <alignment wrapText="1"/>
    </xf>
    <xf numFmtId="166" fontId="0" fillId="52" borderId="0" xfId="0" applyNumberFormat="1" applyFill="1" applyAlignment="1">
      <alignment wrapText="1"/>
    </xf>
    <xf numFmtId="166" fontId="21" fillId="52" borderId="0" xfId="0" applyNumberFormat="1" applyFont="1" applyFill="1" applyAlignment="1">
      <alignment wrapText="1"/>
    </xf>
    <xf numFmtId="0" fontId="0" fillId="60" borderId="0" xfId="0" applyFill="1" applyAlignment="1">
      <alignment wrapText="1"/>
    </xf>
    <xf numFmtId="0" fontId="57" fillId="26" borderId="5" xfId="0" applyFont="1" applyFill="1" applyBorder="1" applyAlignment="1">
      <alignment horizontal="center" vertical="center" wrapText="1"/>
    </xf>
    <xf numFmtId="166" fontId="0" fillId="50" borderId="0" xfId="0" applyNumberFormat="1" applyFill="1" applyAlignment="1">
      <alignment wrapText="1"/>
    </xf>
    <xf numFmtId="0" fontId="0" fillId="50" borderId="0" xfId="0" applyFill="1"/>
    <xf numFmtId="14" fontId="0" fillId="50" borderId="0" xfId="0" applyNumberFormat="1" applyFill="1"/>
    <xf numFmtId="49" fontId="0" fillId="50" borderId="0" xfId="0" applyNumberFormat="1" applyFill="1"/>
    <xf numFmtId="49" fontId="0" fillId="50" borderId="0" xfId="0" applyNumberFormat="1" applyFill="1" applyAlignment="1">
      <alignment wrapText="1"/>
    </xf>
    <xf numFmtId="168" fontId="0" fillId="60" borderId="0" xfId="0" applyNumberFormat="1" applyFill="1"/>
    <xf numFmtId="168" fontId="0" fillId="50" borderId="0" xfId="0" applyNumberFormat="1" applyFill="1"/>
    <xf numFmtId="168" fontId="0" fillId="53" borderId="0" xfId="0" applyNumberFormat="1" applyFill="1"/>
    <xf numFmtId="14" fontId="0" fillId="50" borderId="12" xfId="0" applyNumberFormat="1" applyFill="1" applyBorder="1"/>
    <xf numFmtId="0" fontId="0" fillId="50" borderId="12" xfId="0" applyFill="1" applyBorder="1"/>
    <xf numFmtId="0" fontId="0" fillId="50" borderId="12" xfId="0" applyFill="1" applyBorder="1" applyAlignment="1">
      <alignment wrapText="1"/>
    </xf>
    <xf numFmtId="49" fontId="0" fillId="50" borderId="12" xfId="0" applyNumberFormat="1" applyFill="1" applyBorder="1"/>
    <xf numFmtId="49" fontId="9" fillId="60" borderId="12" xfId="0" applyNumberFormat="1" applyFont="1" applyFill="1" applyBorder="1"/>
    <xf numFmtId="168" fontId="9" fillId="60" borderId="12" xfId="0" applyNumberFormat="1" applyFont="1" applyFill="1" applyBorder="1"/>
    <xf numFmtId="0" fontId="41" fillId="5" borderId="1" xfId="0" applyFont="1" applyFill="1" applyBorder="1" applyAlignment="1">
      <alignment horizontal="center" vertical="center" wrapText="1"/>
    </xf>
    <xf numFmtId="0" fontId="47" fillId="46" borderId="0" xfId="0" applyFont="1" applyFill="1" applyAlignment="1">
      <alignment wrapText="1"/>
    </xf>
    <xf numFmtId="0" fontId="16" fillId="16" borderId="0" xfId="0" applyFont="1" applyFill="1" applyAlignment="1">
      <alignment wrapText="1"/>
    </xf>
    <xf numFmtId="0" fontId="16" fillId="16" borderId="0" xfId="0" applyFont="1" applyFill="1"/>
    <xf numFmtId="0" fontId="9" fillId="16" borderId="0" xfId="0" applyFont="1" applyFill="1" applyAlignment="1">
      <alignment wrapText="1"/>
    </xf>
    <xf numFmtId="0" fontId="0" fillId="63" borderId="0" xfId="0" applyFill="1" applyAlignment="1">
      <alignment wrapText="1"/>
    </xf>
    <xf numFmtId="0" fontId="21" fillId="63" borderId="0" xfId="0" applyFont="1" applyFill="1" applyAlignment="1">
      <alignment wrapText="1"/>
    </xf>
    <xf numFmtId="0" fontId="7" fillId="16" borderId="0" xfId="0" applyFont="1" applyFill="1"/>
    <xf numFmtId="14" fontId="0" fillId="46" borderId="0" xfId="0" applyNumberFormat="1" applyFill="1"/>
    <xf numFmtId="0" fontId="0" fillId="46" borderId="0" xfId="0" applyFill="1"/>
    <xf numFmtId="0" fontId="21" fillId="46" borderId="0" xfId="0" applyFont="1" applyFill="1" applyAlignment="1">
      <alignment wrapText="1"/>
    </xf>
    <xf numFmtId="49" fontId="0" fillId="46" borderId="0" xfId="0" applyNumberFormat="1" applyFill="1"/>
    <xf numFmtId="0" fontId="21" fillId="64" borderId="0" xfId="0" applyFont="1" applyFill="1"/>
    <xf numFmtId="0" fontId="0" fillId="65" borderId="0" xfId="0" applyFill="1" applyAlignment="1">
      <alignment wrapText="1"/>
    </xf>
    <xf numFmtId="166" fontId="0" fillId="65" borderId="0" xfId="0" applyNumberFormat="1" applyFill="1" applyAlignment="1">
      <alignment wrapText="1"/>
    </xf>
    <xf numFmtId="14" fontId="0" fillId="65" borderId="0" xfId="0" applyNumberFormat="1" applyFill="1" applyAlignment="1">
      <alignment wrapText="1"/>
    </xf>
    <xf numFmtId="166" fontId="21" fillId="65" borderId="0" xfId="0" applyNumberFormat="1" applyFont="1" applyFill="1" applyAlignment="1">
      <alignment wrapText="1"/>
    </xf>
    <xf numFmtId="0" fontId="21" fillId="65" borderId="0" xfId="0" applyFont="1" applyFill="1" applyAlignment="1">
      <alignment wrapText="1"/>
    </xf>
    <xf numFmtId="166" fontId="21" fillId="50" borderId="0" xfId="0" applyNumberFormat="1" applyFont="1" applyFill="1" applyAlignment="1">
      <alignment wrapText="1"/>
    </xf>
    <xf numFmtId="0" fontId="21" fillId="50" borderId="0" xfId="0" applyFont="1" applyFill="1" applyAlignment="1">
      <alignment wrapText="1"/>
    </xf>
    <xf numFmtId="0" fontId="38" fillId="41" borderId="5" xfId="0" applyFont="1" applyFill="1" applyBorder="1" applyAlignment="1">
      <alignment horizontal="center" vertical="center" wrapText="1"/>
    </xf>
    <xf numFmtId="0" fontId="38" fillId="42" borderId="5" xfId="0" applyFont="1" applyFill="1" applyBorder="1" applyAlignment="1">
      <alignment horizontal="center" vertical="center" wrapText="1"/>
    </xf>
    <xf numFmtId="0" fontId="58" fillId="50" borderId="0" xfId="0" applyFont="1" applyFill="1" applyAlignment="1">
      <alignment wrapText="1"/>
    </xf>
    <xf numFmtId="0" fontId="47" fillId="59" borderId="0" xfId="0" applyFont="1" applyFill="1" applyAlignment="1">
      <alignment wrapText="1"/>
    </xf>
    <xf numFmtId="0" fontId="47" fillId="0" borderId="0" xfId="0" applyFont="1" applyAlignment="1">
      <alignment wrapText="1"/>
    </xf>
    <xf numFmtId="0" fontId="60" fillId="0" borderId="0" xfId="0" applyFont="1" applyAlignment="1">
      <alignment wrapText="1"/>
    </xf>
    <xf numFmtId="14" fontId="60" fillId="0" borderId="0" xfId="0" applyNumberFormat="1" applyFont="1" applyAlignment="1">
      <alignment wrapText="1"/>
    </xf>
    <xf numFmtId="49" fontId="60" fillId="0" borderId="0" xfId="0" applyNumberFormat="1" applyFont="1" applyAlignment="1">
      <alignment wrapText="1"/>
    </xf>
    <xf numFmtId="169" fontId="0" fillId="0" borderId="0" xfId="0" applyNumberFormat="1"/>
    <xf numFmtId="0" fontId="47" fillId="53" borderId="0" xfId="0" applyFont="1" applyFill="1" applyAlignment="1">
      <alignment wrapText="1"/>
    </xf>
    <xf numFmtId="0" fontId="29" fillId="0" borderId="0" xfId="0" applyFont="1"/>
    <xf numFmtId="0" fontId="0" fillId="66" borderId="0" xfId="0" applyFill="1" applyAlignment="1">
      <alignment wrapText="1"/>
    </xf>
    <xf numFmtId="0" fontId="47" fillId="66" borderId="0" xfId="0" applyFont="1" applyFill="1" applyAlignment="1">
      <alignment wrapText="1"/>
    </xf>
    <xf numFmtId="0" fontId="0" fillId="67" borderId="0" xfId="0" applyFill="1"/>
    <xf numFmtId="0" fontId="0" fillId="67" borderId="0" xfId="0" applyFill="1" applyAlignment="1">
      <alignment wrapText="1"/>
    </xf>
    <xf numFmtId="49" fontId="0" fillId="67" borderId="0" xfId="0" applyNumberFormat="1" applyFill="1"/>
    <xf numFmtId="0" fontId="20" fillId="0" borderId="13" xfId="0" applyFont="1" applyBorder="1" applyAlignment="1">
      <alignment wrapText="1"/>
    </xf>
    <xf numFmtId="0" fontId="20" fillId="68" borderId="13" xfId="0" applyFont="1" applyFill="1" applyBorder="1" applyAlignment="1">
      <alignment wrapText="1"/>
    </xf>
    <xf numFmtId="14" fontId="0" fillId="0" borderId="0" xfId="0" applyNumberFormat="1" applyAlignment="1">
      <alignment horizontal="center" wrapText="1"/>
    </xf>
    <xf numFmtId="14" fontId="7" fillId="0" borderId="0" xfId="0" applyNumberFormat="1" applyFont="1" applyAlignment="1">
      <alignment horizontal="center" wrapText="1"/>
    </xf>
    <xf numFmtId="14" fontId="20" fillId="11" borderId="0" xfId="0" applyNumberFormat="1" applyFont="1" applyFill="1" applyAlignment="1">
      <alignment horizontal="center" wrapText="1"/>
    </xf>
    <xf numFmtId="14" fontId="0" fillId="11" borderId="0" xfId="0" applyNumberFormat="1" applyFill="1" applyAlignment="1">
      <alignment horizontal="center" wrapText="1"/>
    </xf>
    <xf numFmtId="14" fontId="0" fillId="14" borderId="0" xfId="0" applyNumberFormat="1" applyFill="1" applyAlignment="1">
      <alignment horizontal="center" wrapText="1"/>
    </xf>
    <xf numFmtId="14" fontId="20" fillId="14" borderId="0" xfId="0" applyNumberFormat="1" applyFont="1" applyFill="1" applyAlignment="1">
      <alignment horizontal="center" wrapText="1"/>
    </xf>
    <xf numFmtId="14" fontId="9" fillId="0" borderId="0" xfId="0" applyNumberFormat="1" applyFont="1" applyAlignment="1">
      <alignment horizontal="center" wrapText="1"/>
    </xf>
    <xf numFmtId="14" fontId="0" fillId="15" borderId="0" xfId="0" applyNumberFormat="1" applyFill="1" applyAlignment="1">
      <alignment horizontal="center" wrapText="1"/>
    </xf>
    <xf numFmtId="14" fontId="0" fillId="13" borderId="0" xfId="0" applyNumberFormat="1" applyFill="1" applyAlignment="1">
      <alignment horizontal="center" wrapText="1"/>
    </xf>
    <xf numFmtId="14" fontId="0" fillId="19" borderId="0" xfId="0" applyNumberFormat="1" applyFill="1" applyAlignment="1">
      <alignment horizontal="center" wrapText="1"/>
    </xf>
    <xf numFmtId="14" fontId="3" fillId="17" borderId="0" xfId="0" applyNumberFormat="1" applyFont="1" applyFill="1" applyAlignment="1">
      <alignment horizontal="center" wrapText="1"/>
    </xf>
    <xf numFmtId="14" fontId="0" fillId="17" borderId="0" xfId="0" applyNumberFormat="1" applyFill="1" applyAlignment="1">
      <alignment horizontal="center" wrapText="1"/>
    </xf>
    <xf numFmtId="14" fontId="0" fillId="21" borderId="0" xfId="0" applyNumberFormat="1" applyFill="1" applyAlignment="1">
      <alignment horizontal="center" wrapText="1"/>
    </xf>
    <xf numFmtId="14" fontId="0" fillId="6" borderId="0" xfId="0" applyNumberFormat="1" applyFill="1" applyAlignment="1">
      <alignment horizontal="center" wrapText="1"/>
    </xf>
    <xf numFmtId="14" fontId="0" fillId="46" borderId="0" xfId="0" applyNumberFormat="1" applyFill="1" applyAlignment="1">
      <alignment horizontal="center" wrapText="1"/>
    </xf>
    <xf numFmtId="14" fontId="0" fillId="23" borderId="0" xfId="0" applyNumberFormat="1" applyFill="1" applyAlignment="1">
      <alignment horizontal="center" wrapText="1"/>
    </xf>
    <xf numFmtId="14" fontId="20" fillId="48" borderId="0" xfId="0" applyNumberFormat="1" applyFont="1" applyFill="1" applyAlignment="1">
      <alignment horizontal="center" wrapText="1"/>
    </xf>
    <xf numFmtId="0" fontId="16" fillId="48" borderId="0" xfId="0" applyFont="1" applyFill="1" applyAlignment="1">
      <alignment horizontal="center" wrapText="1"/>
    </xf>
    <xf numFmtId="14" fontId="16" fillId="0" borderId="0" xfId="0" applyNumberFormat="1" applyFont="1" applyAlignment="1">
      <alignment horizontal="center" wrapText="1"/>
    </xf>
    <xf numFmtId="14" fontId="47" fillId="50" borderId="0" xfId="0" applyNumberFormat="1" applyFont="1" applyFill="1" applyAlignment="1">
      <alignment horizontal="center" wrapText="1"/>
    </xf>
    <xf numFmtId="14" fontId="0" fillId="54" borderId="0" xfId="0" applyNumberFormat="1" applyFill="1" applyAlignment="1">
      <alignment horizontal="center" wrapText="1"/>
    </xf>
    <xf numFmtId="14" fontId="0" fillId="55" borderId="0" xfId="0" applyNumberFormat="1" applyFill="1" applyAlignment="1">
      <alignment horizontal="center" wrapText="1"/>
    </xf>
    <xf numFmtId="14" fontId="0" fillId="57" borderId="0" xfId="0" applyNumberFormat="1" applyFill="1" applyAlignment="1">
      <alignment horizontal="center" wrapText="1"/>
    </xf>
    <xf numFmtId="14" fontId="0" fillId="50" borderId="0" xfId="0" applyNumberFormat="1" applyFill="1" applyAlignment="1">
      <alignment horizontal="center" wrapText="1"/>
    </xf>
    <xf numFmtId="16" fontId="0" fillId="52" borderId="0" xfId="0" applyNumberFormat="1" applyFill="1" applyAlignment="1">
      <alignment horizontal="center" wrapText="1"/>
    </xf>
    <xf numFmtId="14" fontId="0" fillId="52" borderId="0" xfId="0" applyNumberFormat="1" applyFill="1" applyAlignment="1">
      <alignment horizontal="center" wrapText="1"/>
    </xf>
    <xf numFmtId="0" fontId="0" fillId="52" borderId="0" xfId="0" applyFill="1" applyAlignment="1">
      <alignment horizontal="center" wrapText="1"/>
    </xf>
    <xf numFmtId="14" fontId="0" fillId="62" borderId="0" xfId="0" applyNumberFormat="1" applyFill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14" fontId="0" fillId="59" borderId="0" xfId="0" applyNumberFormat="1" applyFill="1" applyAlignment="1">
      <alignment horizontal="center" wrapText="1"/>
    </xf>
    <xf numFmtId="0" fontId="0" fillId="53" borderId="0" xfId="0" applyFill="1" applyAlignment="1">
      <alignment horizontal="center" wrapText="1"/>
    </xf>
    <xf numFmtId="14" fontId="0" fillId="53" borderId="0" xfId="0" applyNumberFormat="1" applyFill="1" applyAlignment="1">
      <alignment horizontal="center" wrapText="1"/>
    </xf>
    <xf numFmtId="0" fontId="0" fillId="66" borderId="0" xfId="0" applyFill="1" applyAlignment="1">
      <alignment horizontal="center" wrapText="1"/>
    </xf>
    <xf numFmtId="14" fontId="0" fillId="66" borderId="0" xfId="0" applyNumberFormat="1" applyFill="1" applyAlignment="1">
      <alignment horizontal="center" wrapText="1"/>
    </xf>
    <xf numFmtId="14" fontId="0" fillId="69" borderId="0" xfId="0" applyNumberFormat="1" applyFill="1" applyAlignment="1">
      <alignment wrapText="1"/>
    </xf>
    <xf numFmtId="166" fontId="0" fillId="69" borderId="0" xfId="0" applyNumberFormat="1" applyFill="1" applyAlignment="1">
      <alignment wrapText="1"/>
    </xf>
    <xf numFmtId="0" fontId="0" fillId="69" borderId="0" xfId="0" applyFill="1" applyAlignment="1">
      <alignment wrapText="1"/>
    </xf>
    <xf numFmtId="0" fontId="41" fillId="29" borderId="5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38" fillId="12" borderId="1" xfId="0" applyFont="1" applyFill="1" applyBorder="1" applyAlignment="1">
      <alignment horizontal="center" vertical="center" wrapText="1"/>
    </xf>
    <xf numFmtId="0" fontId="41" fillId="36" borderId="5" xfId="0" applyFont="1" applyFill="1" applyBorder="1" applyAlignment="1">
      <alignment horizontal="center" vertical="center" wrapText="1"/>
    </xf>
    <xf numFmtId="0" fontId="2" fillId="0" borderId="0" xfId="2" applyFill="1" applyAlignment="1">
      <alignment wrapText="1"/>
    </xf>
    <xf numFmtId="0" fontId="0" fillId="44" borderId="0" xfId="0" applyFill="1"/>
    <xf numFmtId="0" fontId="0" fillId="44" borderId="0" xfId="0" applyFill="1" applyAlignment="1">
      <alignment wrapText="1"/>
    </xf>
    <xf numFmtId="0" fontId="41" fillId="33" borderId="5" xfId="0" applyFont="1" applyFill="1" applyBorder="1" applyAlignment="1">
      <alignment horizontal="center" vertical="center" wrapText="1"/>
    </xf>
    <xf numFmtId="0" fontId="41" fillId="19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0" fillId="68" borderId="13" xfId="0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40" fillId="44" borderId="0" xfId="0" applyFont="1" applyFill="1" applyAlignment="1">
      <alignment horizontal="left" vertical="center"/>
    </xf>
    <xf numFmtId="0" fontId="0" fillId="0" borderId="0" xfId="0" applyAlignment="1">
      <alignment horizontal="left" wrapText="1"/>
    </xf>
    <xf numFmtId="14" fontId="40" fillId="70" borderId="15" xfId="0" applyNumberFormat="1" applyFont="1" applyFill="1" applyBorder="1"/>
    <xf numFmtId="166" fontId="0" fillId="70" borderId="16" xfId="0" applyNumberFormat="1" applyFill="1" applyBorder="1" applyAlignment="1">
      <alignment wrapText="1"/>
    </xf>
    <xf numFmtId="0" fontId="0" fillId="70" borderId="16" xfId="0" applyFill="1" applyBorder="1" applyAlignment="1">
      <alignment wrapText="1"/>
    </xf>
    <xf numFmtId="14" fontId="0" fillId="70" borderId="16" xfId="0" applyNumberFormat="1" applyFill="1" applyBorder="1"/>
    <xf numFmtId="49" fontId="0" fillId="70" borderId="16" xfId="0" applyNumberFormat="1" applyFill="1" applyBorder="1"/>
    <xf numFmtId="49" fontId="0" fillId="70" borderId="16" xfId="0" applyNumberFormat="1" applyFill="1" applyBorder="1" applyAlignment="1">
      <alignment wrapText="1"/>
    </xf>
    <xf numFmtId="0" fontId="0" fillId="70" borderId="17" xfId="0" applyFill="1" applyBorder="1"/>
    <xf numFmtId="49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56" fillId="0" borderId="0" xfId="0" applyFont="1" applyAlignment="1">
      <alignment horizontal="right" wrapText="1"/>
    </xf>
    <xf numFmtId="14" fontId="0" fillId="16" borderId="0" xfId="0" applyNumberFormat="1" applyFill="1"/>
    <xf numFmtId="166" fontId="0" fillId="0" borderId="0" xfId="0" applyNumberFormat="1" applyAlignment="1">
      <alignment horizontal="right"/>
    </xf>
    <xf numFmtId="166" fontId="0" fillId="16" borderId="0" xfId="0" applyNumberFormat="1" applyFill="1"/>
    <xf numFmtId="14" fontId="0" fillId="0" borderId="0" xfId="0" applyNumberFormat="1" applyAlignment="1">
      <alignment horizontal="right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  <xf numFmtId="49" fontId="0" fillId="16" borderId="0" xfId="0" applyNumberFormat="1" applyFill="1" applyAlignment="1">
      <alignment horizontal="left" wrapText="1"/>
    </xf>
    <xf numFmtId="17" fontId="0" fillId="0" borderId="0" xfId="0" applyNumberFormat="1"/>
    <xf numFmtId="14" fontId="0" fillId="71" borderId="0" xfId="0" applyNumberFormat="1" applyFill="1" applyAlignment="1">
      <alignment wrapText="1"/>
    </xf>
    <xf numFmtId="0" fontId="0" fillId="71" borderId="0" xfId="0" applyFill="1" applyAlignment="1">
      <alignment wrapText="1"/>
    </xf>
    <xf numFmtId="0" fontId="62" fillId="16" borderId="0" xfId="0" applyFont="1" applyFill="1"/>
    <xf numFmtId="14" fontId="47" fillId="0" borderId="0" xfId="0" applyNumberFormat="1" applyFont="1"/>
    <xf numFmtId="166" fontId="47" fillId="0" borderId="0" xfId="0" applyNumberFormat="1" applyFont="1"/>
    <xf numFmtId="0" fontId="47" fillId="0" borderId="0" xfId="0" applyFont="1"/>
    <xf numFmtId="49" fontId="47" fillId="0" borderId="0" xfId="0" applyNumberFormat="1" applyFont="1"/>
    <xf numFmtId="49" fontId="47" fillId="0" borderId="0" xfId="0" applyNumberFormat="1" applyFont="1" applyAlignment="1">
      <alignment wrapText="1"/>
    </xf>
    <xf numFmtId="0" fontId="63" fillId="44" borderId="18" xfId="0" applyFont="1" applyFill="1" applyBorder="1" applyAlignment="1">
      <alignment horizontal="center" vertical="center" indent="1"/>
    </xf>
    <xf numFmtId="0" fontId="0" fillId="0" borderId="0" xfId="0" applyFill="1"/>
    <xf numFmtId="49" fontId="0" fillId="0" borderId="0" xfId="0" applyNumberFormat="1" applyFill="1"/>
    <xf numFmtId="14" fontId="0" fillId="0" borderId="0" xfId="0" applyNumberFormat="1" applyFill="1"/>
    <xf numFmtId="0" fontId="62" fillId="16" borderId="0" xfId="0" applyFont="1" applyFill="1" applyAlignment="1">
      <alignment wrapText="1"/>
    </xf>
    <xf numFmtId="166" fontId="0" fillId="0" borderId="0" xfId="0" applyNumberFormat="1" applyFill="1" applyAlignment="1">
      <alignment wrapText="1"/>
    </xf>
    <xf numFmtId="0" fontId="0" fillId="0" borderId="0" xfId="0" applyFill="1" applyAlignment="1">
      <alignment wrapText="1"/>
    </xf>
    <xf numFmtId="14" fontId="0" fillId="0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14" fontId="42" fillId="0" borderId="0" xfId="0" applyNumberFormat="1" applyFont="1" applyFill="1"/>
    <xf numFmtId="0" fontId="65" fillId="0" borderId="0" xfId="0" applyFont="1" applyAlignment="1">
      <alignment wrapText="1"/>
    </xf>
    <xf numFmtId="0" fontId="62" fillId="0" borderId="0" xfId="0" applyFont="1"/>
    <xf numFmtId="0" fontId="62" fillId="0" borderId="0" xfId="0" applyFont="1" applyAlignment="1">
      <alignment wrapText="1"/>
    </xf>
    <xf numFmtId="49" fontId="62" fillId="0" borderId="0" xfId="0" applyNumberFormat="1" applyFont="1" applyAlignment="1">
      <alignment wrapText="1"/>
    </xf>
    <xf numFmtId="0" fontId="66" fillId="72" borderId="0" xfId="0" applyFont="1" applyFill="1" applyAlignment="1">
      <alignment wrapText="1"/>
    </xf>
    <xf numFmtId="0" fontId="65" fillId="0" borderId="0" xfId="0" applyFont="1" applyFill="1" applyAlignment="1">
      <alignment wrapText="1"/>
    </xf>
    <xf numFmtId="0" fontId="65" fillId="0" borderId="0" xfId="0" applyFont="1" applyFill="1"/>
    <xf numFmtId="14" fontId="0" fillId="0" borderId="0" xfId="0" applyNumberFormat="1" applyFont="1"/>
    <xf numFmtId="166" fontId="0" fillId="0" borderId="0" xfId="0" applyNumberFormat="1" applyFont="1"/>
    <xf numFmtId="0" fontId="0" fillId="0" borderId="0" xfId="0" applyFont="1"/>
    <xf numFmtId="0" fontId="0" fillId="0" borderId="0" xfId="0" applyFont="1" applyAlignment="1">
      <alignment wrapText="1"/>
    </xf>
    <xf numFmtId="49" fontId="0" fillId="0" borderId="0" xfId="0" applyNumberFormat="1" applyFont="1"/>
    <xf numFmtId="49" fontId="0" fillId="0" borderId="0" xfId="0" applyNumberFormat="1" applyFont="1" applyAlignment="1">
      <alignment wrapText="1"/>
    </xf>
    <xf numFmtId="14" fontId="0" fillId="0" borderId="0" xfId="0" applyNumberFormat="1" applyFont="1" applyAlignment="1">
      <alignment wrapText="1"/>
    </xf>
    <xf numFmtId="14" fontId="62" fillId="0" borderId="0" xfId="0" applyNumberFormat="1" applyFont="1" applyAlignment="1">
      <alignment wrapText="1"/>
    </xf>
    <xf numFmtId="0" fontId="41" fillId="0" borderId="5" xfId="0" applyFont="1" applyFill="1" applyBorder="1" applyAlignment="1">
      <alignment horizontal="center" vertical="center" wrapText="1"/>
    </xf>
    <xf numFmtId="0" fontId="5" fillId="29" borderId="0" xfId="0" applyFont="1" applyFill="1" applyBorder="1" applyAlignment="1">
      <alignment horizontal="center" vertical="center" wrapText="1"/>
    </xf>
    <xf numFmtId="14" fontId="62" fillId="16" borderId="0" xfId="0" applyNumberFormat="1" applyFont="1" applyFill="1"/>
    <xf numFmtId="0" fontId="0" fillId="73" borderId="19" xfId="0" applyFill="1" applyBorder="1" applyAlignment="1">
      <alignment wrapText="1"/>
    </xf>
    <xf numFmtId="14" fontId="0" fillId="73" borderId="19" xfId="0" applyNumberFormat="1" applyFill="1" applyBorder="1" applyAlignment="1">
      <alignment wrapText="1"/>
    </xf>
    <xf numFmtId="16" fontId="9" fillId="16" borderId="0" xfId="0" applyNumberFormat="1" applyFont="1" applyFill="1"/>
    <xf numFmtId="166" fontId="0" fillId="73" borderId="19" xfId="0" applyNumberFormat="1" applyFont="1" applyFill="1" applyBorder="1" applyAlignment="1">
      <alignment wrapText="1"/>
    </xf>
    <xf numFmtId="14" fontId="0" fillId="0" borderId="20" xfId="0" applyNumberFormat="1" applyBorder="1" applyAlignment="1">
      <alignment wrapText="1"/>
    </xf>
    <xf numFmtId="0" fontId="0" fillId="74" borderId="0" xfId="0" applyFill="1" applyAlignment="1">
      <alignment wrapText="1"/>
    </xf>
    <xf numFmtId="0" fontId="0" fillId="75" borderId="0" xfId="0" applyFill="1" applyAlignment="1">
      <alignment wrapText="1"/>
    </xf>
    <xf numFmtId="14" fontId="47" fillId="73" borderId="19" xfId="0" applyNumberFormat="1" applyFont="1" applyFill="1" applyBorder="1" applyAlignment="1">
      <alignment wrapText="1"/>
    </xf>
    <xf numFmtId="0" fontId="47" fillId="73" borderId="19" xfId="0" applyFont="1" applyFill="1" applyBorder="1" applyAlignment="1">
      <alignment wrapText="1"/>
    </xf>
    <xf numFmtId="14" fontId="47" fillId="16" borderId="0" xfId="0" applyNumberFormat="1" applyFont="1" applyFill="1"/>
    <xf numFmtId="14" fontId="43" fillId="0" borderId="0" xfId="0" applyNumberFormat="1" applyFont="1"/>
    <xf numFmtId="0" fontId="43" fillId="0" borderId="0" xfId="0" applyFont="1"/>
    <xf numFmtId="166" fontId="0" fillId="0" borderId="0" xfId="0" applyNumberFormat="1" applyFont="1" applyAlignment="1">
      <alignment wrapText="1"/>
    </xf>
    <xf numFmtId="0" fontId="0" fillId="73" borderId="19" xfId="0" applyFont="1" applyFill="1" applyBorder="1" applyAlignment="1">
      <alignment wrapText="1"/>
    </xf>
    <xf numFmtId="0" fontId="65" fillId="0" borderId="0" xfId="0" applyFont="1"/>
    <xf numFmtId="14" fontId="67" fillId="76" borderId="0" xfId="0" applyNumberFormat="1" applyFont="1" applyFill="1" applyBorder="1" applyAlignment="1"/>
    <xf numFmtId="0" fontId="0" fillId="77" borderId="0" xfId="0" applyFill="1"/>
    <xf numFmtId="16" fontId="0" fillId="0" borderId="0" xfId="0" applyNumberFormat="1" applyFill="1"/>
    <xf numFmtId="0" fontId="69" fillId="73" borderId="19" xfId="0" applyFont="1" applyFill="1" applyBorder="1" applyAlignment="1">
      <alignment wrapText="1"/>
    </xf>
    <xf numFmtId="0" fontId="0" fillId="6" borderId="0" xfId="0" applyFill="1"/>
    <xf numFmtId="0" fontId="0" fillId="0" borderId="12" xfId="0" applyBorder="1" applyAlignment="1">
      <alignment wrapText="1"/>
    </xf>
    <xf numFmtId="0" fontId="5" fillId="0" borderId="18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14" fontId="0" fillId="73" borderId="19" xfId="0" applyNumberFormat="1" applyFont="1" applyFill="1" applyBorder="1" applyAlignment="1">
      <alignment wrapText="1"/>
    </xf>
    <xf numFmtId="0" fontId="21" fillId="16" borderId="0" xfId="0" applyFont="1" applyFill="1"/>
    <xf numFmtId="14" fontId="70" fillId="0" borderId="12" xfId="0" applyNumberFormat="1" applyFont="1" applyBorder="1"/>
    <xf numFmtId="166" fontId="71" fillId="0" borderId="12" xfId="0" applyNumberFormat="1" applyFont="1" applyBorder="1" applyAlignment="1">
      <alignment wrapText="1"/>
    </xf>
    <xf numFmtId="0" fontId="71" fillId="0" borderId="12" xfId="0" applyFont="1" applyBorder="1" applyAlignment="1">
      <alignment wrapText="1"/>
    </xf>
    <xf numFmtId="14" fontId="71" fillId="0" borderId="12" xfId="0" applyNumberFormat="1" applyFont="1" applyBorder="1"/>
    <xf numFmtId="49" fontId="71" fillId="0" borderId="12" xfId="0" applyNumberFormat="1" applyFont="1" applyBorder="1" applyAlignment="1">
      <alignment wrapText="1"/>
    </xf>
    <xf numFmtId="0" fontId="71" fillId="0" borderId="12" xfId="0" applyFont="1" applyBorder="1"/>
    <xf numFmtId="49" fontId="71" fillId="0" borderId="12" xfId="0" applyNumberFormat="1" applyFont="1" applyBorder="1"/>
    <xf numFmtId="0" fontId="71" fillId="0" borderId="0" xfId="0" applyFont="1"/>
    <xf numFmtId="166" fontId="0" fillId="0" borderId="0" xfId="0" applyNumberFormat="1" applyFill="1"/>
    <xf numFmtId="0" fontId="12" fillId="10" borderId="2" xfId="0" applyFont="1" applyFill="1" applyBorder="1" applyAlignment="1">
      <alignment horizontal="center" vertical="center" wrapText="1"/>
    </xf>
    <xf numFmtId="0" fontId="0" fillId="71" borderId="0" xfId="0" applyFill="1"/>
    <xf numFmtId="166" fontId="0" fillId="71" borderId="0" xfId="0" applyNumberFormat="1" applyFill="1"/>
    <xf numFmtId="14" fontId="0" fillId="71" borderId="0" xfId="0" applyNumberFormat="1" applyFill="1"/>
    <xf numFmtId="49" fontId="0" fillId="71" borderId="0" xfId="0" applyNumberFormat="1" applyFill="1"/>
    <xf numFmtId="49" fontId="0" fillId="71" borderId="0" xfId="0" applyNumberFormat="1" applyFill="1" applyAlignment="1">
      <alignment wrapText="1"/>
    </xf>
    <xf numFmtId="166" fontId="0" fillId="71" borderId="0" xfId="0" applyNumberFormat="1" applyFill="1" applyAlignment="1">
      <alignment wrapText="1"/>
    </xf>
    <xf numFmtId="16" fontId="0" fillId="71" borderId="0" xfId="0" applyNumberFormat="1" applyFill="1"/>
    <xf numFmtId="0" fontId="21" fillId="16" borderId="0" xfId="0" applyFont="1" applyFill="1" applyAlignment="1">
      <alignment wrapText="1"/>
    </xf>
    <xf numFmtId="171" fontId="0" fillId="0" borderId="0" xfId="0" applyNumberFormat="1"/>
    <xf numFmtId="0" fontId="0" fillId="0" borderId="0" xfId="0" applyNumberFormat="1" applyAlignment="1">
      <alignment wrapText="1"/>
    </xf>
    <xf numFmtId="4" fontId="0" fillId="0" borderId="0" xfId="0" applyNumberFormat="1" applyFill="1"/>
    <xf numFmtId="0" fontId="74" fillId="0" borderId="0" xfId="2" applyFont="1" applyAlignment="1">
      <alignment wrapText="1"/>
    </xf>
    <xf numFmtId="166" fontId="0" fillId="73" borderId="19" xfId="0" applyNumberFormat="1" applyFill="1" applyBorder="1" applyAlignment="1">
      <alignment wrapText="1"/>
    </xf>
    <xf numFmtId="0" fontId="71" fillId="0" borderId="18" xfId="0" applyFont="1" applyBorder="1" applyAlignment="1">
      <alignment wrapText="1"/>
    </xf>
    <xf numFmtId="166" fontId="71" fillId="0" borderId="12" xfId="0" applyNumberFormat="1" applyFont="1" applyBorder="1"/>
    <xf numFmtId="14" fontId="71" fillId="0" borderId="21" xfId="0" applyNumberFormat="1" applyFont="1" applyBorder="1" applyAlignment="1">
      <alignment wrapText="1"/>
    </xf>
    <xf numFmtId="166" fontId="71" fillId="0" borderId="21" xfId="0" applyNumberFormat="1" applyFont="1" applyBorder="1" applyAlignment="1">
      <alignment wrapText="1"/>
    </xf>
    <xf numFmtId="0" fontId="71" fillId="0" borderId="21" xfId="0" applyFont="1" applyBorder="1" applyAlignment="1">
      <alignment wrapText="1"/>
    </xf>
    <xf numFmtId="0" fontId="71" fillId="0" borderId="21" xfId="0" applyFont="1" applyBorder="1"/>
    <xf numFmtId="49" fontId="71" fillId="0" borderId="21" xfId="0" applyNumberFormat="1" applyFont="1" applyBorder="1"/>
    <xf numFmtId="49" fontId="71" fillId="0" borderId="21" xfId="0" applyNumberFormat="1" applyFont="1" applyBorder="1" applyAlignment="1">
      <alignment wrapText="1"/>
    </xf>
    <xf numFmtId="0" fontId="77" fillId="0" borderId="0" xfId="2" applyFont="1" applyAlignment="1">
      <alignment wrapText="1"/>
    </xf>
    <xf numFmtId="14" fontId="42" fillId="0" borderId="0" xfId="0" applyNumberFormat="1" applyFont="1" applyAlignment="1">
      <alignment wrapText="1"/>
    </xf>
    <xf numFmtId="0" fontId="67" fillId="0" borderId="0" xfId="0" applyFont="1" applyFill="1" applyBorder="1" applyAlignment="1"/>
    <xf numFmtId="14" fontId="67" fillId="0" borderId="0" xfId="0" applyNumberFormat="1" applyFont="1" applyFill="1" applyBorder="1" applyAlignment="1"/>
    <xf numFmtId="0" fontId="0" fillId="78" borderId="0" xfId="0" applyFill="1"/>
    <xf numFmtId="14" fontId="0" fillId="78" borderId="0" xfId="0" applyNumberFormat="1" applyFill="1"/>
    <xf numFmtId="49" fontId="0" fillId="78" borderId="0" xfId="0" applyNumberFormat="1" applyFill="1"/>
    <xf numFmtId="0" fontId="0" fillId="70" borderId="16" xfId="0" applyFill="1" applyBorder="1"/>
    <xf numFmtId="4" fontId="67" fillId="0" borderId="0" xfId="0" applyNumberFormat="1" applyFont="1" applyFill="1" applyBorder="1" applyAlignment="1"/>
    <xf numFmtId="4" fontId="0" fillId="0" borderId="0" xfId="0" applyNumberFormat="1"/>
    <xf numFmtId="0" fontId="0" fillId="79" borderId="0" xfId="0" applyFill="1"/>
    <xf numFmtId="14" fontId="0" fillId="79" borderId="0" xfId="0" applyNumberFormat="1" applyFill="1"/>
    <xf numFmtId="0" fontId="0" fillId="79" borderId="0" xfId="0" applyFill="1" applyAlignment="1">
      <alignment wrapText="1"/>
    </xf>
    <xf numFmtId="49" fontId="0" fillId="79" borderId="0" xfId="0" applyNumberFormat="1" applyFill="1"/>
    <xf numFmtId="0" fontId="8" fillId="16" borderId="0" xfId="0" applyFont="1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50" fillId="4" borderId="0" xfId="0" applyFont="1" applyFill="1" applyAlignment="1">
      <alignment horizontal="center" wrapText="1"/>
    </xf>
    <xf numFmtId="0" fontId="2" fillId="0" borderId="0" xfId="2" applyAlignment="1">
      <alignment horizontal="center"/>
    </xf>
    <xf numFmtId="0" fontId="21" fillId="0" borderId="0" xfId="0" applyFont="1" applyAlignment="1">
      <alignment horizontal="center" wrapText="1"/>
    </xf>
    <xf numFmtId="0" fontId="8" fillId="6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11" fillId="4" borderId="0" xfId="0" applyFont="1" applyFill="1" applyAlignment="1">
      <alignment horizontal="center" wrapText="1"/>
    </xf>
    <xf numFmtId="0" fontId="44" fillId="19" borderId="0" xfId="0" applyFont="1" applyFill="1" applyAlignment="1">
      <alignment horizontal="center" wrapText="1"/>
    </xf>
    <xf numFmtId="0" fontId="19" fillId="0" borderId="0" xfId="0" applyFont="1" applyAlignment="1">
      <alignment horizontal="center" wrapText="1"/>
    </xf>
    <xf numFmtId="0" fontId="1" fillId="22" borderId="0" xfId="0" applyFont="1" applyFill="1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16" borderId="0" xfId="0" applyFill="1" applyAlignment="1">
      <alignment horizontal="center"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2" applyAlignment="1">
      <alignment horizontal="center"/>
    </xf>
    <xf numFmtId="0" fontId="25" fillId="24" borderId="0" xfId="0" applyFont="1" applyFill="1" applyAlignment="1">
      <alignment horizontal="center"/>
    </xf>
    <xf numFmtId="0" fontId="24" fillId="24" borderId="0" xfId="0" applyFont="1" applyFill="1" applyAlignment="1">
      <alignment horizontal="center" wrapText="1"/>
    </xf>
    <xf numFmtId="0" fontId="11" fillId="12" borderId="0" xfId="0" applyFont="1" applyFill="1" applyAlignment="1">
      <alignment horizontal="center" wrapText="1"/>
    </xf>
    <xf numFmtId="0" fontId="13" fillId="1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6" fillId="5" borderId="0" xfId="0" applyFont="1" applyFill="1" applyAlignment="1">
      <alignment horizontal="center" wrapText="1"/>
    </xf>
    <xf numFmtId="0" fontId="9" fillId="5" borderId="0" xfId="0" applyFont="1" applyFill="1" applyAlignment="1">
      <alignment horizontal="center" wrapText="1"/>
    </xf>
    <xf numFmtId="0" fontId="10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7" fillId="23" borderId="0" xfId="0" applyFont="1" applyFill="1" applyAlignment="1">
      <alignment horizontal="center"/>
    </xf>
    <xf numFmtId="0" fontId="21" fillId="16" borderId="0" xfId="0" applyFont="1" applyFill="1" applyAlignment="1">
      <alignment horizontal="center"/>
    </xf>
    <xf numFmtId="0" fontId="50" fillId="4" borderId="0" xfId="0" applyFont="1" applyFill="1" applyAlignment="1">
      <alignment horizontal="center" wrapText="1"/>
    </xf>
    <xf numFmtId="0" fontId="53" fillId="4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8" fillId="6" borderId="0" xfId="0" applyFont="1" applyFill="1" applyAlignment="1">
      <alignment horizontal="center" wrapText="1"/>
    </xf>
    <xf numFmtId="0" fontId="6" fillId="6" borderId="0" xfId="0" applyFont="1" applyFill="1" applyAlignment="1">
      <alignment horizontal="center" wrapText="1"/>
    </xf>
    <xf numFmtId="15" fontId="2" fillId="0" borderId="0" xfId="2" applyNumberFormat="1" applyFill="1" applyAlignment="1">
      <alignment horizontal="center" wrapText="1"/>
    </xf>
    <xf numFmtId="0" fontId="2" fillId="0" borderId="0" xfId="2" applyAlignment="1">
      <alignment horizontal="center" wrapText="1"/>
    </xf>
    <xf numFmtId="0" fontId="11" fillId="7" borderId="0" xfId="0" applyFont="1" applyFill="1" applyAlignment="1">
      <alignment horizontal="center" wrapText="1"/>
    </xf>
    <xf numFmtId="0" fontId="13" fillId="7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8" fillId="8" borderId="0" xfId="0" applyFont="1" applyFill="1" applyAlignment="1">
      <alignment horizontal="center"/>
    </xf>
    <xf numFmtId="0" fontId="16" fillId="8" borderId="0" xfId="0" applyFont="1" applyFill="1" applyAlignment="1">
      <alignment horizontal="center" wrapText="1"/>
    </xf>
    <xf numFmtId="0" fontId="4" fillId="8" borderId="0" xfId="0" applyFont="1" applyFill="1" applyAlignment="1">
      <alignment horizont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wrapText="1"/>
    </xf>
    <xf numFmtId="0" fontId="4" fillId="10" borderId="0" xfId="0" applyFont="1" applyFill="1" applyAlignment="1">
      <alignment horizontal="center" wrapText="1"/>
    </xf>
    <xf numFmtId="0" fontId="16" fillId="10" borderId="0" xfId="0" applyFont="1" applyFill="1" applyAlignment="1">
      <alignment horizont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 wrapText="1"/>
    </xf>
    <xf numFmtId="0" fontId="8" fillId="5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16" fillId="5" borderId="0" xfId="0" applyFont="1" applyFill="1" applyAlignment="1">
      <alignment horizont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7" fillId="32" borderId="0" xfId="0" applyFont="1" applyFill="1" applyAlignment="1">
      <alignment horizontal="center"/>
    </xf>
    <xf numFmtId="0" fontId="11" fillId="4" borderId="0" xfId="0" applyFont="1" applyFill="1" applyAlignment="1">
      <alignment horizontal="center" wrapText="1"/>
    </xf>
    <xf numFmtId="0" fontId="8" fillId="16" borderId="0" xfId="0" applyFont="1" applyFill="1" applyAlignment="1">
      <alignment horizontal="center" wrapText="1"/>
    </xf>
    <xf numFmtId="0" fontId="13" fillId="4" borderId="0" xfId="0" applyFont="1" applyFill="1" applyAlignment="1">
      <alignment horizontal="center" wrapText="1"/>
    </xf>
    <xf numFmtId="0" fontId="8" fillId="32" borderId="0" xfId="0" applyFont="1" applyFill="1" applyAlignment="1">
      <alignment horizontal="center"/>
    </xf>
    <xf numFmtId="0" fontId="8" fillId="44" borderId="0" xfId="0" applyFont="1" applyFill="1" applyAlignment="1">
      <alignment horizontal="center" wrapText="1"/>
    </xf>
    <xf numFmtId="0" fontId="59" fillId="32" borderId="0" xfId="0" applyFont="1" applyFill="1" applyAlignment="1">
      <alignment horizontal="center"/>
    </xf>
    <xf numFmtId="0" fontId="9" fillId="16" borderId="0" xfId="0" applyFont="1" applyFill="1" applyAlignment="1">
      <alignment horizontal="center"/>
    </xf>
    <xf numFmtId="0" fontId="12" fillId="9" borderId="2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wrapText="1"/>
    </xf>
    <xf numFmtId="0" fontId="11" fillId="9" borderId="0" xfId="0" applyFont="1" applyFill="1" applyAlignment="1">
      <alignment horizontal="center"/>
    </xf>
    <xf numFmtId="0" fontId="14" fillId="9" borderId="0" xfId="0" applyFont="1" applyFill="1" applyAlignment="1">
      <alignment horizontal="center" wrapText="1"/>
    </xf>
    <xf numFmtId="0" fontId="18" fillId="9" borderId="0" xfId="0" applyFont="1" applyFill="1" applyAlignment="1">
      <alignment horizontal="center" wrapText="1"/>
    </xf>
    <xf numFmtId="0" fontId="19" fillId="9" borderId="0" xfId="0" applyFont="1" applyFill="1" applyAlignment="1">
      <alignment horizontal="center" wrapText="1"/>
    </xf>
    <xf numFmtId="0" fontId="0" fillId="16" borderId="0" xfId="0" applyFill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23" fillId="10" borderId="0" xfId="0" applyFont="1" applyFill="1" applyAlignment="1">
      <alignment horizontal="center" wrapText="1"/>
    </xf>
    <xf numFmtId="0" fontId="5" fillId="19" borderId="2" xfId="0" applyFont="1" applyFill="1" applyBorder="1" applyAlignment="1">
      <alignment horizontal="center" vertical="center" wrapText="1"/>
    </xf>
    <xf numFmtId="0" fontId="5" fillId="19" borderId="3" xfId="0" applyFont="1" applyFill="1" applyBorder="1" applyAlignment="1">
      <alignment horizontal="center" vertical="center" wrapText="1"/>
    </xf>
    <xf numFmtId="0" fontId="5" fillId="19" borderId="4" xfId="0" applyFont="1" applyFill="1" applyBorder="1" applyAlignment="1">
      <alignment horizontal="center" vertical="center" wrapText="1"/>
    </xf>
    <xf numFmtId="0" fontId="44" fillId="19" borderId="0" xfId="0" applyFont="1" applyFill="1" applyAlignment="1">
      <alignment horizontal="center" wrapText="1"/>
    </xf>
    <xf numFmtId="0" fontId="23" fillId="19" borderId="0" xfId="0" applyFont="1" applyFill="1" applyAlignment="1">
      <alignment horizontal="center" wrapText="1"/>
    </xf>
    <xf numFmtId="0" fontId="51" fillId="0" borderId="0" xfId="0" applyFont="1" applyAlignment="1">
      <alignment horizontal="center" wrapText="1"/>
    </xf>
    <xf numFmtId="0" fontId="72" fillId="5" borderId="0" xfId="0" applyFont="1" applyFill="1" applyAlignment="1">
      <alignment horizontal="center" wrapText="1"/>
    </xf>
    <xf numFmtId="0" fontId="23" fillId="5" borderId="0" xfId="0" applyFont="1" applyFill="1" applyAlignment="1">
      <alignment horizontal="center" wrapText="1"/>
    </xf>
    <xf numFmtId="0" fontId="19" fillId="0" borderId="0" xfId="0" applyFont="1" applyAlignment="1">
      <alignment horizontal="center" wrapText="1"/>
    </xf>
    <xf numFmtId="0" fontId="5" fillId="22" borderId="2" xfId="0" applyFont="1" applyFill="1" applyBorder="1" applyAlignment="1">
      <alignment horizontal="center" vertical="center" wrapText="1"/>
    </xf>
    <xf numFmtId="0" fontId="5" fillId="22" borderId="3" xfId="0" applyFont="1" applyFill="1" applyBorder="1" applyAlignment="1">
      <alignment horizontal="center" vertical="center" wrapText="1"/>
    </xf>
    <xf numFmtId="0" fontId="5" fillId="22" borderId="4" xfId="0" applyFont="1" applyFill="1" applyBorder="1" applyAlignment="1">
      <alignment horizontal="center" vertical="center" wrapText="1"/>
    </xf>
    <xf numFmtId="0" fontId="1" fillId="22" borderId="0" xfId="0" applyFont="1" applyFill="1" applyAlignment="1">
      <alignment horizontal="center" wrapText="1"/>
    </xf>
    <xf numFmtId="0" fontId="21" fillId="44" borderId="0" xfId="0" applyFont="1" applyFill="1" applyAlignment="1">
      <alignment horizontal="center"/>
    </xf>
    <xf numFmtId="0" fontId="23" fillId="22" borderId="0" xfId="0" applyFont="1" applyFill="1" applyAlignment="1">
      <alignment horizontal="center" wrapText="1"/>
    </xf>
    <xf numFmtId="0" fontId="1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23" fillId="8" borderId="0" xfId="0" applyFont="1" applyFill="1" applyAlignment="1">
      <alignment horizontal="center" wrapText="1"/>
    </xf>
    <xf numFmtId="0" fontId="7" fillId="24" borderId="0" xfId="0" applyFont="1" applyFill="1" applyAlignment="1">
      <alignment horizontal="center" wrapText="1"/>
    </xf>
    <xf numFmtId="0" fontId="24" fillId="25" borderId="0" xfId="0" applyFont="1" applyFill="1" applyAlignment="1">
      <alignment horizontal="center"/>
    </xf>
    <xf numFmtId="0" fontId="25" fillId="25" borderId="0" xfId="0" applyFont="1" applyFill="1" applyAlignment="1">
      <alignment horizontal="center"/>
    </xf>
    <xf numFmtId="0" fontId="7" fillId="25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26" borderId="0" xfId="0" applyFont="1" applyFill="1" applyAlignment="1">
      <alignment horizontal="center"/>
    </xf>
    <xf numFmtId="0" fontId="28" fillId="26" borderId="0" xfId="0" applyFont="1" applyFill="1" applyAlignment="1">
      <alignment horizontal="center"/>
    </xf>
    <xf numFmtId="0" fontId="7" fillId="26" borderId="0" xfId="0" applyFont="1" applyFill="1" applyAlignment="1">
      <alignment horizontal="center" wrapText="1"/>
    </xf>
    <xf numFmtId="170" fontId="0" fillId="0" borderId="0" xfId="0" applyNumberFormat="1" applyAlignment="1">
      <alignment horizontal="center"/>
    </xf>
    <xf numFmtId="0" fontId="7" fillId="27" borderId="0" xfId="0" applyFont="1" applyFill="1" applyAlignment="1">
      <alignment horizontal="center" wrapText="1"/>
    </xf>
    <xf numFmtId="0" fontId="7" fillId="28" borderId="0" xfId="0" applyFont="1" applyFill="1" applyAlignment="1">
      <alignment horizontal="center" wrapText="1"/>
    </xf>
    <xf numFmtId="0" fontId="8" fillId="27" borderId="0" xfId="0" applyFont="1" applyFill="1" applyAlignment="1">
      <alignment horizontal="center"/>
    </xf>
    <xf numFmtId="0" fontId="35" fillId="30" borderId="0" xfId="0" applyFont="1" applyFill="1" applyAlignment="1">
      <alignment horizontal="center"/>
    </xf>
    <xf numFmtId="0" fontId="10" fillId="18" borderId="0" xfId="0" applyFont="1" applyFill="1" applyAlignment="1">
      <alignment horizontal="center"/>
    </xf>
    <xf numFmtId="0" fontId="34" fillId="30" borderId="0" xfId="0" applyFont="1" applyFill="1" applyAlignment="1">
      <alignment horizontal="center"/>
    </xf>
    <xf numFmtId="0" fontId="24" fillId="14" borderId="0" xfId="0" applyFont="1" applyFill="1" applyAlignment="1">
      <alignment horizontal="center" wrapText="1"/>
    </xf>
    <xf numFmtId="0" fontId="25" fillId="15" borderId="0" xfId="0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0" fontId="33" fillId="16" borderId="0" xfId="0" applyFont="1" applyFill="1" applyAlignment="1">
      <alignment horizontal="center" wrapText="1"/>
    </xf>
    <xf numFmtId="0" fontId="1" fillId="31" borderId="0" xfId="0" applyFont="1" applyFill="1" applyAlignment="1">
      <alignment horizontal="center"/>
    </xf>
    <xf numFmtId="0" fontId="8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0" fontId="32" fillId="4" borderId="0" xfId="0" applyFont="1" applyFill="1" applyAlignment="1">
      <alignment horizontal="center" wrapText="1"/>
    </xf>
    <xf numFmtId="0" fontId="15" fillId="4" borderId="0" xfId="0" applyFont="1" applyFill="1" applyAlignment="1">
      <alignment horizontal="center" wrapText="1"/>
    </xf>
    <xf numFmtId="0" fontId="1" fillId="16" borderId="0" xfId="0" applyFont="1" applyFill="1" applyAlignment="1">
      <alignment horizontal="center" wrapText="1"/>
    </xf>
    <xf numFmtId="0" fontId="7" fillId="33" borderId="0" xfId="0" applyFont="1" applyFill="1" applyAlignment="1">
      <alignment horizontal="center"/>
    </xf>
    <xf numFmtId="0" fontId="8" fillId="33" borderId="0" xfId="0" applyFont="1" applyFill="1" applyAlignment="1">
      <alignment horizontal="center"/>
    </xf>
    <xf numFmtId="0" fontId="8" fillId="34" borderId="0" xfId="0" applyFont="1" applyFill="1" applyAlignment="1">
      <alignment horizontal="center" wrapText="1"/>
    </xf>
    <xf numFmtId="0" fontId="24" fillId="35" borderId="0" xfId="0" applyFont="1" applyFill="1" applyAlignment="1">
      <alignment horizontal="center"/>
    </xf>
    <xf numFmtId="0" fontId="31" fillId="35" borderId="0" xfId="0" applyFont="1" applyFill="1" applyAlignment="1">
      <alignment horizontal="center"/>
    </xf>
    <xf numFmtId="0" fontId="29" fillId="27" borderId="0" xfId="0" applyFont="1" applyFill="1" applyAlignment="1">
      <alignment horizontal="center"/>
    </xf>
    <xf numFmtId="0" fontId="16" fillId="16" borderId="0" xfId="0" applyFont="1" applyFill="1" applyAlignment="1">
      <alignment horizontal="center"/>
    </xf>
    <xf numFmtId="0" fontId="7" fillId="29" borderId="0" xfId="0" applyFont="1" applyFill="1" applyAlignment="1">
      <alignment horizontal="center"/>
    </xf>
    <xf numFmtId="0" fontId="29" fillId="29" borderId="0" xfId="0" applyFont="1" applyFill="1" applyAlignment="1">
      <alignment horizontal="center"/>
    </xf>
    <xf numFmtId="0" fontId="0" fillId="16" borderId="0" xfId="0" applyFill="1" applyAlignment="1">
      <alignment horizontal="center" wrapText="1"/>
    </xf>
    <xf numFmtId="0" fontId="26" fillId="36" borderId="0" xfId="0" applyFont="1" applyFill="1" applyAlignment="1">
      <alignment horizontal="center"/>
    </xf>
    <xf numFmtId="0" fontId="28" fillId="36" borderId="0" xfId="0" applyFont="1" applyFill="1" applyAlignment="1">
      <alignment horizontal="center"/>
    </xf>
    <xf numFmtId="0" fontId="26" fillId="37" borderId="0" xfId="0" applyFont="1" applyFill="1" applyAlignment="1">
      <alignment horizontal="center"/>
    </xf>
    <xf numFmtId="0" fontId="28" fillId="37" borderId="0" xfId="0" applyFont="1" applyFill="1" applyAlignment="1">
      <alignment horizontal="center"/>
    </xf>
    <xf numFmtId="0" fontId="9" fillId="16" borderId="0" xfId="0" applyFont="1" applyFill="1" applyAlignment="1">
      <alignment horizontal="center" wrapText="1"/>
    </xf>
    <xf numFmtId="0" fontId="26" fillId="38" borderId="0" xfId="0" applyFont="1" applyFill="1" applyAlignment="1">
      <alignment horizontal="center"/>
    </xf>
    <xf numFmtId="0" fontId="28" fillId="38" borderId="0" xfId="0" applyFont="1" applyFill="1" applyAlignment="1">
      <alignment horizontal="center"/>
    </xf>
    <xf numFmtId="0" fontId="29" fillId="16" borderId="0" xfId="0" applyFont="1" applyFill="1" applyAlignment="1">
      <alignment horizontal="center" wrapText="1"/>
    </xf>
    <xf numFmtId="0" fontId="26" fillId="39" borderId="0" xfId="0" applyFont="1" applyFill="1" applyAlignment="1">
      <alignment horizontal="center"/>
    </xf>
    <xf numFmtId="0" fontId="28" fillId="39" borderId="0" xfId="0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0" fontId="10" fillId="32" borderId="0" xfId="0" applyFont="1" applyFill="1" applyAlignment="1">
      <alignment horizontal="center" wrapText="1"/>
    </xf>
    <xf numFmtId="0" fontId="26" fillId="40" borderId="0" xfId="0" applyFont="1" applyFill="1" applyAlignment="1">
      <alignment horizontal="center" wrapText="1"/>
    </xf>
    <xf numFmtId="0" fontId="26" fillId="40" borderId="0" xfId="0" applyFont="1" applyFill="1" applyAlignment="1">
      <alignment horizontal="center"/>
    </xf>
    <xf numFmtId="0" fontId="24" fillId="40" borderId="0" xfId="0" applyFont="1" applyFill="1" applyAlignment="1">
      <alignment horizontal="center"/>
    </xf>
    <xf numFmtId="0" fontId="2" fillId="16" borderId="0" xfId="2" applyFill="1" applyAlignment="1">
      <alignment horizontal="center"/>
    </xf>
    <xf numFmtId="0" fontId="27" fillId="40" borderId="0" xfId="0" applyFont="1" applyFill="1" applyAlignment="1">
      <alignment horizontal="center"/>
    </xf>
    <xf numFmtId="0" fontId="24" fillId="42" borderId="0" xfId="0" applyFont="1" applyFill="1" applyAlignment="1">
      <alignment horizontal="center"/>
    </xf>
    <xf numFmtId="0" fontId="24" fillId="42" borderId="0" xfId="0" applyFont="1" applyFill="1" applyAlignment="1">
      <alignment horizontal="center" wrapText="1"/>
    </xf>
    <xf numFmtId="0" fontId="11" fillId="42" borderId="0" xfId="0" applyFont="1" applyFill="1" applyAlignment="1">
      <alignment horizontal="center" wrapText="1"/>
    </xf>
    <xf numFmtId="0" fontId="24" fillId="41" borderId="0" xfId="0" applyFont="1" applyFill="1" applyAlignment="1">
      <alignment horizontal="center"/>
    </xf>
    <xf numFmtId="0" fontId="25" fillId="41" borderId="0" xfId="0" applyFont="1" applyFill="1" applyAlignment="1">
      <alignment horizontal="center"/>
    </xf>
    <xf numFmtId="0" fontId="24" fillId="41" borderId="0" xfId="0" applyFont="1" applyFill="1" applyAlignment="1">
      <alignment horizontal="center" wrapText="1"/>
    </xf>
    <xf numFmtId="0" fontId="61" fillId="43" borderId="0" xfId="0" applyFont="1" applyFill="1" applyAlignment="1">
      <alignment horizontal="center"/>
    </xf>
    <xf numFmtId="0" fontId="11" fillId="43" borderId="0" xfId="0" applyFont="1" applyFill="1" applyAlignment="1">
      <alignment horizontal="center" wrapText="1"/>
    </xf>
    <xf numFmtId="0" fontId="61" fillId="43" borderId="0" xfId="0" applyFont="1" applyFill="1" applyAlignment="1">
      <alignment horizontal="center" wrapText="1"/>
    </xf>
    <xf numFmtId="15" fontId="26" fillId="40" borderId="9" xfId="0" applyNumberFormat="1" applyFont="1" applyFill="1" applyBorder="1" applyAlignment="1">
      <alignment horizontal="center" wrapText="1"/>
    </xf>
    <xf numFmtId="15" fontId="26" fillId="40" borderId="10" xfId="0" applyNumberFormat="1" applyFont="1" applyFill="1" applyBorder="1" applyAlignment="1">
      <alignment horizontal="center" wrapText="1"/>
    </xf>
    <xf numFmtId="0" fontId="1" fillId="40" borderId="0" xfId="0" applyFont="1" applyFill="1" applyAlignment="1">
      <alignment horizontal="center"/>
    </xf>
    <xf numFmtId="0" fontId="1" fillId="40" borderId="0" xfId="0" applyFont="1" applyFill="1" applyAlignment="1">
      <alignment horizontal="center" wrapText="1"/>
    </xf>
    <xf numFmtId="0" fontId="39" fillId="0" borderId="0" xfId="0" applyFont="1" applyAlignment="1">
      <alignment horizontal="center" wrapText="1"/>
    </xf>
    <xf numFmtId="0" fontId="9" fillId="47" borderId="0" xfId="0" applyFont="1" applyFill="1" applyAlignment="1">
      <alignment horizontal="center"/>
    </xf>
    <xf numFmtId="0" fontId="16" fillId="32" borderId="0" xfId="0" applyFont="1" applyFill="1" applyAlignment="1">
      <alignment horizontal="center"/>
    </xf>
    <xf numFmtId="0" fontId="3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9" fillId="32" borderId="0" xfId="0" applyFont="1" applyFill="1" applyAlignment="1">
      <alignment horizontal="center"/>
    </xf>
    <xf numFmtId="0" fontId="2" fillId="0" borderId="0" xfId="2" applyFill="1" applyAlignment="1"/>
    <xf numFmtId="0" fontId="9" fillId="32" borderId="0" xfId="0" applyFont="1" applyFill="1" applyAlignment="1">
      <alignment horizontal="center"/>
    </xf>
    <xf numFmtId="0" fontId="2" fillId="0" borderId="0" xfId="2" applyAlignment="1"/>
    <xf numFmtId="0" fontId="39" fillId="16" borderId="0" xfId="0" applyFont="1" applyFill="1" applyAlignment="1">
      <alignment horizontal="center"/>
    </xf>
    <xf numFmtId="0" fontId="0" fillId="0" borderId="0" xfId="0" applyAlignment="1"/>
    <xf numFmtId="0" fontId="7" fillId="65" borderId="12" xfId="0" applyFont="1" applyFill="1" applyBorder="1" applyAlignment="1">
      <alignment horizontal="center"/>
    </xf>
    <xf numFmtId="0" fontId="7" fillId="61" borderId="0" xfId="0" applyFont="1" applyFill="1" applyAlignment="1">
      <alignment horizontal="center"/>
    </xf>
    <xf numFmtId="0" fontId="7" fillId="45" borderId="0" xfId="0" applyFont="1" applyFill="1" applyAlignment="1">
      <alignment horizontal="center"/>
    </xf>
    <xf numFmtId="0" fontId="39" fillId="32" borderId="0" xfId="0" applyFont="1" applyFill="1" applyAlignment="1">
      <alignment horizontal="center"/>
    </xf>
    <xf numFmtId="0" fontId="39" fillId="53" borderId="0" xfId="0" applyFont="1" applyFill="1" applyAlignment="1">
      <alignment horizontal="center" wrapText="1"/>
    </xf>
    <xf numFmtId="14" fontId="1" fillId="40" borderId="0" xfId="0" applyNumberFormat="1" applyFont="1" applyFill="1" applyAlignment="1">
      <alignment horizontal="center"/>
    </xf>
    <xf numFmtId="0" fontId="78" fillId="40" borderId="0" xfId="0" applyFont="1" applyFill="1" applyAlignment="1">
      <alignment horizontal="center" wrapText="1"/>
    </xf>
    <xf numFmtId="0" fontId="79" fillId="40" borderId="0" xfId="0" applyFont="1" applyFill="1" applyAlignment="1">
      <alignment horizontal="center"/>
    </xf>
    <xf numFmtId="0" fontId="64" fillId="0" borderId="0" xfId="2" applyFont="1" applyFill="1" applyAlignment="1"/>
    <xf numFmtId="0" fontId="9" fillId="16" borderId="0" xfId="0" applyFont="1" applyFill="1" applyAlignment="1">
      <alignment horizontal="center" vertical="center" wrapText="1"/>
    </xf>
    <xf numFmtId="0" fontId="45" fillId="0" borderId="0" xfId="0" applyFont="1" applyAlignment="1">
      <alignment horizontal="center" wrapText="1"/>
    </xf>
    <xf numFmtId="0" fontId="75" fillId="40" borderId="0" xfId="0" applyFont="1" applyFill="1" applyAlignment="1">
      <alignment horizontal="center" wrapText="1"/>
    </xf>
    <xf numFmtId="0" fontId="5" fillId="40" borderId="0" xfId="0" applyFont="1" applyFill="1" applyAlignment="1">
      <alignment horizontal="center" wrapText="1"/>
    </xf>
    <xf numFmtId="0" fontId="76" fillId="0" borderId="0" xfId="0" applyFont="1" applyAlignment="1">
      <alignment horizontal="center" wrapText="1"/>
    </xf>
    <xf numFmtId="0" fontId="73" fillId="40" borderId="0" xfId="0" applyFont="1" applyFill="1" applyAlignment="1">
      <alignment horizontal="center" wrapText="1"/>
    </xf>
  </cellXfs>
  <cellStyles count="3">
    <cellStyle name="Currency" xfId="1" builtinId="4"/>
    <cellStyle name="Hyperlink" xfId="2" builtinId="8"/>
    <cellStyle name="Normal" xfId="0" builtinId="0"/>
  </cellStyles>
  <dxfs count="197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ont>
        <b/>
        <i val="0"/>
        <color rgb="FFFF0000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u val="none"/>
        <sz val="14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1" shrinkToFit="0" readingOrder="0"/>
      <border outline="0"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theme="6" tint="0.3999755851924192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0099CC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6666FF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theme="7" tint="0.3999755851924192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23AD6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23AD6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23AD6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23AD6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23AD6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23AD6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7030A0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FFCC66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7DDFC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border>
        <bottom style="thin">
          <color rgb="FF9900FF"/>
        </bottom>
      </border>
    </dxf>
    <dxf>
      <border>
        <top style="thin">
          <color rgb="FF5B9BD5"/>
        </top>
      </border>
    </dxf>
    <dxf>
      <font>
        <b/>
        <i val="0"/>
        <strike val="0"/>
        <u val="none"/>
        <sz val="12"/>
        <color auto="1"/>
        <name val="Calibri"/>
      </font>
      <fill>
        <patternFill patternType="solid">
          <bgColor rgb="FFD7C285"/>
        </patternFill>
      </fill>
      <alignment horizontal="center" vertical="bottom" textRotation="0" wrapText="1" shrinkToFit="0" readingOrder="0"/>
      <border>
        <left style="thin">
          <color rgb="FF9900FF"/>
        </left>
        <right style="thin">
          <color rgb="FF9900FF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7683E6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D7C285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A0F666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A0F666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theme="9" tint="-0.4999542222357860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theme="9" tint="-0.4999542222357860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FF9900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7030A0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theme="5" tint="-0.2499465926084170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theme="4" tint="-0.2499465926084170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theme="6" tint="-0.4999542222357860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border>
        <bottom style="thin">
          <color rgb="FF9900FF"/>
        </bottom>
      </border>
    </dxf>
    <dxf>
      <border>
        <top style="thin">
          <color rgb="FF5B9BD5"/>
        </top>
      </border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92D050"/>
        </patternFill>
      </fill>
      <alignment horizontal="center" vertical="bottom" textRotation="0" wrapText="1" shrinkToFit="0" readingOrder="0"/>
      <border>
        <left style="thin">
          <color rgb="FF9900FF"/>
        </left>
        <right style="thin">
          <color rgb="FF9900FF"/>
        </right>
        <top/>
        <bottom/>
      </border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theme="9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00B050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1"/>
        <name val="Calibri"/>
      </font>
      <fill>
        <patternFill patternType="solid">
          <bgColor rgb="FFFFFF99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bgColor rgb="FF7030A0"/>
        </patternFill>
      </fill>
      <alignment horizontal="center" vertical="center" textRotation="0" wrapText="1" shrinkToFit="0" readingOrder="0"/>
      <border outline="0"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00B0F0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rgb="FFED7D31"/>
        </bottom>
      </border>
    </dxf>
    <dxf>
      <border>
        <top style="thin">
          <color rgb="FF5B9BD5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23AD61"/>
        </patternFill>
      </fill>
      <alignment horizontal="center" vertical="center" textRotation="0" wrapText="1" shrinkToFit="0" readingOrder="0"/>
      <border>
        <left style="thin">
          <color rgb="FFED7D31"/>
        </left>
        <right style="thin">
          <color rgb="FFED7D31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04CCC7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C2BE12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82CA0E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CCCCFF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9966FF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rgb="FF2176AF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bgColor rgb="FF7030A0"/>
        </patternFill>
      </fill>
      <alignment horizontal="center" vertical="center" textRotation="0" wrapText="1" shrinkToFit="0" readingOrder="0"/>
      <border outline="0"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bgColor rgb="FF7030A0"/>
        </patternFill>
      </fill>
      <alignment horizontal="center" vertical="center" textRotation="0" wrapText="1" shrinkToFit="0" readingOrder="0"/>
      <border outline="0"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bgColor rgb="FF7030A0"/>
        </patternFill>
      </fill>
      <alignment horizontal="center" vertical="center" textRotation="0" wrapText="1" shrinkToFit="0" readingOrder="0"/>
      <border outline="0"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04CCC7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72" formatCode="d/m/yyyy"/>
      <alignment horizontal="general" vertical="bottom" textRotation="0" wrapText="1" indent="0" justifyLastLine="0" shrinkToFit="0" readingOrder="0"/>
    </dxf>
    <dxf>
      <numFmt numFmtId="166" formatCode="&quot;S/&quot;\ #,##0.00"/>
      <alignment textRotation="0" wrapText="1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6" formatCode="&quot;S/&quot;\ #,##0.00"/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04CCC7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horizontal="center" textRotation="0" wrapText="1" shrinkToFit="0" readingOrder="0"/>
    </dxf>
    <dxf>
      <alignment horizontal="center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04CCC7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theme="8" tint="-0.24994659260841701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theme="9" tint="0.39997558519241921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rgb="FFFFFFFF"/>
        <name val="Calibri"/>
      </font>
      <fill>
        <patternFill patternType="solid">
          <bgColor rgb="FF7030A0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CCFF66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auto="1"/>
        <name val="Calibri"/>
      </font>
      <fill>
        <patternFill patternType="solid">
          <bgColor rgb="FF82CA0E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horizontal="general" vertical="bottom" textRotation="0" wrapText="1" indent="0" justifyLastLine="0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alignment textRotation="0" wrapText="1" shrinkToFit="0" readingOrder="0"/>
    </dxf>
    <dxf>
      <border>
        <bottom style="medium">
          <color theme="5"/>
        </bottom>
      </border>
    </dxf>
    <dxf>
      <border>
        <top style="thin">
          <color theme="4"/>
        </top>
      </border>
    </dxf>
    <dxf>
      <alignment textRotation="0" wrapText="1" shrinkToFit="0" readingOrder="0"/>
    </dxf>
    <dxf>
      <font>
        <b/>
        <i val="0"/>
        <strike val="0"/>
        <u val="none"/>
        <sz val="14"/>
        <color theme="0"/>
        <name val="Calibri"/>
      </font>
      <fill>
        <patternFill patternType="solid">
          <bgColor theme="8" tint="-0.49995422223578601"/>
        </patternFill>
      </fill>
      <alignment horizontal="center" vertical="center" textRotation="0" wrapText="1" shrinkToFit="0" readingOrder="0"/>
      <border>
        <left style="thin">
          <color theme="5"/>
        </left>
        <right style="thin">
          <color theme="5"/>
        </right>
        <top/>
        <bottom/>
      </border>
    </dxf>
    <dxf>
      <fill>
        <patternFill>
          <bgColor theme="5" tint="0.39994506668294322"/>
        </patternFill>
      </fill>
    </dxf>
  </dxfs>
  <tableStyles count="1" defaultTableStyle="TableStyleMedium2" defaultPivotStyle="PivotStyleLight16">
    <tableStyle name="Estilo de tabla 1" pivot="0" count="1" xr9:uid="{2C499E00-BC0F-4262-966A-17FF8FCCE722}">
      <tableStyleElement type="wholeTable" dxfId="1974"/>
    </tableStyle>
  </tableStyles>
  <colors>
    <mruColors>
      <color rgb="FF400404"/>
      <color rgb="FFD67C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356734567893" displayName="Tabla356734567893" ref="A6:O75" totalsRowShown="0" headerRowDxfId="1973" dataDxfId="1972" headerRowBorderDxfId="1970" tableBorderDxfId="1971">
  <autoFilter ref="A6:O75" xr:uid="{00000000-0009-0000-0100-000001000000}"/>
  <tableColumns count="15">
    <tableColumn id="1" xr3:uid="{00000000-0010-0000-0000-000001000000}" name="FECHA PAGO" dataDxfId="1969"/>
    <tableColumn id="2" xr3:uid="{00000000-0010-0000-0000-000002000000}" name="MONTO" dataDxfId="1968"/>
    <tableColumn id="3" xr3:uid="{00000000-0010-0000-0000-000003000000}" name="MES DEL SERVICIO" dataDxfId="1967"/>
    <tableColumn id="4" xr3:uid="{00000000-0010-0000-0000-000004000000}" name="FECHA DE SERVICIO" dataDxfId="1966"/>
    <tableColumn id="5" xr3:uid="{00000000-0010-0000-0000-000005000000}" name="DESCRIPCIÓN" dataDxfId="1965"/>
    <tableColumn id="6" xr3:uid="{00000000-0010-0000-0000-000006000000}" name="FORMA DE PAGO" dataDxfId="1964"/>
    <tableColumn id="7" xr3:uid="{00000000-0010-0000-0000-000007000000}" name="N° SERVICIO" dataDxfId="1963"/>
    <tableColumn id="8" xr3:uid="{00000000-0010-0000-0000-000008000000}" name="N° FACTURA" dataDxfId="1962"/>
    <tableColumn id="9" xr3:uid="{00000000-0010-0000-0000-000009000000}" name="N° CONTRATO " dataDxfId="1961"/>
    <tableColumn id="10" xr3:uid="{00000000-0010-0000-0000-00000A000000}" name="N° MANIFIESTO" dataDxfId="1960"/>
    <tableColumn id="14" xr3:uid="{07D2399D-7E87-4A51-9B68-46ABBF2BB74D}" name="Columna3" dataDxfId="1959"/>
    <tableColumn id="11" xr3:uid="{00000000-0010-0000-0000-00000B000000}" name="OBSERVACIÓN" dataDxfId="1958"/>
    <tableColumn id="13" xr3:uid="{42E962D8-D2A8-4BD9-B0DD-63B12C13CCED}" name="Columna2" dataDxfId="1957"/>
    <tableColumn id="15" xr3:uid="{1B761B0F-81A8-457F-BD75-9A00E32B1521}" name="Columna22" dataDxfId="1956"/>
    <tableColumn id="16" xr3:uid="{E3E9D0AF-A553-4747-9547-5A286AB7881F}" name="Columna23" dataDxfId="1955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3567345678935" displayName="Tabla3567345678935" ref="A6:M124" totalsRowShown="0" headerRowDxfId="1954" dataDxfId="1953" headerRowBorderDxfId="1951" tableBorderDxfId="1952">
  <autoFilter ref="A6:M124" xr:uid="{00000000-0009-0000-0100-000004000000}"/>
  <tableColumns count="13">
    <tableColumn id="1" xr3:uid="{00000000-0010-0000-0100-000001000000}" name="FECHA PAGO" dataDxfId="1950"/>
    <tableColumn id="2" xr3:uid="{00000000-0010-0000-0100-000002000000}" name="MONTO" dataDxfId="1949"/>
    <tableColumn id="3" xr3:uid="{00000000-0010-0000-0100-000003000000}" name="MES DEL SERVICIO" dataDxfId="1948"/>
    <tableColumn id="4" xr3:uid="{00000000-0010-0000-0100-000004000000}" name="FECHA DE SERVICIO" dataDxfId="1947"/>
    <tableColumn id="5" xr3:uid="{00000000-0010-0000-0100-000005000000}" name="DESCRIPCIÓN" dataDxfId="1946"/>
    <tableColumn id="6" xr3:uid="{00000000-0010-0000-0100-000006000000}" name="FORMA DE PAGO" dataDxfId="1945"/>
    <tableColumn id="7" xr3:uid="{00000000-0010-0000-0100-000007000000}" name="N° SERVICIO" dataDxfId="1944"/>
    <tableColumn id="8" xr3:uid="{00000000-0010-0000-0100-000008000000}" name="N° FACTURA" dataDxfId="1943"/>
    <tableColumn id="9" xr3:uid="{00000000-0010-0000-0100-000009000000}" name="N° CONTRATO " dataDxfId="1942"/>
    <tableColumn id="10" xr3:uid="{00000000-0010-0000-0100-00000A000000}" name="N° MANIFIESTO" dataDxfId="1941"/>
    <tableColumn id="13" xr3:uid="{0A61A20C-5957-4117-896A-2656D4A08636}" name="Columna2" dataDxfId="1940"/>
    <tableColumn id="11" xr3:uid="{00000000-0010-0000-0100-00000B000000}" name="OBSERVACIÓN" dataDxfId="1939"/>
    <tableColumn id="12" xr3:uid="{00000000-0010-0000-0100-00000C000000}" name="Columna1" dataDxfId="1938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a3567345678933" displayName="Tabla3567345678933" ref="A6:L28" totalsRowShown="0" headerRowDxfId="1937" dataDxfId="1936" headerRowBorderDxfId="1934" tableBorderDxfId="1935">
  <autoFilter ref="A6:L28" xr:uid="{00000000-0009-0000-0100-000002000000}"/>
  <tableColumns count="12">
    <tableColumn id="1" xr3:uid="{00000000-0010-0000-0200-000001000000}" name="FECHA PAGO" dataDxfId="1933"/>
    <tableColumn id="2" xr3:uid="{00000000-0010-0000-0200-000002000000}" name="MONTO" dataDxfId="1932"/>
    <tableColumn id="3" xr3:uid="{00000000-0010-0000-0200-000003000000}" name="MES DEL SERVICIO" dataDxfId="1931"/>
    <tableColumn id="4" xr3:uid="{00000000-0010-0000-0200-000004000000}" name="FECHA DE SERVICIO" dataDxfId="1930"/>
    <tableColumn id="5" xr3:uid="{00000000-0010-0000-0200-000005000000}" name="DESCRIPCIÓN" dataDxfId="1929"/>
    <tableColumn id="6" xr3:uid="{00000000-0010-0000-0200-000006000000}" name="FORMA DE PAGO" dataDxfId="1928"/>
    <tableColumn id="7" xr3:uid="{00000000-0010-0000-0200-000007000000}" name="N° SERVICIO" dataDxfId="1927"/>
    <tableColumn id="8" xr3:uid="{00000000-0010-0000-0200-000008000000}" name="N° FACTURA" dataDxfId="1926"/>
    <tableColumn id="9" xr3:uid="{00000000-0010-0000-0200-000009000000}" name="N° CONTRATO " dataDxfId="1925"/>
    <tableColumn id="10" xr3:uid="{00000000-0010-0000-0200-00000A000000}" name="N° MANIFIESTO" dataDxfId="1924"/>
    <tableColumn id="11" xr3:uid="{00000000-0010-0000-0200-00000B000000}" name="OBSERVACIÓN" dataDxfId="1923"/>
    <tableColumn id="12" xr3:uid="{A303425A-7B85-4090-BA18-8185B518F1D6}" name="Columna1" dataDxfId="1922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a3567345678934" displayName="Tabla3567345678934" ref="A6:O55" totalsRowShown="0" headerRowDxfId="1921" dataDxfId="1920" headerRowBorderDxfId="1918" tableBorderDxfId="1919">
  <autoFilter ref="A6:O55" xr:uid="{00000000-0009-0000-0100-000003000000}"/>
  <tableColumns count="15">
    <tableColumn id="1" xr3:uid="{00000000-0010-0000-0300-000001000000}" name="FECHA PAGO" dataDxfId="1917"/>
    <tableColumn id="2" xr3:uid="{00000000-0010-0000-0300-000002000000}" name="MONTO" dataDxfId="1916"/>
    <tableColumn id="3" xr3:uid="{00000000-0010-0000-0300-000003000000}" name="MES DEL SERVICIO" dataDxfId="1915"/>
    <tableColumn id="4" xr3:uid="{00000000-0010-0000-0300-000004000000}" name="FECHA DE SERVICIO" dataDxfId="1914"/>
    <tableColumn id="5" xr3:uid="{00000000-0010-0000-0300-000005000000}" name="DESCRIPCIÓN" dataDxfId="1913"/>
    <tableColumn id="6" xr3:uid="{00000000-0010-0000-0300-000006000000}" name="FORMA DE PAGO" dataDxfId="1912"/>
    <tableColumn id="7" xr3:uid="{00000000-0010-0000-0300-000007000000}" name="N° SERVICIO" dataDxfId="1911"/>
    <tableColumn id="8" xr3:uid="{00000000-0010-0000-0300-000008000000}" name="N° FACTURA" dataDxfId="1910"/>
    <tableColumn id="9" xr3:uid="{00000000-0010-0000-0300-000009000000}" name="N° CONTRATO " dataDxfId="1909"/>
    <tableColumn id="10" xr3:uid="{00000000-0010-0000-0300-00000A000000}" name="N° MANIFIESTO" dataDxfId="1908"/>
    <tableColumn id="14" xr3:uid="{6A7A2F94-DD34-49A1-9A55-924864D0AD38}" name="N° GUIA" dataDxfId="1907"/>
    <tableColumn id="11" xr3:uid="{00000000-0010-0000-0300-00000B000000}" name="OBSERVACIÓN" dataDxfId="1906"/>
    <tableColumn id="12" xr3:uid="{D9CDCAA0-342A-4A81-BF86-12672617ADB0}" name="Columna1" dataDxfId="1905"/>
    <tableColumn id="13" xr3:uid="{792C952C-51A0-4D96-9C71-4C32E3BCE406}" name="Columna2" dataDxfId="1904"/>
    <tableColumn id="15" xr3:uid="{A832CB0C-26E6-49A1-9E7A-8756F9928CE1}" name="Columna3" dataDxfId="1903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35673456789346" displayName="Tabla35673456789346" ref="A6:O88" totalsRowShown="0" headerRowDxfId="1902" dataDxfId="1901" headerRowBorderDxfId="1899" tableBorderDxfId="1900">
  <autoFilter ref="A6:O88" xr:uid="{00000000-0009-0000-0100-000005000000}"/>
  <tableColumns count="15">
    <tableColumn id="1" xr3:uid="{00000000-0010-0000-0400-000001000000}" name="FECHA PAGO" dataDxfId="1898"/>
    <tableColumn id="2" xr3:uid="{00000000-0010-0000-0400-000002000000}" name="MONTO" dataDxfId="1897"/>
    <tableColumn id="3" xr3:uid="{00000000-0010-0000-0400-000003000000}" name="MES DEL SERVICIO" dataDxfId="1896"/>
    <tableColumn id="4" xr3:uid="{00000000-0010-0000-0400-000004000000}" name="FECHA DE SERVICIO" dataDxfId="1895"/>
    <tableColumn id="5" xr3:uid="{00000000-0010-0000-0400-000005000000}" name="DESCRIPCIÓN" dataDxfId="1894"/>
    <tableColumn id="6" xr3:uid="{00000000-0010-0000-0400-000006000000}" name="FORMA DE PAGO" dataDxfId="1893"/>
    <tableColumn id="7" xr3:uid="{00000000-0010-0000-0400-000007000000}" name="N° SERVICIO" dataDxfId="1892"/>
    <tableColumn id="8" xr3:uid="{00000000-0010-0000-0400-000008000000}" name="N° FACTURA" dataDxfId="1891"/>
    <tableColumn id="9" xr3:uid="{00000000-0010-0000-0400-000009000000}" name="N° CONTRATO " dataDxfId="1890"/>
    <tableColumn id="10" xr3:uid="{00000000-0010-0000-0400-00000A000000}" name="N° MANIFIESTO" dataDxfId="1889"/>
    <tableColumn id="15" xr3:uid="{70A68E0A-283F-499A-A8D2-D17637C0083C}" name="Columna3" dataDxfId="1888"/>
    <tableColumn id="11" xr3:uid="{00000000-0010-0000-0400-00000B000000}" name="OBSERVACIÓN" dataDxfId="1887"/>
    <tableColumn id="12" xr3:uid="{00000000-0010-0000-0400-00000C000000}" name="kilos" dataDxfId="1886"/>
    <tableColumn id="13" xr3:uid="{0BEB971B-1B27-4934-B44F-F44C22F6AF88}" name="Columna1" dataDxfId="1885"/>
    <tableColumn id="14" xr3:uid="{F4A819A4-65F0-43E8-8D07-BEE29F1649E8}" name="Columna2" dataDxfId="1884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35673456789347" displayName="Tabla35673456789347" ref="A6:N59" totalsRowShown="0" headerRowDxfId="1883" dataDxfId="1882" headerRowBorderDxfId="1880" tableBorderDxfId="1881">
  <autoFilter ref="A6:N59" xr:uid="{00000000-0009-0000-0100-000006000000}"/>
  <tableColumns count="14">
    <tableColumn id="1" xr3:uid="{00000000-0010-0000-0500-000001000000}" name="FECHA PAGO" dataDxfId="1879"/>
    <tableColumn id="2" xr3:uid="{00000000-0010-0000-0500-000002000000}" name="MONTO" dataDxfId="1878"/>
    <tableColumn id="3" xr3:uid="{00000000-0010-0000-0500-000003000000}" name="MES DEL SERVICIO" dataDxfId="1877"/>
    <tableColumn id="4" xr3:uid="{00000000-0010-0000-0500-000004000000}" name="FECHA DE SERVICIO" dataDxfId="1876"/>
    <tableColumn id="5" xr3:uid="{00000000-0010-0000-0500-000005000000}" name="DESCRIPCIÓN" dataDxfId="1875"/>
    <tableColumn id="6" xr3:uid="{00000000-0010-0000-0500-000006000000}" name="FORMA DE PAGO" dataDxfId="1874"/>
    <tableColumn id="7" xr3:uid="{00000000-0010-0000-0500-000007000000}" name="N° SERVICIO" dataDxfId="1873"/>
    <tableColumn id="8" xr3:uid="{00000000-0010-0000-0500-000008000000}" name="N° FACTURA" dataDxfId="1872"/>
    <tableColumn id="9" xr3:uid="{00000000-0010-0000-0500-000009000000}" name="N° CONTRATO " dataDxfId="1871"/>
    <tableColumn id="10" xr3:uid="{00000000-0010-0000-0500-00000A000000}" name="N° MANIFIESTO" dataDxfId="1870"/>
    <tableColumn id="14" xr3:uid="{E81BED34-E936-43E1-BA16-D39254EBE2BE}" name="Columna2" dataDxfId="1869"/>
    <tableColumn id="11" xr3:uid="{00000000-0010-0000-0500-00000B000000}" name="OBSERVACIÓN" dataDxfId="1868"/>
    <tableColumn id="12" xr3:uid="{00000000-0010-0000-0500-00000C000000}" name="kilos" dataDxfId="1867"/>
    <tableColumn id="13" xr3:uid="{CC295EEC-6183-4DDE-8351-0C615DD04AB4}" name="Columna1" dataDxfId="1866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3567345678935681920" displayName="Tabla3567345678935681920" ref="A7:M372" totalsRowCount="1" headerRowDxfId="1865" dataDxfId="1864" headerRowBorderDxfId="1862" tableBorderDxfId="1863">
  <autoFilter ref="A7:M371" xr:uid="{00000000-0009-0000-0100-000007000000}"/>
  <tableColumns count="13">
    <tableColumn id="1" xr3:uid="{00000000-0010-0000-0600-000001000000}" name="FECHA PAGO" dataDxfId="1860" totalsRowDxfId="1861"/>
    <tableColumn id="2" xr3:uid="{00000000-0010-0000-0600-000002000000}" name="MONTO" totalsRowLabel="total : s/ 4,707.50" dataDxfId="1858" totalsRowDxfId="1859"/>
    <tableColumn id="4" xr3:uid="{00000000-0010-0000-0600-000004000000}" name="FECHA DE SERVICIO" dataDxfId="1856" totalsRowDxfId="1857"/>
    <tableColumn id="5" xr3:uid="{00000000-0010-0000-0600-000005000000}" name="DESCRIPCIÓN" dataDxfId="1854" totalsRowDxfId="1855"/>
    <tableColumn id="6" xr3:uid="{00000000-0010-0000-0600-000006000000}" name="FORMA DE PAGO" dataDxfId="1852" totalsRowDxfId="1853"/>
    <tableColumn id="7" xr3:uid="{00000000-0010-0000-0600-000007000000}" name="KILOS" totalsRowFunction="custom" dataDxfId="1850" totalsRowDxfId="1851">
      <totalsRowFormula>SUM(F359:F371)</totalsRowFormula>
    </tableColumn>
    <tableColumn id="8" xr3:uid="{00000000-0010-0000-0600-000008000000}" name="N° FACTURA" totalsRowLabel="kg " dataDxfId="1848" totalsRowDxfId="1849"/>
    <tableColumn id="9" xr3:uid="{00000000-0010-0000-0600-000009000000}" name="N° guia transporte" dataDxfId="1846" totalsRowDxfId="1847"/>
    <tableColumn id="10" xr3:uid="{00000000-0010-0000-0600-00000A000000}" name="N° MANIFIESTO" dataDxfId="1844" totalsRowDxfId="1845"/>
    <tableColumn id="11" xr3:uid="{00000000-0010-0000-0600-00000B000000}" name="OBSERVACIÓN" dataDxfId="1842" totalsRowDxfId="1843"/>
    <tableColumn id="3" xr3:uid="{00000000-0010-0000-0600-000003000000}" name="Columna1" dataDxfId="1840" totalsRowDxfId="1841"/>
    <tableColumn id="12" xr3:uid="{D235499C-D094-4D36-A713-8FB19FCDFB2E}" name="Columna2" dataDxfId="1838" totalsRowDxfId="1839"/>
    <tableColumn id="13" xr3:uid="{AB3BCB0B-0E34-4E76-9E20-D6D8EE90B5B6}" name="Columna3" dataDxfId="1836" totalsRowDxfId="1837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a356734567893568192011" displayName="Tabla356734567893568192011" ref="A7:L225" totalsRowCount="1" headerRowDxfId="1835" dataDxfId="1834" headerRowBorderDxfId="1832" tableBorderDxfId="1833">
  <autoFilter ref="A7:L224" xr:uid="{00000000-0009-0000-0100-00000A000000}"/>
  <tableColumns count="12">
    <tableColumn id="1" xr3:uid="{00000000-0010-0000-0700-000001000000}" name="FECHA PAGO" dataDxfId="1830" totalsRowDxfId="1831"/>
    <tableColumn id="2" xr3:uid="{00000000-0010-0000-0700-000002000000}" name="MONTO" dataDxfId="1828" totalsRowDxfId="1829"/>
    <tableColumn id="4" xr3:uid="{00000000-0010-0000-0700-000004000000}" name="FECHA DE SERVICIO" totalsRowLabel=" " dataDxfId="1826" totalsRowDxfId="1827"/>
    <tableColumn id="5" xr3:uid="{00000000-0010-0000-0700-000005000000}" name="DESCRIPCIÓN" dataDxfId="1824" totalsRowDxfId="1825"/>
    <tableColumn id="6" xr3:uid="{00000000-0010-0000-0700-000006000000}" name="FORMA DE PAGO" dataDxfId="1822" totalsRowDxfId="1823"/>
    <tableColumn id="7" xr3:uid="{00000000-0010-0000-0700-000007000000}" name="KILOS" dataDxfId="1820" totalsRowDxfId="1821"/>
    <tableColumn id="8" xr3:uid="{00000000-0010-0000-0700-000008000000}" name="N° FACTURA" dataDxfId="1818" totalsRowDxfId="1819"/>
    <tableColumn id="9" xr3:uid="{00000000-0010-0000-0700-000009000000}" name="N° guia transporte" dataDxfId="1816" totalsRowDxfId="1817"/>
    <tableColumn id="10" xr3:uid="{00000000-0010-0000-0700-00000A000000}" name="N° MANIFIESTO" dataDxfId="1814" totalsRowDxfId="1815"/>
    <tableColumn id="11" xr3:uid="{00000000-0010-0000-0700-00000B000000}" name="OBSERVACIÓN" dataDxfId="1812" totalsRowDxfId="1813"/>
    <tableColumn id="3" xr3:uid="{00000000-0010-0000-0700-000003000000}" name="Columna1" dataDxfId="1810" totalsRowDxfId="1811"/>
    <tableColumn id="12" xr3:uid="{32AA070D-8081-4DDD-9CE0-46FAB773A4B4}" name="Columna2" dataDxfId="1808" totalsRowDxfId="1809"/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a3567345678935681920119" displayName="Tabla3567345678935681920119" ref="A7:L62" totalsRowShown="0" headerRowDxfId="1807" dataDxfId="1806" headerRowBorderDxfId="1804" tableBorderDxfId="1805">
  <autoFilter ref="A7:L62" xr:uid="{00000000-0009-0000-0100-000008000000}"/>
  <tableColumns count="12">
    <tableColumn id="1" xr3:uid="{00000000-0010-0000-0800-000001000000}" name="FECHA PAGO" dataDxfId="1803"/>
    <tableColumn id="2" xr3:uid="{00000000-0010-0000-0800-000002000000}" name="MONTO" dataDxfId="1802"/>
    <tableColumn id="4" xr3:uid="{00000000-0010-0000-0800-000004000000}" name="FECHA DE SERVICIO" dataDxfId="1801"/>
    <tableColumn id="5" xr3:uid="{00000000-0010-0000-0800-000005000000}" name="DESCRIPCIÓN" dataDxfId="1800"/>
    <tableColumn id="6" xr3:uid="{00000000-0010-0000-0800-000006000000}" name="FORMA DE PAGO" dataDxfId="1799"/>
    <tableColumn id="7" xr3:uid="{00000000-0010-0000-0800-000007000000}" name="KILOS" dataDxfId="1798"/>
    <tableColumn id="8" xr3:uid="{00000000-0010-0000-0800-000008000000}" name="N° FACTURA" dataDxfId="1797"/>
    <tableColumn id="9" xr3:uid="{00000000-0010-0000-0800-000009000000}" name="N° guia transporte" dataDxfId="1796"/>
    <tableColumn id="10" xr3:uid="{00000000-0010-0000-0800-00000A000000}" name="N° MANIFIESTO" dataDxfId="1795"/>
    <tableColumn id="11" xr3:uid="{00000000-0010-0000-0800-00000B000000}" name="OBSERVACIÓN" dataDxfId="1794"/>
    <tableColumn id="3" xr3:uid="{00000000-0010-0000-0800-000003000000}" name="Columna1" dataDxfId="1793"/>
    <tableColumn id="12" xr3:uid="{89CCB051-C7DF-4262-9169-54DCCF140911}" name="Columna2" dataDxfId="1792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A43A325-821C-4CD5-8F5F-087779B6E670}" name="Tabla356734567893444" displayName="Tabla356734567893444" ref="A6:M25" totalsRowShown="0" headerRowDxfId="1791" dataDxfId="1790" headerRowBorderDxfId="1788" tableBorderDxfId="1789">
  <autoFilter ref="A6:M25" xr:uid="{2A43A325-821C-4CD5-8F5F-087779B6E670}"/>
  <tableColumns count="13">
    <tableColumn id="1" xr3:uid="{8862A6B0-A50D-4644-9C81-409C11676BBB}" name="FECHA PAGO" dataDxfId="1787"/>
    <tableColumn id="2" xr3:uid="{36307518-72B4-4748-8BFD-9281D06D45E4}" name="+" dataDxfId="1786"/>
    <tableColumn id="3" xr3:uid="{9791AFC3-7B4D-4E7E-9E84-5FB02E474BE1}" name="MES DEL SERVICIO" dataDxfId="1785"/>
    <tableColumn id="4" xr3:uid="{1A3B3691-0F59-4620-B4A8-9AB370B62C54}" name="FECHA DE SERVICIO" dataDxfId="1784"/>
    <tableColumn id="5" xr3:uid="{BA4F8016-2D59-4ECF-8D31-D16B2B883449}" name="DESCRIPCIÓN" dataDxfId="1783"/>
    <tableColumn id="6" xr3:uid="{1A87166E-ABD1-4367-A225-EA751C76A4B5}" name="FORMA DE PAGO" dataDxfId="1782"/>
    <tableColumn id="7" xr3:uid="{5645C942-4B46-4876-8537-0768F1C4454C}" name="N° SERVICIO" dataDxfId="1781"/>
    <tableColumn id="8" xr3:uid="{3DA35D90-0443-49A9-BEE3-0F865BDBF87B}" name="N° FACTURA" dataDxfId="1780"/>
    <tableColumn id="9" xr3:uid="{1CB3371B-4C77-4FBC-BB01-9578AE10A03E}" name="N° CONTRATO " dataDxfId="1779"/>
    <tableColumn id="12" xr3:uid="{7C0C5814-4FEF-4859-A5B5-6D629E8594A7}" name="N° GUIA" dataDxfId="1778"/>
    <tableColumn id="10" xr3:uid="{877FFC97-74F3-4D39-A60C-9CB69BA12D3B}" name="N° MANIFIESTO" dataDxfId="1777"/>
    <tableColumn id="11" xr3:uid="{2843EDFC-1A4C-40BB-9AD1-FB033197F485}" name="OBSERVACIÓN" dataDxfId="1776"/>
    <tableColumn id="13" xr3:uid="{A226C1AE-8F80-4D43-903E-73F4C1AFF0E4}" name="Columna1" dataDxfId="1775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BEE7D784-3F9D-496B-91B1-AB5755C7F379}" name="Tabla35673456789344445" displayName="Tabla35673456789344445" ref="A6:M17" totalsRowShown="0" headerRowDxfId="1774" dataDxfId="1773" headerRowBorderDxfId="1771" tableBorderDxfId="1772">
  <autoFilter ref="A6:M17" xr:uid="{BEE7D784-3F9D-496B-91B1-AB5755C7F379}"/>
  <tableColumns count="13">
    <tableColumn id="1" xr3:uid="{E2F1D8A2-47AE-4CF8-8E1D-59B1CCFF87AF}" name="FECHA PAGO" dataDxfId="1770"/>
    <tableColumn id="2" xr3:uid="{E185569C-547E-40F3-9EBB-10C8227DB737}" name="MONTO" dataDxfId="1769"/>
    <tableColumn id="3" xr3:uid="{510AEFFC-C32A-4900-BF0F-75457C9A89A2}" name="MES DEL SERVICIO" dataDxfId="1768"/>
    <tableColumn id="4" xr3:uid="{0BA49C48-96B8-437F-94BE-2D017C641876}" name="FECHA DE SERVICIO" dataDxfId="1767"/>
    <tableColumn id="5" xr3:uid="{4D3F4140-D4AE-40AF-9BAE-5510306C9E14}" name="DESCRIPCIÓN" dataDxfId="1766"/>
    <tableColumn id="6" xr3:uid="{F2EBBCC4-7FA9-4FAC-A211-C70EBE17A7AB}" name="FORMA DE PAGO" dataDxfId="1765"/>
    <tableColumn id="7" xr3:uid="{E05B534D-5454-45CF-976B-BC91ADC091F0}" name="N° SERVICIO" dataDxfId="1764"/>
    <tableColumn id="8" xr3:uid="{7C3DF88F-DCEE-4C50-BD83-0B6AD3696F81}" name="N° FACTURA" dataDxfId="1763"/>
    <tableColumn id="9" xr3:uid="{DED0AD6B-D480-435C-8E50-3F4DCF85B317}" name="N° CONTRATO " dataDxfId="1762"/>
    <tableColumn id="12" xr3:uid="{4407AC5F-FD9D-436B-990A-2D0AE1F3125A}" name="N° GUIA" dataDxfId="1761"/>
    <tableColumn id="10" xr3:uid="{8CFC8B03-E955-4BE3-A2AD-1D0ABDB285F2}" name="N° MANIFIESTO" dataDxfId="1760"/>
    <tableColumn id="11" xr3:uid="{C1724D7C-28B6-4548-934F-BE074DBEC290}" name="OBSERVACIÓN" dataDxfId="1759"/>
    <tableColumn id="13" xr3:uid="{1564A258-D0DC-47E6-9990-2AD4484B7504}" name="Columna1" dataDxfId="1758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B81A5F7-5CAD-47F4-A798-A1841AFF60F5}" name="Tabla3567345678934444543" displayName="Tabla3567345678934444543" ref="A7:L18" totalsRowShown="0" headerRowDxfId="1757" dataDxfId="1756" headerRowBorderDxfId="1754" tableBorderDxfId="1755">
  <autoFilter ref="A7:L18" xr:uid="{89D416BC-128B-41A7-AC33-9CC4C5734067}"/>
  <tableColumns count="12">
    <tableColumn id="1" xr3:uid="{8AA608B9-3AAD-4492-BE89-755CA835F74D}" name="FECHA PAGO" dataDxfId="1753"/>
    <tableColumn id="2" xr3:uid="{02FCE980-4C71-4425-ADB2-410E6B76B43C}" name="MONTO" dataDxfId="1752"/>
    <tableColumn id="3" xr3:uid="{4CDC8428-58C1-4C7C-B182-DFDDDA8AAC95}" name="MES DEL SERVICIO" dataDxfId="1751"/>
    <tableColumn id="4" xr3:uid="{BE61C6AE-6D65-4A86-8D34-18E321919FA2}" name="FECHA DE SERVICIO" dataDxfId="1750"/>
    <tableColumn id="5" xr3:uid="{1736B796-52F0-48F6-B9A4-17AFB75573E6}" name="DESCRIPCIÓN" dataDxfId="1749"/>
    <tableColumn id="6" xr3:uid="{1F5ECD23-361E-4BEE-A78E-712376C379AB}" name="FORMA DE PAGO" dataDxfId="1748"/>
    <tableColumn id="7" xr3:uid="{7F50CAA5-B4BC-4742-AF13-6D1C7AEF4972}" name="N° SERVICIO" dataDxfId="1747"/>
    <tableColumn id="8" xr3:uid="{29524F02-7052-40BB-AC8C-D80F8EBF5B74}" name="N° FACTURA" dataDxfId="1746"/>
    <tableColumn id="9" xr3:uid="{5A5EEAFC-44B4-4753-A06B-F14E29F9FFB7}" name="N° CONTRATO " dataDxfId="1745"/>
    <tableColumn id="12" xr3:uid="{9228DD9C-AD2E-4F28-8B8D-B8F3E1B643D8}" name="N° GUIA" dataDxfId="1744"/>
    <tableColumn id="10" xr3:uid="{B0EA9C9F-F69C-4484-8C76-2BADA86C4ACA}" name="N° MANIFIESTO" dataDxfId="1743"/>
    <tableColumn id="11" xr3:uid="{CD97E504-CA88-4A08-B9F9-299C0632AA60}" name="OBSERVACIÓN" dataDxfId="1742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Tabla3567345678935681920910" displayName="Tabla3567345678935681920910" ref="A7:K63" totalsRowShown="0" headerRowDxfId="1741" dataDxfId="1740" headerRowBorderDxfId="1738" tableBorderDxfId="1739">
  <autoFilter ref="A7:K63" xr:uid="{00000000-0009-0000-0100-000009000000}"/>
  <tableColumns count="11">
    <tableColumn id="1" xr3:uid="{00000000-0010-0000-0900-000001000000}" name="FECHA PAGO" dataDxfId="1737"/>
    <tableColumn id="2" xr3:uid="{00000000-0010-0000-0900-000002000000}" name="MONTO" dataDxfId="1736"/>
    <tableColumn id="4" xr3:uid="{00000000-0010-0000-0900-000004000000}" name="FECHA DE SERVICIO" dataDxfId="1735"/>
    <tableColumn id="5" xr3:uid="{00000000-0010-0000-0900-000005000000}" name="DESCRIPCIÓN" dataDxfId="1734"/>
    <tableColumn id="6" xr3:uid="{00000000-0010-0000-0900-000006000000}" name="FORMA DE PAGO" dataDxfId="1733"/>
    <tableColumn id="7" xr3:uid="{00000000-0010-0000-0900-000007000000}" name="KILOS" dataDxfId="1732"/>
    <tableColumn id="8" xr3:uid="{00000000-0010-0000-0900-000008000000}" name="N° FACTURA" dataDxfId="1731"/>
    <tableColumn id="9" xr3:uid="{00000000-0010-0000-0900-000009000000}" name="N° guia transporte" dataDxfId="1730"/>
    <tableColumn id="10" xr3:uid="{00000000-0010-0000-0900-00000A000000}" name="N° MANIFIESTO" dataDxfId="1729"/>
    <tableColumn id="11" xr3:uid="{00000000-0010-0000-0900-00000B000000}" name="OBSERVACIÓN" dataDxfId="1728"/>
    <tableColumn id="3" xr3:uid="{00000000-0010-0000-0900-000003000000}" name="Columna1" dataDxfId="1727"/>
  </tableColumns>
  <tableStyleInfo name="TableStyleLight2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a356734567893568192091012" displayName="Tabla356734567893568192091012" ref="A7:N73" totalsRowShown="0" headerRowDxfId="1726" dataDxfId="1725" headerRowBorderDxfId="1723" tableBorderDxfId="1724">
  <autoFilter ref="A7:N73" xr:uid="{00000000-0009-0000-0100-00000B000000}"/>
  <tableColumns count="14">
    <tableColumn id="1" xr3:uid="{00000000-0010-0000-0A00-000001000000}" name="FECHA PAGO" dataDxfId="1722"/>
    <tableColumn id="2" xr3:uid="{00000000-0010-0000-0A00-000002000000}" name="MONTO" dataDxfId="1721"/>
    <tableColumn id="14" xr3:uid="{E0FB609F-15E6-411B-A85E-4BED74A6ACE2}" name="Columna3" dataDxfId="1720">
      <calculatedColumnFormula>UPPER(TEXT(Tabla356734567893568192091012[[#This Row],[FECHA DE SERVICIO]], "[$-es-MX]mmmm"))</calculatedColumnFormula>
    </tableColumn>
    <tableColumn id="4" xr3:uid="{00000000-0010-0000-0A00-000004000000}" name="FECHA DE SERVICIO" dataDxfId="1719"/>
    <tableColumn id="5" xr3:uid="{00000000-0010-0000-0A00-000005000000}" name="DESCRIPCIÓN" dataDxfId="1718"/>
    <tableColumn id="6" xr3:uid="{00000000-0010-0000-0A00-000006000000}" name="FORMA DE PAGO" dataDxfId="1717"/>
    <tableColumn id="7" xr3:uid="{00000000-0010-0000-0A00-000007000000}" name="KILOS" dataDxfId="1716"/>
    <tableColumn id="13" xr3:uid="{9EB5C080-FF6B-4FCF-AAF9-131A08825944}" name="N CONTRATO" dataDxfId="1715"/>
    <tableColumn id="8" xr3:uid="{00000000-0010-0000-0A00-000008000000}" name="N° FACTURA" dataDxfId="1714"/>
    <tableColumn id="9" xr3:uid="{00000000-0010-0000-0A00-000009000000}" name="N° guia transporte" dataDxfId="1713"/>
    <tableColumn id="10" xr3:uid="{00000000-0010-0000-0A00-00000A000000}" name="N° MANIFIESTO" dataDxfId="1712"/>
    <tableColumn id="11" xr3:uid="{00000000-0010-0000-0A00-00000B000000}" name="OBSERVACIÓN" dataDxfId="1711"/>
    <tableColumn id="3" xr3:uid="{30A33DAD-0F56-4F81-9843-E74C3F96F10D}" name="Columna1" dataDxfId="1710"/>
    <tableColumn id="12" xr3:uid="{B46CBF1B-4B89-455C-8953-BDD9B9AD51DC}" name="Columna2" dataDxfId="1709"/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a3567345678935681920910121314" displayName="Tabla3567345678935681920910121314" ref="A7:N84" totalsRowShown="0" headerRowDxfId="1708" dataDxfId="1707" headerRowBorderDxfId="1705" tableBorderDxfId="1706">
  <autoFilter ref="A7:N84" xr:uid="{00000000-0009-0000-0100-00000D000000}"/>
  <tableColumns count="14">
    <tableColumn id="1" xr3:uid="{00000000-0010-0000-0C00-000001000000}" name="FECHA PAGO" dataDxfId="1704"/>
    <tableColumn id="2" xr3:uid="{00000000-0010-0000-0C00-000002000000}" name="MONTO" dataDxfId="1703"/>
    <tableColumn id="4" xr3:uid="{00000000-0010-0000-0C00-000004000000}" name="FECHA DE SERVICIO" dataDxfId="1702"/>
    <tableColumn id="5" xr3:uid="{00000000-0010-0000-0C00-000005000000}" name="DESCRIPCIÓN" dataDxfId="1701"/>
    <tableColumn id="6" xr3:uid="{00000000-0010-0000-0C00-000006000000}" name="FORMA DE PAGO" dataDxfId="1700"/>
    <tableColumn id="7" xr3:uid="{00000000-0010-0000-0C00-000007000000}" name="KILOS" dataDxfId="1699"/>
    <tableColumn id="8" xr3:uid="{00000000-0010-0000-0C00-000008000000}" name="N° FACTURA" dataDxfId="1698"/>
    <tableColumn id="9" xr3:uid="{00000000-0010-0000-0C00-000009000000}" name="N° guia transporte" dataDxfId="1697"/>
    <tableColumn id="10" xr3:uid="{00000000-0010-0000-0C00-00000A000000}" name="N° MANIFIESTO" dataDxfId="1696"/>
    <tableColumn id="13" xr3:uid="{41C3BA5B-4A4F-444A-9C02-3BC3C4D93DB3}" name="Columna3" dataDxfId="1695"/>
    <tableColumn id="11" xr3:uid="{00000000-0010-0000-0C00-00000B000000}" name="OBSERVACIÓN" dataDxfId="1694"/>
    <tableColumn id="3" xr3:uid="{00000000-0010-0000-0C00-000003000000}" name="Columna1" dataDxfId="1693"/>
    <tableColumn id="12" xr3:uid="{6B77CA7B-E77B-49E7-8AD3-1C49142B0DC8}" name="Columna2" dataDxfId="1692"/>
    <tableColumn id="14" xr3:uid="{0EE1B985-63D0-445C-AEC8-5795462354AE}" name="Columna22" dataDxfId="1691"/>
  </tableColumns>
  <tableStyleInfo name="TableStyleLight1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a35673456789356819209101213" displayName="Tabla35673456789356819209101213" ref="A7:M79" totalsRowShown="0" headerRowDxfId="1690" dataDxfId="1689" headerRowBorderDxfId="1687" tableBorderDxfId="1688">
  <autoFilter ref="A7:M79" xr:uid="{00000000-0009-0000-0100-00000C000000}"/>
  <tableColumns count="13">
    <tableColumn id="1" xr3:uid="{00000000-0010-0000-0B00-000001000000}" name="FECHA PAGO" dataDxfId="1686"/>
    <tableColumn id="2" xr3:uid="{00000000-0010-0000-0B00-000002000000}" name="MONTO" dataDxfId="1685"/>
    <tableColumn id="4" xr3:uid="{00000000-0010-0000-0B00-000004000000}" name="FECHA DE SERVICIO" dataDxfId="1684"/>
    <tableColumn id="5" xr3:uid="{00000000-0010-0000-0B00-000005000000}" name="DESCRIPCIÓN" dataDxfId="1683"/>
    <tableColumn id="6" xr3:uid="{00000000-0010-0000-0B00-000006000000}" name="FORMA DE PAGO" dataDxfId="1682"/>
    <tableColumn id="7" xr3:uid="{00000000-0010-0000-0B00-000007000000}" name="KILOS" dataDxfId="1681"/>
    <tableColumn id="8" xr3:uid="{00000000-0010-0000-0B00-000008000000}" name="N° FACTURA" dataDxfId="1680"/>
    <tableColumn id="9" xr3:uid="{00000000-0010-0000-0B00-000009000000}" name="N° guia transporte" dataDxfId="1679"/>
    <tableColumn id="10" xr3:uid="{00000000-0010-0000-0B00-00000A000000}" name="N° MANIFIESTO" dataDxfId="1678"/>
    <tableColumn id="11" xr3:uid="{00000000-0010-0000-0B00-00000B000000}" name="OBSERVACIÓN" dataDxfId="1677"/>
    <tableColumn id="3" xr3:uid="{00000000-0010-0000-0B00-000003000000}" name="Columna1" dataDxfId="1676"/>
    <tableColumn id="12" xr3:uid="{E56306CC-7252-4D45-B983-87A11DAB44EB}" name="Columna2" dataDxfId="1675"/>
    <tableColumn id="13" xr3:uid="{1289D97B-0EF3-4293-824D-8F5820FE1B52}" name="Columna3" dataDxfId="1674"/>
  </tableColumns>
  <tableStyleInfo name="TableStyleLight1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a356734567893568192091012131415" displayName="Tabla356734567893568192091012131415" ref="A7:M64" totalsRowShown="0" headerRowDxfId="1673" dataDxfId="1672" headerRowBorderDxfId="1670" tableBorderDxfId="1671">
  <autoFilter ref="A7:M64" xr:uid="{00000000-0009-0000-0100-00000E000000}"/>
  <tableColumns count="13">
    <tableColumn id="1" xr3:uid="{00000000-0010-0000-0D00-000001000000}" name="FECHA PAGO" dataDxfId="1669"/>
    <tableColumn id="2" xr3:uid="{00000000-0010-0000-0D00-000002000000}" name="MONTO" dataDxfId="1668"/>
    <tableColumn id="4" xr3:uid="{00000000-0010-0000-0D00-000004000000}" name="FECHA DE SERVICIO" dataDxfId="1667"/>
    <tableColumn id="5" xr3:uid="{00000000-0010-0000-0D00-000005000000}" name="DESCRIPCIÓN" dataDxfId="1666"/>
    <tableColumn id="6" xr3:uid="{00000000-0010-0000-0D00-000006000000}" name="FORMA DE PAGO" dataDxfId="1665"/>
    <tableColumn id="7" xr3:uid="{00000000-0010-0000-0D00-000007000000}" name="KILOS" dataDxfId="1664"/>
    <tableColumn id="8" xr3:uid="{00000000-0010-0000-0D00-000008000000}" name="N° FACTURA" dataDxfId="1663"/>
    <tableColumn id="9" xr3:uid="{00000000-0010-0000-0D00-000009000000}" name="N° guia transporte" dataDxfId="1662"/>
    <tableColumn id="10" xr3:uid="{00000000-0010-0000-0D00-00000A000000}" name="N° MANIFIESTO" dataDxfId="1661"/>
    <tableColumn id="13" xr3:uid="{60895255-39BF-4EAB-AD7D-938D4F50031D}" name="Columna3" dataDxfId="1660"/>
    <tableColumn id="11" xr3:uid="{00000000-0010-0000-0D00-00000B000000}" name="OBSERVACIÓN" dataDxfId="1659"/>
    <tableColumn id="3" xr3:uid="{00000000-0010-0000-0D00-000003000000}" name="Columna1" dataDxfId="1658"/>
    <tableColumn id="12" xr3:uid="{1C6188E2-75F8-40F9-B4D6-3295C2D9194E}" name="Columna2" dataDxfId="1657"/>
  </tableColumns>
  <tableStyleInfo name="TableStyleLight1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a35673456789356819209101213141516" displayName="Tabla35673456789356819209101213141516" ref="A7:N76" totalsRowShown="0" headerRowDxfId="1656" dataDxfId="1655" headerRowBorderDxfId="1653" tableBorderDxfId="1654">
  <autoFilter ref="A7:N76" xr:uid="{00000000-0009-0000-0100-00000F000000}"/>
  <tableColumns count="14">
    <tableColumn id="1" xr3:uid="{00000000-0010-0000-0E00-000001000000}" name="FECHA PAGO" dataDxfId="1652"/>
    <tableColumn id="2" xr3:uid="{00000000-0010-0000-0E00-000002000000}" name="MONTO" dataDxfId="1651"/>
    <tableColumn id="4" xr3:uid="{00000000-0010-0000-0E00-000004000000}" name="FECHA DE SERVICIO" dataDxfId="1650"/>
    <tableColumn id="5" xr3:uid="{00000000-0010-0000-0E00-000005000000}" name="DESCRIPCIÓN" dataDxfId="1649"/>
    <tableColumn id="6" xr3:uid="{00000000-0010-0000-0E00-000006000000}" name="FORMA DE PAGO" dataDxfId="1648"/>
    <tableColumn id="7" xr3:uid="{00000000-0010-0000-0E00-000007000000}" name="N DE SERVICIO" dataDxfId="1647">
      <calculatedColumnFormula>ROW() - ROW(Tabla35673456789356819209101213141516[[#Headers],[N DE SERVICIO]])</calculatedColumnFormula>
    </tableColumn>
    <tableColumn id="8" xr3:uid="{00000000-0010-0000-0E00-000008000000}" name="N° FACTURA" dataDxfId="1646"/>
    <tableColumn id="9" xr3:uid="{00000000-0010-0000-0E00-000009000000}" name="N° guia transporte" dataDxfId="1645"/>
    <tableColumn id="10" xr3:uid="{00000000-0010-0000-0E00-00000A000000}" name="N° MANIFIESTO" dataDxfId="1644"/>
    <tableColumn id="14" xr3:uid="{2EC439A2-72EC-40D4-81B1-38AC8D2C504B}" name="Columna1" dataDxfId="1643"/>
    <tableColumn id="11" xr3:uid="{00000000-0010-0000-0E00-00000B000000}" name="OBSERVACIÓN" dataDxfId="1642"/>
    <tableColumn id="3" xr3:uid="{00000000-0010-0000-0E00-000003000000}" name="com s/ 18.00" dataDxfId="1641"/>
    <tableColumn id="12" xr3:uid="{276E7CFE-9FF3-406F-9D08-D0F25E54E135}" name="com s/ 18.01" dataDxfId="1640"/>
    <tableColumn id="13" xr3:uid="{EC22D269-D8A5-453A-AFA1-6B338607F7C7}" name="com s/ 18.02" dataDxfId="1639"/>
  </tableColumns>
  <tableStyleInfo name="TableStyleLight2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a356789101114151813" displayName="Tabla356789101114151813" ref="A6:N72" totalsRowShown="0" headerRowDxfId="1638" dataDxfId="1637" headerRowBorderDxfId="1635" tableBorderDxfId="1636">
  <autoFilter ref="A6:N72" xr:uid="{00000000-0009-0000-0100-000010000000}"/>
  <tableColumns count="14">
    <tableColumn id="1" xr3:uid="{00000000-0010-0000-0F00-000001000000}" name="FECHA PAGO" dataDxfId="1634"/>
    <tableColumn id="2" xr3:uid="{00000000-0010-0000-0F00-000002000000}" name="MONTO" dataDxfId="1633"/>
    <tableColumn id="3" xr3:uid="{00000000-0010-0000-0F00-000003000000}" name="MES DEL SERVICIO" dataDxfId="1632"/>
    <tableColumn id="4" xr3:uid="{00000000-0010-0000-0F00-000004000000}" name="FECHA DE SERVICIO" dataDxfId="1631"/>
    <tableColumn id="5" xr3:uid="{00000000-0010-0000-0F00-000005000000}" name="DESCRIPCIÓN" dataDxfId="1630"/>
    <tableColumn id="6" xr3:uid="{00000000-0010-0000-0F00-000006000000}" name="FORMA DE PAGO" dataDxfId="1629"/>
    <tableColumn id="7" xr3:uid="{00000000-0010-0000-0F00-000007000000}" name="N° SERVICIO" dataDxfId="1628"/>
    <tableColumn id="8" xr3:uid="{00000000-0010-0000-0F00-000008000000}" name="N° FACTURA" dataDxfId="1627"/>
    <tableColumn id="9" xr3:uid="{00000000-0010-0000-0F00-000009000000}" name="N° CONTRATO " dataDxfId="1626"/>
    <tableColumn id="10" xr3:uid="{00000000-0010-0000-0F00-00000A000000}" name="N° MANIFIESTO" dataDxfId="1625"/>
    <tableColumn id="13" xr3:uid="{7F23492E-D234-416D-8D6C-EB8E1E625044}" name="Columna2" dataDxfId="1624"/>
    <tableColumn id="11" xr3:uid="{00000000-0010-0000-0F00-00000B000000}" name="OBSERVACIÓN" dataDxfId="1623"/>
    <tableColumn id="12" xr3:uid="{239015DD-4302-47C1-A63B-F9B621F74648}" name="Columna1" dataDxfId="1622"/>
    <tableColumn id="14" xr3:uid="{C5780C76-A25A-4E7A-BFF6-3E52865FC89A}" name="Columna12" dataDxfId="1621"/>
  </tableColumns>
  <tableStyleInfo name="TableStyleLight1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a3567891011141518133" displayName="Tabla3567891011141518133" ref="A6:K23" totalsRowShown="0" headerRowDxfId="1620" dataDxfId="1619" headerRowBorderDxfId="1617" tableBorderDxfId="1618">
  <autoFilter ref="A6:K23" xr:uid="{00000000-0009-0000-0100-000011000000}"/>
  <tableColumns count="11">
    <tableColumn id="1" xr3:uid="{00000000-0010-0000-1000-000001000000}" name="FECHA PAGO" dataDxfId="1616"/>
    <tableColumn id="2" xr3:uid="{00000000-0010-0000-1000-000002000000}" name="MONTO" dataDxfId="1615"/>
    <tableColumn id="3" xr3:uid="{00000000-0010-0000-1000-000003000000}" name="MES DEL SERVICIO" dataDxfId="1614"/>
    <tableColumn id="4" xr3:uid="{00000000-0010-0000-1000-000004000000}" name="FECHA DE SERVICIO" dataDxfId="1613"/>
    <tableColumn id="5" xr3:uid="{00000000-0010-0000-1000-000005000000}" name="DESCRIPCIÓN" dataDxfId="1612"/>
    <tableColumn id="6" xr3:uid="{00000000-0010-0000-1000-000006000000}" name="FORMA DE PAGO" dataDxfId="1611"/>
    <tableColumn id="7" xr3:uid="{00000000-0010-0000-1000-000007000000}" name="N° SERVICIO" dataDxfId="1610"/>
    <tableColumn id="8" xr3:uid="{00000000-0010-0000-1000-000008000000}" name="N° FACTURA" dataDxfId="1609"/>
    <tableColumn id="9" xr3:uid="{00000000-0010-0000-1000-000009000000}" name="N° CONTRATO " dataDxfId="1608"/>
    <tableColumn id="10" xr3:uid="{00000000-0010-0000-1000-00000A000000}" name="N° MANIFIESTO" dataDxfId="1607"/>
    <tableColumn id="11" xr3:uid="{00000000-0010-0000-1000-00000B000000}" name="OBSERVACIÓN" dataDxfId="1606"/>
  </tableColumns>
  <tableStyleInfo name="TableStyleLight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B769D1C-BDCC-4EAE-ABC2-273C5E2062B6}" name="Tabla356734567893444454346" displayName="Tabla356734567893444454346" ref="A6:L8" totalsRowShown="0" headerRowDxfId="1605" dataDxfId="1604" headerRowBorderDxfId="1602" tableBorderDxfId="1603">
  <autoFilter ref="A6:L8" xr:uid="{F9DAA850-8D01-4FF3-9425-19724F93AA3A}"/>
  <tableColumns count="12">
    <tableColumn id="1" xr3:uid="{89C4715F-E1F8-4D27-9964-0ADFF2ADA965}" name="FECHA PAGO" dataDxfId="1601"/>
    <tableColumn id="2" xr3:uid="{3798D667-3C64-4EA7-8BA2-C1AAD7081BB2}" name="MONTO" dataDxfId="1600"/>
    <tableColumn id="3" xr3:uid="{AB08E61B-F06A-4AE9-B0DF-7AD5C7E8C0A2}" name="MES DEL SERVICIO" dataDxfId="1599"/>
    <tableColumn id="4" xr3:uid="{39AD5EF5-F1E0-48F6-AB46-78D98A07AFFA}" name="FECHA DE SERVICIO" dataDxfId="1598"/>
    <tableColumn id="5" xr3:uid="{EDEC729D-977C-4E25-8978-426577666555}" name="DESCRIPCIÓN" dataDxfId="1597"/>
    <tableColumn id="6" xr3:uid="{7E6EFAB8-19BA-4FB5-AB55-56E046524486}" name="FORMA DE PAGO" dataDxfId="1596"/>
    <tableColumn id="7" xr3:uid="{B434E7AC-D7F1-4A34-A76E-E22079AC9B87}" name="N° SERVICIO" dataDxfId="1595"/>
    <tableColumn id="8" xr3:uid="{26F4CB8D-9A91-4B75-B727-D3BB08B5F667}" name="N° FACTURA" dataDxfId="1594"/>
    <tableColumn id="9" xr3:uid="{21B058B7-ED01-448C-97CD-983AD798C471}" name="N° CONTRATO " dataDxfId="1593"/>
    <tableColumn id="12" xr3:uid="{E111541B-3C13-48C7-8EBC-93F821A53A68}" name="N° GUIA" dataDxfId="1592"/>
    <tableColumn id="10" xr3:uid="{7D22308D-6842-4109-BDD5-BF53598E8CD9}" name="N° MANIFIESTO" dataDxfId="1591"/>
    <tableColumn id="11" xr3:uid="{9E695671-7B27-4EDD-B7B3-2F1EB5BF302D}" name="OBSERVACIÓN" dataDxfId="1590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a35678910111415181334" displayName="Tabla35678910111415181334" ref="A6:M55" totalsRowShown="0" headerRowDxfId="1589" dataDxfId="1588" headerRowBorderDxfId="1586" tableBorderDxfId="1587">
  <autoFilter ref="A6:M55" xr:uid="{00000000-0009-0000-0100-000012000000}"/>
  <tableColumns count="13">
    <tableColumn id="1" xr3:uid="{00000000-0010-0000-1100-000001000000}" name="FECHA PAGO" dataDxfId="1585"/>
    <tableColumn id="2" xr3:uid="{00000000-0010-0000-1100-000002000000}" name="MONTO" dataDxfId="1584"/>
    <tableColumn id="3" xr3:uid="{00000000-0010-0000-1100-000003000000}" name="MES DEL SERVICIO" dataDxfId="1583"/>
    <tableColumn id="4" xr3:uid="{00000000-0010-0000-1100-000004000000}" name="FECHA DE SERVICIO" dataDxfId="1582"/>
    <tableColumn id="5" xr3:uid="{00000000-0010-0000-1100-000005000000}" name="DESCRIPCIÓN" dataDxfId="1581"/>
    <tableColumn id="6" xr3:uid="{00000000-0010-0000-1100-000006000000}" name="FORMA DE PAGO" dataDxfId="1580"/>
    <tableColumn id="7" xr3:uid="{00000000-0010-0000-1100-000007000000}" name="N° SERVICIO" dataDxfId="1579"/>
    <tableColumn id="8" xr3:uid="{00000000-0010-0000-1100-000008000000}" name="N° FACTURA" dataDxfId="1578"/>
    <tableColumn id="9" xr3:uid="{00000000-0010-0000-1100-000009000000}" name="N° CONTRATO " dataDxfId="1577"/>
    <tableColumn id="10" xr3:uid="{00000000-0010-0000-1100-00000A000000}" name="N° MANIFIESTO" dataDxfId="1576"/>
    <tableColumn id="13" xr3:uid="{12AE8EEF-F0E5-4DF7-B51A-A2BA33B5C610}" name="Columna2" dataDxfId="1575"/>
    <tableColumn id="11" xr3:uid="{00000000-0010-0000-1100-00000B000000}" name="OBSERVACIÓN" dataDxfId="1574"/>
    <tableColumn id="12" xr3:uid="{E3B1CBA1-9B36-40FB-ADF9-93EA79D89B60}" name="Columna1" dataDxfId="1573"/>
  </tableColumns>
  <tableStyleInfo name="TableStyleLight1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a1" displayName="Tabla1" ref="A7:K21" totalsRowShown="0" headerRowDxfId="1572" headerRowBorderDxfId="1570" tableBorderDxfId="1571">
  <autoFilter ref="A7:K21" xr:uid="{00000000-0009-0000-0100-000013000000}"/>
  <tableColumns count="11">
    <tableColumn id="1" xr3:uid="{00000000-0010-0000-1200-000001000000}" name="FECHA PAGO"/>
    <tableColumn id="2" xr3:uid="{00000000-0010-0000-1200-000002000000}" name="MONTO"/>
    <tableColumn id="3" xr3:uid="{00000000-0010-0000-1200-000003000000}" name="MES DEL SERVICIO"/>
    <tableColumn id="4" xr3:uid="{00000000-0010-0000-1200-000004000000}" name="FECHA DE SERVICIO"/>
    <tableColumn id="5" xr3:uid="{00000000-0010-0000-1200-000005000000}" name="DESCRIPCIÓN"/>
    <tableColumn id="6" xr3:uid="{00000000-0010-0000-1200-000006000000}" name="FORMA DE PAGO"/>
    <tableColumn id="7" xr3:uid="{00000000-0010-0000-1200-000007000000}" name="N° SERVICIO"/>
    <tableColumn id="8" xr3:uid="{00000000-0010-0000-1200-000008000000}" name="N° FACTURA"/>
    <tableColumn id="9" xr3:uid="{00000000-0010-0000-1200-000009000000}" name="N° CONTRATO "/>
    <tableColumn id="10" xr3:uid="{00000000-0010-0000-1200-00000A000000}" name="N° MANIFIESTO"/>
    <tableColumn id="11" xr3:uid="{00000000-0010-0000-1200-00000B000000}" name="OBSERVACIÓN"/>
  </tableColumns>
  <tableStyleInfo name="TableStyleLight2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a116" displayName="Tabla116" ref="A78:K90" totalsRowShown="0" headerRowDxfId="1569" headerRowBorderDxfId="1567" tableBorderDxfId="1568">
  <autoFilter ref="A78:K90" xr:uid="{00000000-0009-0000-0100-000014000000}"/>
  <tableColumns count="11">
    <tableColumn id="1" xr3:uid="{00000000-0010-0000-1300-000001000000}" name="FECHA PAGO"/>
    <tableColumn id="2" xr3:uid="{00000000-0010-0000-1300-000002000000}" name="MONTO"/>
    <tableColumn id="3" xr3:uid="{00000000-0010-0000-1300-000003000000}" name="MES DEL SERVICIO"/>
    <tableColumn id="4" xr3:uid="{00000000-0010-0000-1300-000004000000}" name="FECHA DE SERVICIO"/>
    <tableColumn id="5" xr3:uid="{00000000-0010-0000-1300-000005000000}" name="DESCRIPCIÓN"/>
    <tableColumn id="6" xr3:uid="{00000000-0010-0000-1300-000006000000}" name="FORMA DE PAGO"/>
    <tableColumn id="7" xr3:uid="{00000000-0010-0000-1300-000007000000}" name="N° SERVICIO"/>
    <tableColumn id="8" xr3:uid="{00000000-0010-0000-1300-000008000000}" name="N° FACTURA"/>
    <tableColumn id="9" xr3:uid="{00000000-0010-0000-1300-000009000000}" name="N° CONTRATO "/>
    <tableColumn id="10" xr3:uid="{00000000-0010-0000-1300-00000A000000}" name="N° MANIFIESTO"/>
    <tableColumn id="11" xr3:uid="{00000000-0010-0000-1300-00000B000000}" name="OBSERVACIÓN"/>
  </tableColumns>
  <tableStyleInfo name="TableStyleLight2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a19261317" displayName="Tabla19261317" ref="B96:K108" totalsRowShown="0" headerRowDxfId="1566" headerRowBorderDxfId="1564" tableBorderDxfId="1565">
  <autoFilter ref="B96:K108" xr:uid="{00000000-0009-0000-0100-000015000000}"/>
  <tableColumns count="10">
    <tableColumn id="1" xr3:uid="{00000000-0010-0000-1400-000001000000}" name="FECHA PAGO"/>
    <tableColumn id="2" xr3:uid="{00000000-0010-0000-1400-000002000000}" name="MONTO"/>
    <tableColumn id="3" xr3:uid="{00000000-0010-0000-1400-000003000000}" name="MES DEL SERVICIO"/>
    <tableColumn id="4" xr3:uid="{00000000-0010-0000-1400-000004000000}" name="N° CONTENEDOR "/>
    <tableColumn id="5" xr3:uid="{00000000-0010-0000-1400-000005000000}" name="FECHA DE SERVICIO"/>
    <tableColumn id="6" xr3:uid="{00000000-0010-0000-1400-000006000000}" name="DESCRIPCIÓN"/>
    <tableColumn id="7" xr3:uid="{00000000-0010-0000-1400-000007000000}" name="FORMA DE PAGO"/>
    <tableColumn id="8" xr3:uid="{00000000-0010-0000-1400-000008000000}" name="FACTURA"/>
    <tableColumn id="9" xr3:uid="{00000000-0010-0000-1400-000009000000}" name="N° SERVICIO"/>
    <tableColumn id="10" xr3:uid="{00000000-0010-0000-1400-00000A000000}" name="OBSERVACION"/>
  </tableColumns>
  <tableStyleInfo name="TableStyleLight2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a2" displayName="Tabla2" ref="A8:K20" totalsRowShown="0" headerRowDxfId="1563" headerRowBorderDxfId="1561" tableBorderDxfId="1562">
  <autoFilter ref="A8:K20" xr:uid="{00000000-0009-0000-0100-000016000000}"/>
  <tableColumns count="11">
    <tableColumn id="1" xr3:uid="{00000000-0010-0000-1500-000001000000}" name="FECHA PAGO"/>
    <tableColumn id="2" xr3:uid="{00000000-0010-0000-1500-000002000000}" name="MONTO"/>
    <tableColumn id="3" xr3:uid="{00000000-0010-0000-1500-000003000000}" name="MES DEL SERVICIO"/>
    <tableColumn id="4" xr3:uid="{00000000-0010-0000-1500-000004000000}" name="FECHA DE SERVICIO"/>
    <tableColumn id="5" xr3:uid="{00000000-0010-0000-1500-000005000000}" name="DESCRIPCIÓN"/>
    <tableColumn id="6" xr3:uid="{00000000-0010-0000-1500-000006000000}" name="FORMA DE PAGO"/>
    <tableColumn id="7" xr3:uid="{00000000-0010-0000-1500-000007000000}" name="N° SERVICIO"/>
    <tableColumn id="8" xr3:uid="{00000000-0010-0000-1500-000008000000}" name="N° FACTURA"/>
    <tableColumn id="9" xr3:uid="{00000000-0010-0000-1500-000009000000}" name="N° CONTRATO "/>
    <tableColumn id="10" xr3:uid="{00000000-0010-0000-1500-00000A000000}" name="N° MANIFIESTO"/>
    <tableColumn id="11" xr3:uid="{00000000-0010-0000-1500-00000B000000}" name="OBSERVACIÓN"/>
  </tableColumns>
  <tableStyleInfo name="TableStyleLight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a3" displayName="Tabla3" ref="A7:K22" totalsRowShown="0" headerRowDxfId="1560" headerRowBorderDxfId="1558" tableBorderDxfId="1559">
  <autoFilter ref="A7:K22" xr:uid="{00000000-0009-0000-0100-000017000000}"/>
  <tableColumns count="11">
    <tableColumn id="1" xr3:uid="{00000000-0010-0000-1600-000001000000}" name="FECHA PAGO"/>
    <tableColumn id="2" xr3:uid="{00000000-0010-0000-1600-000002000000}" name="MONTO"/>
    <tableColumn id="3" xr3:uid="{00000000-0010-0000-1600-000003000000}" name="MES DEL SERVICIO"/>
    <tableColumn id="4" xr3:uid="{00000000-0010-0000-1600-000004000000}" name="FECHA DE SERVICIO"/>
    <tableColumn id="5" xr3:uid="{00000000-0010-0000-1600-000005000000}" name="DESCRIPCIÓN"/>
    <tableColumn id="6" xr3:uid="{00000000-0010-0000-1600-000006000000}" name="FORMA DE PAGO"/>
    <tableColumn id="7" xr3:uid="{00000000-0010-0000-1600-000007000000}" name="N° SERVICIO"/>
    <tableColumn id="8" xr3:uid="{00000000-0010-0000-1600-000008000000}" name="N° FACTURA"/>
    <tableColumn id="9" xr3:uid="{00000000-0010-0000-1600-000009000000}" name="N° CONTRATO "/>
    <tableColumn id="10" xr3:uid="{00000000-0010-0000-1600-00000A000000}" name="N° MANIFIESTO"/>
    <tableColumn id="11" xr3:uid="{00000000-0010-0000-1600-00000B000000}" name="OBSERVACIÓN"/>
  </tableColumns>
  <tableStyleInfo name="TableStyleLight2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a356" displayName="Tabla356" ref="A7:L19" totalsRowShown="0" headerRowDxfId="1557" dataDxfId="1556" headerRowBorderDxfId="1554" tableBorderDxfId="1555">
  <autoFilter ref="A7:L19" xr:uid="{00000000-0009-0000-0100-000019000000}"/>
  <tableColumns count="12">
    <tableColumn id="1" xr3:uid="{00000000-0010-0000-1800-000001000000}" name="FECHA PAGO" dataDxfId="1553"/>
    <tableColumn id="2" xr3:uid="{00000000-0010-0000-1800-000002000000}" name="MONTO" dataDxfId="1552"/>
    <tableColumn id="3" xr3:uid="{00000000-0010-0000-1800-000003000000}" name="MES DEL SERVICIO" dataDxfId="1551"/>
    <tableColumn id="4" xr3:uid="{00000000-0010-0000-1800-000004000000}" name="FECHA DE SERVICIO" dataDxfId="1550"/>
    <tableColumn id="5" xr3:uid="{00000000-0010-0000-1800-000005000000}" name="DESCRIPCIÓN" dataDxfId="1549"/>
    <tableColumn id="6" xr3:uid="{00000000-0010-0000-1800-000006000000}" name="FORMA DE PAGO" dataDxfId="1548"/>
    <tableColumn id="7" xr3:uid="{00000000-0010-0000-1800-000007000000}" name="N° SERVICIO" dataDxfId="1547"/>
    <tableColumn id="8" xr3:uid="{00000000-0010-0000-1800-000008000000}" name="N° FACTURA" dataDxfId="1546"/>
    <tableColumn id="9" xr3:uid="{00000000-0010-0000-1800-000009000000}" name="N° CONTRATO " dataDxfId="1545"/>
    <tableColumn id="10" xr3:uid="{00000000-0010-0000-1800-00000A000000}" name="N° MANIFIESTO" dataDxfId="1544"/>
    <tableColumn id="11" xr3:uid="{00000000-0010-0000-1800-00000B000000}" name="OBSERVACIÓN" dataDxfId="1543"/>
    <tableColumn id="12" xr3:uid="{8F69817C-17AC-471B-903A-8B90B83CCADA}" name="Columna1" dataDxfId="1542"/>
  </tableColumns>
  <tableStyleInfo name="TableStyleLight1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a35" displayName="Tabla35" ref="A7:K19" totalsRowShown="0" headerRowDxfId="1541" dataDxfId="1540" headerRowBorderDxfId="1538" tableBorderDxfId="1539">
  <autoFilter ref="A7:K19" xr:uid="{00000000-0009-0000-0100-000018000000}"/>
  <tableColumns count="11">
    <tableColumn id="1" xr3:uid="{00000000-0010-0000-1700-000001000000}" name="FECHA PAGO" dataDxfId="1537"/>
    <tableColumn id="2" xr3:uid="{00000000-0010-0000-1700-000002000000}" name="MONTO" dataDxfId="1536"/>
    <tableColumn id="3" xr3:uid="{00000000-0010-0000-1700-000003000000}" name="MES DEL SERVICIO" dataDxfId="1535"/>
    <tableColumn id="4" xr3:uid="{00000000-0010-0000-1700-000004000000}" name="FECHA DE SERVICIO" dataDxfId="1534"/>
    <tableColumn id="5" xr3:uid="{00000000-0010-0000-1700-000005000000}" name="DESCRIPCIÓN" dataDxfId="1533"/>
    <tableColumn id="6" xr3:uid="{00000000-0010-0000-1700-000006000000}" name="FORMA DE PAGO" dataDxfId="1532"/>
    <tableColumn id="7" xr3:uid="{00000000-0010-0000-1700-000007000000}" name="N° SERVICIO" dataDxfId="1531"/>
    <tableColumn id="8" xr3:uid="{00000000-0010-0000-1700-000008000000}" name="N° FACTURA" dataDxfId="1530"/>
    <tableColumn id="9" xr3:uid="{00000000-0010-0000-1700-000009000000}" name="N° CONTRATO " dataDxfId="1529"/>
    <tableColumn id="10" xr3:uid="{00000000-0010-0000-1700-00000A000000}" name="N° MANIFIESTO" dataDxfId="1528"/>
    <tableColumn id="11" xr3:uid="{00000000-0010-0000-1700-00000B000000}" name="OBSERVACIÓN" dataDxfId="1527"/>
  </tableColumns>
  <tableStyleInfo name="TableStyleLight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a3567" displayName="Tabla3567" ref="A6:N52" totalsRowShown="0" headerRowDxfId="1526" dataDxfId="1525" headerRowBorderDxfId="1523" tableBorderDxfId="1524">
  <autoFilter ref="A6:N52" xr:uid="{00000000-0009-0000-0100-00001A000000}"/>
  <tableColumns count="14">
    <tableColumn id="1" xr3:uid="{00000000-0010-0000-1900-000001000000}" name="FECHA PAGO" dataDxfId="1522"/>
    <tableColumn id="2" xr3:uid="{00000000-0010-0000-1900-000002000000}" name="MONTO" dataDxfId="1521"/>
    <tableColumn id="3" xr3:uid="{00000000-0010-0000-1900-000003000000}" name="MES DEL SERVICIO" dataDxfId="1520"/>
    <tableColumn id="4" xr3:uid="{00000000-0010-0000-1900-000004000000}" name="FECHA DE SERVICIO" dataDxfId="1519"/>
    <tableColumn id="5" xr3:uid="{00000000-0010-0000-1900-000005000000}" name="DESCRIPCIÓN" dataDxfId="1518"/>
    <tableColumn id="6" xr3:uid="{00000000-0010-0000-1900-000006000000}" name="FORMA DE PAGO" dataDxfId="1517"/>
    <tableColumn id="7" xr3:uid="{00000000-0010-0000-1900-000007000000}" name="N° SERVICIO" dataDxfId="1516"/>
    <tableColumn id="8" xr3:uid="{00000000-0010-0000-1900-000008000000}" name="N° FACTURA" dataDxfId="1515"/>
    <tableColumn id="9" xr3:uid="{00000000-0010-0000-1900-000009000000}" name="N° CONTRATO " dataDxfId="1514"/>
    <tableColumn id="10" xr3:uid="{00000000-0010-0000-1900-00000A000000}" name="N° MANIFIESTO" dataDxfId="1513"/>
    <tableColumn id="14" xr3:uid="{A18D8BE3-2D0A-467C-9B6B-DF2C81B8DC5C}" name="Columna3" dataDxfId="1512"/>
    <tableColumn id="11" xr3:uid="{00000000-0010-0000-1900-00000B000000}" name="OBSERVACIÓN" dataDxfId="1511"/>
    <tableColumn id="12" xr3:uid="{8CA74D33-9FD7-4A48-96DD-80D99423D2A2}" name="Columna1" dataDxfId="1510"/>
    <tableColumn id="13" xr3:uid="{DF30704D-5060-40DD-B9B7-2011166D010A}" name="Columna2" dataDxfId="1509"/>
  </tableColumns>
  <tableStyleInfo name="TableStyleLight1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a35678" displayName="Tabla35678" ref="A6:M81" totalsRowShown="0" headerRowDxfId="1508" dataDxfId="1507" headerRowBorderDxfId="1505" tableBorderDxfId="1506">
  <autoFilter ref="A6:M81" xr:uid="{00000000-0009-0000-0100-00001B000000}"/>
  <tableColumns count="13">
    <tableColumn id="1" xr3:uid="{00000000-0010-0000-1A00-000001000000}" name="FECHA PAGO" dataDxfId="1504"/>
    <tableColumn id="2" xr3:uid="{00000000-0010-0000-1A00-000002000000}" name="MONTO" dataDxfId="1503"/>
    <tableColumn id="3" xr3:uid="{00000000-0010-0000-1A00-000003000000}" name="MES DEL SERVICIO" dataDxfId="1502"/>
    <tableColumn id="4" xr3:uid="{00000000-0010-0000-1A00-000004000000}" name="FECHA DE SERVICIO" dataDxfId="1501"/>
    <tableColumn id="5" xr3:uid="{00000000-0010-0000-1A00-000005000000}" name="DESCRIPCIÓN" dataDxfId="1500"/>
    <tableColumn id="6" xr3:uid="{00000000-0010-0000-1A00-000006000000}" name="FORMA DE PAGO" dataDxfId="1499"/>
    <tableColumn id="7" xr3:uid="{00000000-0010-0000-1A00-000007000000}" name="N° SERVICIO" dataDxfId="1498">
      <calculatedColumnFormula>ROW() - ROW(Tabla35678[[#Headers],[N° SERVICIO]])</calculatedColumnFormula>
    </tableColumn>
    <tableColumn id="8" xr3:uid="{00000000-0010-0000-1A00-000008000000}" name="N° FACTURA" dataDxfId="1497"/>
    <tableColumn id="9" xr3:uid="{00000000-0010-0000-1A00-000009000000}" name="N° CONTRATO /GUIAS" dataDxfId="1496"/>
    <tableColumn id="10" xr3:uid="{00000000-0010-0000-1A00-00000A000000}" name="N° MANIFIESTO" dataDxfId="1495"/>
    <tableColumn id="11" xr3:uid="{00000000-0010-0000-1A00-00000B000000}" name="OBSERVACIÓN" dataDxfId="1494"/>
    <tableColumn id="12" xr3:uid="{1BCACB69-3D4F-4203-A7AF-3235B6C366B3}" name="Columna1" dataDxfId="1493"/>
    <tableColumn id="13" xr3:uid="{1007BBD6-BC93-47B1-8B06-F7B26FDDA272}" name="Columna2" dataDxfId="1492"/>
  </tableColumns>
  <tableStyleInfo name="TableStyleLight2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a3567821" displayName="Tabla3567821" ref="A133:K147" totalsRowShown="0" headerRowDxfId="1491" dataDxfId="1490" headerRowBorderDxfId="1488" tableBorderDxfId="1489">
  <autoFilter ref="A133:K147" xr:uid="{00000000-0009-0000-0100-00001C000000}"/>
  <tableColumns count="11">
    <tableColumn id="1" xr3:uid="{00000000-0010-0000-1B00-000001000000}" name="FECHA PAGO" dataDxfId="1487"/>
    <tableColumn id="2" xr3:uid="{00000000-0010-0000-1B00-000002000000}" name="MONTO" dataDxfId="1486"/>
    <tableColumn id="3" xr3:uid="{00000000-0010-0000-1B00-000003000000}" name="MES DEL SERVICIO" dataDxfId="1485"/>
    <tableColumn id="4" xr3:uid="{00000000-0010-0000-1B00-000004000000}" name="FECHA DE SERVICIO" dataDxfId="1484"/>
    <tableColumn id="5" xr3:uid="{00000000-0010-0000-1B00-000005000000}" name="DESCRIPCIÓN" dataDxfId="1483"/>
    <tableColumn id="6" xr3:uid="{00000000-0010-0000-1B00-000006000000}" name="FORMA DE PAGO" dataDxfId="1482"/>
    <tableColumn id="7" xr3:uid="{00000000-0010-0000-1B00-000007000000}" name="N° SERVICIO" dataDxfId="1481"/>
    <tableColumn id="8" xr3:uid="{00000000-0010-0000-1B00-000008000000}" name="N° FACTURA" dataDxfId="1480"/>
    <tableColumn id="9" xr3:uid="{00000000-0010-0000-1B00-000009000000}" name="N° CONTRATO " dataDxfId="1479"/>
    <tableColumn id="10" xr3:uid="{00000000-0010-0000-1B00-00000A000000}" name="N° MANIFIESTO" dataDxfId="1478"/>
    <tableColumn id="11" xr3:uid="{00000000-0010-0000-1B00-00000B000000}" name="OBSERVACIÓN" dataDxfId="1477"/>
  </tableColumns>
  <tableStyleInfo name="TableStyleLight2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a356789" displayName="Tabla356789" ref="A6:M86" totalsRowShown="0" headerRowDxfId="1476" dataDxfId="1475" headerRowBorderDxfId="1473" tableBorderDxfId="1474">
  <autoFilter ref="A6:M86" xr:uid="{00000000-0009-0000-0100-00001D000000}"/>
  <tableColumns count="13">
    <tableColumn id="1" xr3:uid="{00000000-0010-0000-1C00-000001000000}" name="FECHA PAGO" dataDxfId="1472"/>
    <tableColumn id="2" xr3:uid="{00000000-0010-0000-1C00-000002000000}" name="MONTO" dataDxfId="1471"/>
    <tableColumn id="3" xr3:uid="{00000000-0010-0000-1C00-000003000000}" name="MES DEL SERVICIO" dataDxfId="1470"/>
    <tableColumn id="4" xr3:uid="{00000000-0010-0000-1C00-000004000000}" name="FECHA DE SERVICIO" dataDxfId="1469"/>
    <tableColumn id="5" xr3:uid="{00000000-0010-0000-1C00-000005000000}" name="DESCRIPCIÓN" dataDxfId="1468"/>
    <tableColumn id="6" xr3:uid="{00000000-0010-0000-1C00-000006000000}" name="FORMA DE PAGO" dataDxfId="1467"/>
    <tableColumn id="7" xr3:uid="{00000000-0010-0000-1C00-000007000000}" name="N° SERVICIO" dataDxfId="1466"/>
    <tableColumn id="8" xr3:uid="{00000000-0010-0000-1C00-000008000000}" name="N° FACTURA" dataDxfId="1465"/>
    <tableColumn id="9" xr3:uid="{00000000-0010-0000-1C00-000009000000}" name="N° CONTRATO / GUIA" dataDxfId="1464"/>
    <tableColumn id="10" xr3:uid="{00000000-0010-0000-1C00-00000A000000}" name="N° MANIFIESTO" dataDxfId="1463"/>
    <tableColumn id="11" xr3:uid="{00000000-0010-0000-1C00-00000B000000}" name="OBSERVACIÓN" dataDxfId="1462"/>
    <tableColumn id="13" xr3:uid="{B2550CF5-2074-4075-A9CB-A486DA88F520}" name="N CONTRATO" dataDxfId="1461"/>
    <tableColumn id="12" xr3:uid="{CAE5E88D-A81E-4BBC-BEF4-92E24A9EED79}" name="Columna1" dataDxfId="1460"/>
  </tableColumns>
  <tableStyleInfo name="TableStyleLight2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a35678920" displayName="Tabla35678920" ref="A94:K108" totalsRowShown="0" headerRowDxfId="1459" dataDxfId="1458" headerRowBorderDxfId="1456" tableBorderDxfId="1457">
  <autoFilter ref="A94:K108" xr:uid="{00000000-0009-0000-0100-00001E000000}"/>
  <tableColumns count="11">
    <tableColumn id="1" xr3:uid="{00000000-0010-0000-1D00-000001000000}" name="FECHA PAGO" dataDxfId="1455"/>
    <tableColumn id="2" xr3:uid="{00000000-0010-0000-1D00-000002000000}" name="MONTO" dataDxfId="1454"/>
    <tableColumn id="3" xr3:uid="{00000000-0010-0000-1D00-000003000000}" name="MES DEL SERVICIO" dataDxfId="1453"/>
    <tableColumn id="4" xr3:uid="{00000000-0010-0000-1D00-000004000000}" name="FECHA DE SERVICIO" dataDxfId="1452"/>
    <tableColumn id="5" xr3:uid="{00000000-0010-0000-1D00-000005000000}" name="DESCRIPCIÓN" dataDxfId="1451"/>
    <tableColumn id="6" xr3:uid="{00000000-0010-0000-1D00-000006000000}" name="FORMA DE PAGO" dataDxfId="1450"/>
    <tableColumn id="7" xr3:uid="{00000000-0010-0000-1D00-000007000000}" name="N° SERVICIO" dataDxfId="1449"/>
    <tableColumn id="8" xr3:uid="{00000000-0010-0000-1D00-000008000000}" name="N° FACTURA" dataDxfId="1448"/>
    <tableColumn id="9" xr3:uid="{00000000-0010-0000-1D00-000009000000}" name="N° CONTRATO " dataDxfId="1447"/>
    <tableColumn id="10" xr3:uid="{00000000-0010-0000-1D00-00000A000000}" name="N° MANIFIESTO" dataDxfId="1446"/>
    <tableColumn id="11" xr3:uid="{00000000-0010-0000-1D00-00000B000000}" name="OBSERVACIÓN" dataDxfId="1445"/>
  </tableColumns>
  <tableStyleInfo name="TableStyleLight2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a35678910" displayName="Tabla35678910" ref="A6:N74" totalsRowShown="0" headerRowDxfId="1444" dataDxfId="1443" headerRowBorderDxfId="1441" tableBorderDxfId="1442">
  <autoFilter ref="A6:N74" xr:uid="{00000000-0009-0000-0100-00001F000000}"/>
  <tableColumns count="14">
    <tableColumn id="1" xr3:uid="{00000000-0010-0000-1E00-000001000000}" name="FECHA PAGO" dataDxfId="1440"/>
    <tableColumn id="2" xr3:uid="{00000000-0010-0000-1E00-000002000000}" name="MONTO" dataDxfId="1439"/>
    <tableColumn id="3" xr3:uid="{00000000-0010-0000-1E00-000003000000}" name="MES DEL SERVICIO" dataDxfId="1438"/>
    <tableColumn id="4" xr3:uid="{00000000-0010-0000-1E00-000004000000}" name="FECHA DE SERVICIO" dataDxfId="1437"/>
    <tableColumn id="5" xr3:uid="{00000000-0010-0000-1E00-000005000000}" name="DESCRIPCIÓN" dataDxfId="1436"/>
    <tableColumn id="6" xr3:uid="{00000000-0010-0000-1E00-000006000000}" name="FORMA DE PAGO" dataDxfId="1435"/>
    <tableColumn id="7" xr3:uid="{00000000-0010-0000-1E00-000007000000}" name="N° SERVICIO" dataDxfId="1434"/>
    <tableColumn id="8" xr3:uid="{00000000-0010-0000-1E00-000008000000}" name="N° FACTURA" dataDxfId="1433"/>
    <tableColumn id="9" xr3:uid="{00000000-0010-0000-1E00-000009000000}" name="N° CONTRATO " dataDxfId="1432"/>
    <tableColumn id="10" xr3:uid="{00000000-0010-0000-1E00-00000A000000}" name="N° MANIFIESTO" dataDxfId="1431"/>
    <tableColumn id="13" xr3:uid="{1D9244D6-EBFE-4B07-B88E-F4DF81B8552A}" name="Columna2" dataDxfId="1430"/>
    <tableColumn id="11" xr3:uid="{00000000-0010-0000-1E00-00000B000000}" name="OBSERVACIÓN" dataDxfId="1429"/>
    <tableColumn id="12" xr3:uid="{E1A8AC89-3E61-4A82-82A2-89017784974A}" name="Columna1" dataDxfId="1428"/>
    <tableColumn id="14" xr3:uid="{774F84C3-E589-4CEB-A957-4DD0654BEB90}" name="Columna12" dataDxfId="1427"/>
  </tableColumns>
  <tableStyleInfo name="TableStyleLight1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a3567891011" displayName="Tabla3567891011" ref="A6:K18" totalsRowShown="0" headerRowDxfId="1426" dataDxfId="1425" headerRowBorderDxfId="1423" tableBorderDxfId="1424">
  <autoFilter ref="A6:K18" xr:uid="{00000000-0009-0000-0100-000020000000}"/>
  <tableColumns count="11">
    <tableColumn id="1" xr3:uid="{00000000-0010-0000-1F00-000001000000}" name="FECHA PAGO" dataDxfId="1422"/>
    <tableColumn id="2" xr3:uid="{00000000-0010-0000-1F00-000002000000}" name="MONTO" dataDxfId="1421"/>
    <tableColumn id="3" xr3:uid="{00000000-0010-0000-1F00-000003000000}" name="MES DEL SERVICIO" dataDxfId="1420"/>
    <tableColumn id="4" xr3:uid="{00000000-0010-0000-1F00-000004000000}" name="FECHA DE SERVICIO" dataDxfId="1419"/>
    <tableColumn id="5" xr3:uid="{00000000-0010-0000-1F00-000005000000}" name="DESCRIPCIÓN" dataDxfId="1418"/>
    <tableColumn id="6" xr3:uid="{00000000-0010-0000-1F00-000006000000}" name="FORMA DE PAGO" dataDxfId="1417"/>
    <tableColumn id="7" xr3:uid="{00000000-0010-0000-1F00-000007000000}" name="N° SERVICIO" dataDxfId="1416"/>
    <tableColumn id="8" xr3:uid="{00000000-0010-0000-1F00-000008000000}" name="N° FACTURA" dataDxfId="1415"/>
    <tableColumn id="9" xr3:uid="{00000000-0010-0000-1F00-000009000000}" name="N° CONTRATO " dataDxfId="1414"/>
    <tableColumn id="10" xr3:uid="{00000000-0010-0000-1F00-00000A000000}" name="N° MANIFIESTO" dataDxfId="1413"/>
    <tableColumn id="11" xr3:uid="{00000000-0010-0000-1F00-00000B000000}" name="OBSERVACIÓN" dataDxfId="1412"/>
  </tableColumns>
  <tableStyleInfo name="TableStyleLight2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a1926" displayName="Tabla1926" ref="A22:J34" totalsRowShown="0" headerRowDxfId="1411" headerRowBorderDxfId="1409" tableBorderDxfId="1410">
  <autoFilter ref="A22:J34" xr:uid="{00000000-0009-0000-0100-000021000000}"/>
  <tableColumns count="10">
    <tableColumn id="1" xr3:uid="{00000000-0010-0000-2000-000001000000}" name="FECHA PAGO"/>
    <tableColumn id="2" xr3:uid="{00000000-0010-0000-2000-000002000000}" name="MONTO"/>
    <tableColumn id="3" xr3:uid="{00000000-0010-0000-2000-000003000000}" name="MES DEL SERVICIO"/>
    <tableColumn id="4" xr3:uid="{00000000-0010-0000-2000-000004000000}" name="N° CONTENEDOR "/>
    <tableColumn id="5" xr3:uid="{00000000-0010-0000-2000-000005000000}" name="FECHA DE SERVICIO"/>
    <tableColumn id="6" xr3:uid="{00000000-0010-0000-2000-000006000000}" name="DESCRIPCIÓN"/>
    <tableColumn id="7" xr3:uid="{00000000-0010-0000-2000-000007000000}" name="FORMA DE PAGO"/>
    <tableColumn id="8" xr3:uid="{00000000-0010-0000-2000-000008000000}" name="FACTURA"/>
    <tableColumn id="9" xr3:uid="{00000000-0010-0000-2000-000009000000}" name="N° SERVICIO"/>
    <tableColumn id="10" xr3:uid="{00000000-0010-0000-2000-00000A000000}" name="OBSERVACION"/>
  </tableColumns>
  <tableStyleInfo name="TableStyleLight1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a356789101114" displayName="Tabla356789101114" ref="A6:L18" totalsRowShown="0" headerRowDxfId="1408" dataDxfId="1407" headerRowBorderDxfId="1405" tableBorderDxfId="1406">
  <autoFilter ref="A6:L18" xr:uid="{00000000-0009-0000-0100-000022000000}"/>
  <tableColumns count="12">
    <tableColumn id="1" xr3:uid="{00000000-0010-0000-2100-000001000000}" name="FECHA PAGO" dataDxfId="1404"/>
    <tableColumn id="2" xr3:uid="{00000000-0010-0000-2100-000002000000}" name="MONTO" dataDxfId="1403"/>
    <tableColumn id="3" xr3:uid="{00000000-0010-0000-2100-000003000000}" name="MES DEL SERVICIO" dataDxfId="1402"/>
    <tableColumn id="4" xr3:uid="{00000000-0010-0000-2100-000004000000}" name="FECHA DE SERVICIO" dataDxfId="1401"/>
    <tableColumn id="5" xr3:uid="{00000000-0010-0000-2100-000005000000}" name="DESCRIPCIÓN" dataDxfId="1400"/>
    <tableColumn id="6" xr3:uid="{00000000-0010-0000-2100-000006000000}" name="FORMA DE PAGO" dataDxfId="1399"/>
    <tableColumn id="7" xr3:uid="{00000000-0010-0000-2100-000007000000}" name="N° SERVICIO" dataDxfId="1398"/>
    <tableColumn id="8" xr3:uid="{00000000-0010-0000-2100-000008000000}" name="N° FACTURA" dataDxfId="1397"/>
    <tableColumn id="9" xr3:uid="{00000000-0010-0000-2100-000009000000}" name="N° CONTRATO " dataDxfId="1396"/>
    <tableColumn id="10" xr3:uid="{00000000-0010-0000-2100-00000A000000}" name="N° MANIFIESTO" dataDxfId="1395"/>
    <tableColumn id="11" xr3:uid="{00000000-0010-0000-2100-00000B000000}" name="OBSERVACIÓN" dataDxfId="1394"/>
    <tableColumn id="12" xr3:uid="{00000000-0010-0000-2100-00000C000000}" name="Columna1" dataDxfId="1393"/>
  </tableColumns>
  <tableStyleInfo name="TableStyleLight2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a35678910111415" displayName="Tabla35678910111415" ref="A6:L30" totalsRowShown="0" headerRowDxfId="1392" dataDxfId="1391" headerRowBorderDxfId="1389" tableBorderDxfId="1390">
  <autoFilter ref="A6:L30" xr:uid="{00000000-0009-0000-0100-000023000000}"/>
  <tableColumns count="12">
    <tableColumn id="1" xr3:uid="{00000000-0010-0000-2200-000001000000}" name="FECHA PAGO" dataDxfId="1388"/>
    <tableColumn id="2" xr3:uid="{00000000-0010-0000-2200-000002000000}" name="MONTO" dataDxfId="1387"/>
    <tableColumn id="3" xr3:uid="{00000000-0010-0000-2200-000003000000}" name="MES DEL SERVICIO" dataDxfId="1386"/>
    <tableColumn id="4" xr3:uid="{00000000-0010-0000-2200-000004000000}" name="FECHA DE SERVICIO" dataDxfId="1385"/>
    <tableColumn id="5" xr3:uid="{00000000-0010-0000-2200-000005000000}" name="DESCRIPCIÓN" dataDxfId="1384"/>
    <tableColumn id="6" xr3:uid="{00000000-0010-0000-2200-000006000000}" name="FORMA DE PAGO" dataDxfId="1383"/>
    <tableColumn id="7" xr3:uid="{00000000-0010-0000-2200-000007000000}" name="N° SERVICIO" dataDxfId="1382"/>
    <tableColumn id="8" xr3:uid="{00000000-0010-0000-2200-000008000000}" name="N° FACTURA" dataDxfId="1381"/>
    <tableColumn id="9" xr3:uid="{00000000-0010-0000-2200-000009000000}" name="N° CONTRATO " dataDxfId="1380"/>
    <tableColumn id="10" xr3:uid="{00000000-0010-0000-2200-00000A000000}" name="N° MANIFIESTO" dataDxfId="1379"/>
    <tableColumn id="11" xr3:uid="{00000000-0010-0000-2200-00000B000000}" name="OBSERVACIÓN" dataDxfId="1378"/>
    <tableColumn id="12" xr3:uid="{00000000-0010-0000-2200-00000C000000}" name="Columna1" dataDxfId="1377"/>
  </tableColumns>
  <tableStyleInfo name="TableStyleLight1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a3567891011141518" displayName="Tabla3567891011141518" ref="A6:K33" totalsRowShown="0" headerRowDxfId="1376" dataDxfId="1375" headerRowBorderDxfId="1373" tableBorderDxfId="1374">
  <autoFilter ref="A6:K33" xr:uid="{00000000-0009-0000-0100-000024000000}"/>
  <tableColumns count="11">
    <tableColumn id="1" xr3:uid="{00000000-0010-0000-2300-000001000000}" name="FECHA PAGO" dataDxfId="1372"/>
    <tableColumn id="2" xr3:uid="{00000000-0010-0000-2300-000002000000}" name="MONTO" dataDxfId="1371"/>
    <tableColumn id="3" xr3:uid="{00000000-0010-0000-2300-000003000000}" name="MES DEL SERVICIO" dataDxfId="1370"/>
    <tableColumn id="4" xr3:uid="{00000000-0010-0000-2300-000004000000}" name="FECHA DE SERVICIO" dataDxfId="1369"/>
    <tableColumn id="5" xr3:uid="{00000000-0010-0000-2300-000005000000}" name="DESCRIPCIÓN" dataDxfId="1368"/>
    <tableColumn id="6" xr3:uid="{00000000-0010-0000-2300-000006000000}" name="FORMA DE PAGO" dataDxfId="1367"/>
    <tableColumn id="7" xr3:uid="{00000000-0010-0000-2300-000007000000}" name="N° SERVICIO" dataDxfId="1366"/>
    <tableColumn id="8" xr3:uid="{00000000-0010-0000-2300-000008000000}" name="N° FACTURA" dataDxfId="1365"/>
    <tableColumn id="9" xr3:uid="{00000000-0010-0000-2300-000009000000}" name="N° CONTRATO " dataDxfId="1364"/>
    <tableColumn id="10" xr3:uid="{00000000-0010-0000-2300-00000A000000}" name="N° MANIFIESTO" dataDxfId="1363"/>
    <tableColumn id="11" xr3:uid="{00000000-0010-0000-2300-00000B000000}" name="OBSERVACIÓN" dataDxfId="1362"/>
  </tableColumns>
  <tableStyleInfo name="TableStyleLight1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37" displayName="Table37" ref="A6:N92" totalsRowShown="0" headerRowDxfId="1361" dataDxfId="1360" headerRowBorderDxfId="1358" tableBorderDxfId="1359">
  <autoFilter ref="A6:N92" xr:uid="{00000000-0009-0000-0100-000025000000}"/>
  <tableColumns count="14">
    <tableColumn id="1" xr3:uid="{00000000-0010-0000-2400-000001000000}" name="FECHA PAGO" dataDxfId="1357"/>
    <tableColumn id="2" xr3:uid="{00000000-0010-0000-2400-000002000000}" name="MONTO" dataDxfId="1356"/>
    <tableColumn id="3" xr3:uid="{00000000-0010-0000-2400-000003000000}" name="MES DEL SERVICIO" dataDxfId="1355"/>
    <tableColumn id="4" xr3:uid="{00000000-0010-0000-2400-000004000000}" name="FECHA DE SERVICIO" dataDxfId="1354"/>
    <tableColumn id="5" xr3:uid="{00000000-0010-0000-2400-000005000000}" name="DESCRIPCIÓN" dataDxfId="1353"/>
    <tableColumn id="6" xr3:uid="{00000000-0010-0000-2400-000006000000}" name="FORMA DE PAGO" dataDxfId="1352"/>
    <tableColumn id="7" xr3:uid="{00000000-0010-0000-2400-000007000000}" name="N° SERVICIO" dataDxfId="1351"/>
    <tableColumn id="8" xr3:uid="{00000000-0010-0000-2400-000008000000}" name="N° FACTURA" dataDxfId="1350"/>
    <tableColumn id="9" xr3:uid="{00000000-0010-0000-2400-000009000000}" name="N° CONTRATO " dataDxfId="1349"/>
    <tableColumn id="10" xr3:uid="{00000000-0010-0000-2400-00000A000000}" name="N° MANIFIESTO" dataDxfId="1348"/>
    <tableColumn id="13" xr3:uid="{FE1AD95B-D1FA-4201-BB31-0713EE285F1B}" name="Columna2" dataDxfId="1347"/>
    <tableColumn id="11" xr3:uid="{00000000-0010-0000-2400-00000B000000}" name="OBSERVACIÓN" dataDxfId="1346"/>
    <tableColumn id="12" xr3:uid="{D15B0DA5-6F3E-4D09-A086-579946861FF2}" name="Columna1" dataDxfId="1345"/>
    <tableColumn id="14" xr3:uid="{9CBA1B4F-0162-466C-87C8-35AAC0EF3AAF}" name="Columna12" dataDxfId="1344"/>
  </tableColumns>
  <tableStyleInfo name="TableStyleLight1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4CDBF3D8-BB69-43F8-A196-741570DB0521}" name="Table3795116" displayName="Table3795116" ref="A6:N24" totalsRowShown="0" headerRowDxfId="1343" dataDxfId="1342" headerRowBorderDxfId="1340" tableBorderDxfId="1341">
  <autoFilter ref="A6:N24" xr:uid="{00000000-0009-0000-0100-000025000000}"/>
  <tableColumns count="14">
    <tableColumn id="1" xr3:uid="{FE0942D3-8263-49F2-B135-DC2823C1EE94}" name="FECHA PAGO" dataDxfId="1339"/>
    <tableColumn id="2" xr3:uid="{E0F2E9A1-9A01-4E10-ABA6-9DB7C270DC4D}" name="MONTO" dataDxfId="1338"/>
    <tableColumn id="3" xr3:uid="{D8636141-2C1E-469E-868D-E1352262A9FF}" name="MES DEL SERVICIO" dataDxfId="1337"/>
    <tableColumn id="4" xr3:uid="{03D5577B-5E0D-4274-A63C-5E8897BED9EE}" name="FECHA DE SERVICIO" dataDxfId="1336"/>
    <tableColumn id="5" xr3:uid="{F4604C46-ABCB-47DD-9123-982D46D375B2}" name="DESCRIPCIÓN" dataDxfId="1335"/>
    <tableColumn id="6" xr3:uid="{1A7107B7-6AFB-4860-BDAF-048511741DEB}" name="FORMA DE PAGO" dataDxfId="1334"/>
    <tableColumn id="7" xr3:uid="{077B56A6-4616-4DFD-A92C-382DD3933413}" name="N° SERVICIO" dataDxfId="1333"/>
    <tableColumn id="8" xr3:uid="{24731639-134D-44E3-8B74-1024B6C62F09}" name="N° FACTURA" dataDxfId="1332"/>
    <tableColumn id="9" xr3:uid="{410F6838-05D6-4CAA-B579-B96CB3542561}" name="N° CONTRATO " dataDxfId="1331"/>
    <tableColumn id="10" xr3:uid="{0EA7ADA8-A2F1-43C3-896F-63645489262F}" name="N° MANIFIESTO" dataDxfId="1330"/>
    <tableColumn id="13" xr3:uid="{8717DB34-228C-44E7-97B8-CD4DB3F2D1DC}" name="Columna2" dataDxfId="1329"/>
    <tableColumn id="11" xr3:uid="{04BC9FD7-BA0C-45CC-AC94-22654A7286B2}" name="OBSERVACIÓN" dataDxfId="1328"/>
    <tableColumn id="12" xr3:uid="{C1271994-69FE-4804-BCBF-9484772051A6}" name="Columna1" dataDxfId="1327"/>
    <tableColumn id="14" xr3:uid="{9F837074-9180-4383-B6C8-4CC3319AFB70}" name="Columna12" dataDxfId="1326"/>
  </tableColumns>
  <tableStyleInfo name="TableStyleLight1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6D73BD0D-504F-4DDE-BC85-C5FF844D6871}" name="Table3795" displayName="Table3795" ref="A6:N24" totalsRowShown="0" headerRowDxfId="1325" dataDxfId="1324" headerRowBorderDxfId="1322" tableBorderDxfId="1323">
  <autoFilter ref="A6:N24" xr:uid="{00000000-0009-0000-0100-000025000000}"/>
  <tableColumns count="14">
    <tableColumn id="1" xr3:uid="{DA48783C-61F7-456D-B67F-15C4F4AEAC75}" name="FECHA PAGO" dataDxfId="1321"/>
    <tableColumn id="2" xr3:uid="{0238FA27-E50F-4FE9-AC4F-1EF62173E2BA}" name="MONTO" dataDxfId="1320"/>
    <tableColumn id="3" xr3:uid="{9098BFCA-D01B-4C94-9911-66D153E677E4}" name="MES DEL SERVICIO" dataDxfId="1319"/>
    <tableColumn id="4" xr3:uid="{D96A579C-730B-4124-9F75-02BE965D15DF}" name="FECHA DE SERVICIO" dataDxfId="1318"/>
    <tableColumn id="5" xr3:uid="{0DC040D9-E071-4EC5-A76F-AB2FFC9F49BD}" name="DESCRIPCIÓN" dataDxfId="1317"/>
    <tableColumn id="6" xr3:uid="{682A5EC0-5B19-4C7A-9CD0-4C9CB0D7F4D6}" name="FORMA DE PAGO" dataDxfId="1316"/>
    <tableColumn id="7" xr3:uid="{9019C1C4-0AA1-4CC2-AB45-EC9AAC076174}" name="N° SERVICIO" dataDxfId="1315"/>
    <tableColumn id="8" xr3:uid="{08937BD4-C4B6-4BF8-BFAE-904B3547F283}" name="N° FACTURA" dataDxfId="1314"/>
    <tableColumn id="9" xr3:uid="{7EE6CFBB-B998-41AB-A9E3-285D1E2B4D9B}" name="N° CONTRATO " dataDxfId="1313"/>
    <tableColumn id="10" xr3:uid="{44AE390A-4BA3-4886-9D66-B0A277BE8D18}" name="N° MANIFIESTO" dataDxfId="1312"/>
    <tableColumn id="13" xr3:uid="{2FB1DB25-245A-4106-B02D-F26A5DDD0F68}" name="Columna2" dataDxfId="1311"/>
    <tableColumn id="11" xr3:uid="{28D378AE-1101-41F4-B318-720D92DB885B}" name="OBSERVACIÓN" dataDxfId="1310"/>
    <tableColumn id="12" xr3:uid="{9E3A9262-D115-488C-9491-A292B64913D5}" name="Columna1" dataDxfId="1309"/>
    <tableColumn id="14" xr3:uid="{A0D99F06-0E61-439D-93EB-F2F5C9CA6BB0}" name="Columna12" dataDxfId="1308"/>
  </tableColumns>
  <tableStyleInfo name="TableStyleLight1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AE6A905A-FCA6-4F1E-B058-72B02989A6A2}" name="Table379596" displayName="Table379596" ref="A6:O49" totalsRowShown="0" headerRowDxfId="1307" dataDxfId="1306" headerRowBorderDxfId="1304" tableBorderDxfId="1305">
  <autoFilter ref="A6:O49" xr:uid="{00000000-0009-0000-0100-000025000000}"/>
  <tableColumns count="15">
    <tableColumn id="1" xr3:uid="{B242E2EB-5DA7-4F6C-BFCA-148DD8E5B915}" name="FECHA PAGO" dataDxfId="1303"/>
    <tableColumn id="2" xr3:uid="{A8130F03-3DA9-4E96-AC19-E22923A3498B}" name="MONTO" dataDxfId="1302"/>
    <tableColumn id="3" xr3:uid="{54D57CBC-03A0-4573-9D62-2D2445A64AF1}" name="MES DEL SERVICIO" dataDxfId="1301"/>
    <tableColumn id="4" xr3:uid="{D3A22225-449C-4C11-BE5B-FEE93F3563C1}" name="FECHA DE SERVICIO" dataDxfId="1300"/>
    <tableColumn id="5" xr3:uid="{DE24DDFE-E4C5-4AD2-8FB1-660D0DB792FD}" name="DESCRIPCIÓN" dataDxfId="1299"/>
    <tableColumn id="6" xr3:uid="{E44B9CEA-DE90-4CD8-924F-84061440F8BF}" name="FORMA DE PAGO" dataDxfId="1298"/>
    <tableColumn id="7" xr3:uid="{9030BDCF-29D0-4B02-8694-FC784BD1F343}" name="N° SERVICIO" dataDxfId="1297"/>
    <tableColumn id="8" xr3:uid="{37472E35-CC6A-47BD-A397-C2233F65DE1C}" name="N° FACTURA" dataDxfId="1296"/>
    <tableColumn id="9" xr3:uid="{A46BCE97-4666-49B0-A046-C99DAF42624B}" name="N° CONTRATO " dataDxfId="1295"/>
    <tableColumn id="10" xr3:uid="{8B3171FC-1DC4-46B6-9DA6-65D3F933B6A4}" name="N° MANIFIESTO" dataDxfId="1294"/>
    <tableColumn id="13" xr3:uid="{F8E77C8A-C9B3-4B10-8485-2D4A06306326}" name="Columna2" dataDxfId="1293"/>
    <tableColumn id="11" xr3:uid="{5A40F769-7299-4670-B3E8-184C54DEECFD}" name="OBSERVACIÓN" dataDxfId="1292"/>
    <tableColumn id="12" xr3:uid="{447DFED1-0F9D-49E1-95E8-C857C2792480}" name="Columna1" dataDxfId="1291"/>
    <tableColumn id="14" xr3:uid="{70050619-043F-43D3-A61C-6A23FCA03EB5}" name="Columna12" dataDxfId="1290"/>
    <tableColumn id="15" xr3:uid="{4680FF17-FE3F-46B4-9735-C8FE1AD5BEEF}" name="Columna13" dataDxfId="1289"/>
  </tableColumns>
  <tableStyleInfo name="TableStyleLight18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1D8CFA7C-E4DA-41D8-944B-2524B119D065}" name="Table37959697" displayName="Table37959697" ref="A6:N49" totalsRowShown="0" headerRowDxfId="1288" dataDxfId="1287" headerRowBorderDxfId="1285" tableBorderDxfId="1286">
  <autoFilter ref="A6:N49" xr:uid="{00000000-0009-0000-0100-000025000000}"/>
  <tableColumns count="14">
    <tableColumn id="1" xr3:uid="{A5AA8BC6-4E95-4083-9C3A-E79DEB4F60F3}" name="FECHA PAGO" dataDxfId="1284"/>
    <tableColumn id="2" xr3:uid="{D5F5F65F-0443-4055-AFF0-97DD2384A1B4}" name="MONTO" dataDxfId="1283"/>
    <tableColumn id="3" xr3:uid="{9EEF066E-7FBA-4140-A085-F13787E32DBE}" name="MES DEL SERVICIO" dataDxfId="1282"/>
    <tableColumn id="4" xr3:uid="{B928FECA-3308-4DA2-A9D4-4A2CE8665B46}" name="FECHA DE SERVICIO" dataDxfId="1281"/>
    <tableColumn id="5" xr3:uid="{30FEC4FE-4BCE-4B18-B6B7-D6FE38CF87A9}" name="DESCRIPCIÓN" dataDxfId="1280"/>
    <tableColumn id="6" xr3:uid="{E92E6B46-821F-4E4C-9E70-6E654452A96B}" name="FORMA DE PAGO" dataDxfId="1279"/>
    <tableColumn id="7" xr3:uid="{FFD5C331-5F50-41D1-BA05-154F199DAAE7}" name="N° SERVICIO" dataDxfId="1278"/>
    <tableColumn id="8" xr3:uid="{714D213F-6BE9-48BE-A509-FC45ED51D7CE}" name="N° FACTURA" dataDxfId="1277"/>
    <tableColumn id="9" xr3:uid="{4D102BD9-1F53-41B6-A529-3AD0E8C72FD6}" name="N° CONTRATO " dataDxfId="1276"/>
    <tableColumn id="10" xr3:uid="{4AC08CA3-7DFC-4BD3-A3AD-C9FAF2FACDD8}" name="N° MANIFIESTO" dataDxfId="1275"/>
    <tableColumn id="13" xr3:uid="{B4DD5C6E-E96D-4869-94B5-A19B498294E6}" name="Columna2" dataDxfId="1274"/>
    <tableColumn id="11" xr3:uid="{D765C8B8-EC9B-4930-BC68-4B16C3FE01DF}" name="OBSERVACIÓN" dataDxfId="1273"/>
    <tableColumn id="12" xr3:uid="{020AF868-73A5-4ABD-8D1A-0F0BFAAC011A}" name="Columna1" dataDxfId="1272"/>
    <tableColumn id="14" xr3:uid="{4ED4676B-4DF7-44E6-8A09-AA26629CE667}" name="Columna12" dataDxfId="1271"/>
  </tableColumns>
  <tableStyleInfo name="TableStyleLight1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2ACFAB7-8A23-4DC1-889F-617C46C7E698}" name="Table3747" displayName="Table3747" ref="A6:L23" totalsRowShown="0" headerRowDxfId="1270" dataDxfId="1269" headerRowBorderDxfId="1267" tableBorderDxfId="1268">
  <autoFilter ref="A6:L23" xr:uid="{C62226C4-56FD-457B-8B99-B6A6A9251454}"/>
  <tableColumns count="12">
    <tableColumn id="1" xr3:uid="{09419B61-4EFD-48E7-BB5A-0F1DDD737912}" name="FECHA PAGO" dataDxfId="1266"/>
    <tableColumn id="2" xr3:uid="{13DC3F52-F1EF-4A13-B695-355EF89BBC94}" name="MONTO" dataDxfId="1265"/>
    <tableColumn id="3" xr3:uid="{6A3F4119-B83A-4F64-80C1-ED4A35339131}" name="MES DEL SERVICIO" dataDxfId="1264"/>
    <tableColumn id="4" xr3:uid="{F8590F79-85A3-4BD0-B56F-C5F500601062}" name="FECHA DE SERVICIO" dataDxfId="1263"/>
    <tableColumn id="5" xr3:uid="{5D76CFA3-D3DA-4C2D-A4FE-BEC37E6D23DE}" name="DESCRIPCIÓN" dataDxfId="1262"/>
    <tableColumn id="6" xr3:uid="{746172FD-C1F1-451E-A686-B41D95230300}" name="FORMA DE PAGO" dataDxfId="1261"/>
    <tableColumn id="7" xr3:uid="{E3EEAA1D-BEC8-4952-9748-8ACE880841D0}" name="N° SERVICIO" dataDxfId="1260"/>
    <tableColumn id="8" xr3:uid="{BDED4A0A-E422-4FA1-8056-D8ABB73B776D}" name="N° FACTURA" dataDxfId="1259"/>
    <tableColumn id="9" xr3:uid="{D1527821-4344-42D3-85EC-D85F290672B1}" name="N° CONTRATO " dataDxfId="1258"/>
    <tableColumn id="10" xr3:uid="{6B539BA7-208D-4261-884B-BED2FC36F113}" name="N° MANIFIESTO" dataDxfId="1257"/>
    <tableColumn id="11" xr3:uid="{F44BEC73-DD95-4FB4-850E-17724B358CA7}" name="OBSERVACIÓN" dataDxfId="1256"/>
    <tableColumn id="12" xr3:uid="{8ABE3499-E635-40E1-B8A5-E78E34701AA4}" name="Columna1" dataDxfId="1255"/>
  </tableColumns>
  <tableStyleInfo name="TableStyleLight1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a35678910111415181319" displayName="Tabla35678910111415181319" ref="A6:K20" totalsRowShown="0" headerRowDxfId="1254" dataDxfId="1253" headerRowBorderDxfId="1251" tableBorderDxfId="1252">
  <autoFilter ref="A6:K20" xr:uid="{00000000-0009-0000-0100-000026000000}"/>
  <tableColumns count="11">
    <tableColumn id="1" xr3:uid="{00000000-0010-0000-2500-000001000000}" name="FECHA PAGO" dataDxfId="1250"/>
    <tableColumn id="2" xr3:uid="{00000000-0010-0000-2500-000002000000}" name="MONTO" dataDxfId="1249"/>
    <tableColumn id="3" xr3:uid="{00000000-0010-0000-2500-000003000000}" name="MES DEL SERVICIO" dataDxfId="1248"/>
    <tableColumn id="4" xr3:uid="{00000000-0010-0000-2500-000004000000}" name="FECHA DE SERVICIO" dataDxfId="1247"/>
    <tableColumn id="5" xr3:uid="{00000000-0010-0000-2500-000005000000}" name="DESCRIPCIÓN" dataDxfId="1246"/>
    <tableColumn id="6" xr3:uid="{00000000-0010-0000-2500-000006000000}" name="FORMA DE PAGO" dataDxfId="1245"/>
    <tableColumn id="7" xr3:uid="{00000000-0010-0000-2500-000007000000}" name="N° SERVICIO" dataDxfId="1244"/>
    <tableColumn id="8" xr3:uid="{00000000-0010-0000-2500-000008000000}" name="N° FACTURA" dataDxfId="1243"/>
    <tableColumn id="9" xr3:uid="{00000000-0010-0000-2500-000009000000}" name="N° CONTRATO " dataDxfId="1242"/>
    <tableColumn id="10" xr3:uid="{00000000-0010-0000-2500-00000A000000}" name="N° MANIFIESTO" dataDxfId="1241"/>
    <tableColumn id="11" xr3:uid="{00000000-0010-0000-2500-00000B000000}" name="OBSERVACIÓN" dataDxfId="1240"/>
  </tableColumns>
  <tableStyleInfo name="TableStyleLight18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a3567891011141518132223" displayName="Tabla3567891011141518132223" ref="A6:O95" totalsRowShown="0" headerRowDxfId="1239" dataDxfId="1238" headerRowBorderDxfId="1236" tableBorderDxfId="1237">
  <autoFilter ref="A6:O95" xr:uid="{00000000-0009-0000-0100-000028000000}"/>
  <tableColumns count="15">
    <tableColumn id="1" xr3:uid="{00000000-0010-0000-2700-000001000000}" name="FECHA PAGO" dataDxfId="1235"/>
    <tableColumn id="2" xr3:uid="{00000000-0010-0000-2700-000002000000}" name="MONTO" dataDxfId="1234"/>
    <tableColumn id="3" xr3:uid="{00000000-0010-0000-2700-000003000000}" name="MES DEL SERVICIO" dataDxfId="1233"/>
    <tableColumn id="4" xr3:uid="{00000000-0010-0000-2700-000004000000}" name="FECHA DE SERVICIO" dataDxfId="1232"/>
    <tableColumn id="5" xr3:uid="{00000000-0010-0000-2700-000005000000}" name="DESCRIPCIÓN" dataDxfId="1231"/>
    <tableColumn id="6" xr3:uid="{00000000-0010-0000-2700-000006000000}" name="FORMA DE PAGO" dataDxfId="1230"/>
    <tableColumn id="7" xr3:uid="{00000000-0010-0000-2700-000007000000}" name="N° SERVICIO" dataDxfId="1229"/>
    <tableColumn id="8" xr3:uid="{00000000-0010-0000-2700-000008000000}" name="N° FACTURA" dataDxfId="1228"/>
    <tableColumn id="9" xr3:uid="{00000000-0010-0000-2700-000009000000}" name="N° CONTRATO " dataDxfId="1227"/>
    <tableColumn id="10" xr3:uid="{00000000-0010-0000-2700-00000A000000}" name="N° MANIFIESTO" dataDxfId="1226"/>
    <tableColumn id="14" xr3:uid="{D69FEE12-1958-4336-92DD-DB7AF5573CD0}" name="Columna3" dataDxfId="1225"/>
    <tableColumn id="11" xr3:uid="{00000000-0010-0000-2700-00000B000000}" name="OBSERVACIÓN" dataDxfId="1224"/>
    <tableColumn id="12" xr3:uid="{975AD041-346B-4F42-A1D5-DFAF1E79058D}" name="Columna1" dataDxfId="1223"/>
    <tableColumn id="13" xr3:uid="{3C5608C6-63FA-4479-850C-D3A725857D58}" name="Columna2" dataDxfId="1222"/>
    <tableColumn id="15" xr3:uid="{6060963B-D9BA-4F22-901D-DA97CFD67FFD}" name="Columna22" dataDxfId="1221"/>
  </tableColumns>
  <tableStyleInfo name="TableStyleLight20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a35678910111415181322" displayName="Tabla35678910111415181322" ref="A6:O99" totalsRowShown="0" headerRowDxfId="1220" dataDxfId="1219" headerRowBorderDxfId="1217" tableBorderDxfId="1218">
  <autoFilter ref="A6:O99" xr:uid="{00000000-0009-0000-0100-000027000000}"/>
  <tableColumns count="15">
    <tableColumn id="1" xr3:uid="{00000000-0010-0000-2600-000001000000}" name="FECHA PAGO" dataDxfId="1216"/>
    <tableColumn id="2" xr3:uid="{00000000-0010-0000-2600-000002000000}" name="MONTO" dataDxfId="1215"/>
    <tableColumn id="3" xr3:uid="{00000000-0010-0000-2600-000003000000}" name="MES DEL SERVICIO" dataDxfId="1214"/>
    <tableColumn id="4" xr3:uid="{00000000-0010-0000-2600-000004000000}" name="FECHA DE SERVICIO" dataDxfId="1213"/>
    <tableColumn id="5" xr3:uid="{00000000-0010-0000-2600-000005000000}" name="DESCRIPCIÓN" dataDxfId="1212"/>
    <tableColumn id="6" xr3:uid="{00000000-0010-0000-2600-000006000000}" name="FORMA DE PAGO" dataDxfId="1211"/>
    <tableColumn id="7" xr3:uid="{00000000-0010-0000-2600-000007000000}" name="N° SERVICIO" dataDxfId="1210"/>
    <tableColumn id="8" xr3:uid="{00000000-0010-0000-2600-000008000000}" name="N° FACTURA" dataDxfId="1209"/>
    <tableColumn id="9" xr3:uid="{00000000-0010-0000-2600-000009000000}" name="N° CONTRATO " dataDxfId="1208"/>
    <tableColumn id="10" xr3:uid="{00000000-0010-0000-2600-00000A000000}" name="N° MANIFIESTO" dataDxfId="1207"/>
    <tableColumn id="14" xr3:uid="{9150924A-C5C7-4065-9AE3-B7857B1A7E23}" name="Columna3" dataDxfId="1206"/>
    <tableColumn id="11" xr3:uid="{00000000-0010-0000-2600-00000B000000}" name="OBSERVACIÓN" dataDxfId="1205"/>
    <tableColumn id="12" xr3:uid="{7BAE7E0E-E905-44A7-870C-67B87CC37506}" name="Columna1" dataDxfId="1204"/>
    <tableColumn id="13" xr3:uid="{03E4B1F8-EF00-4AF2-A91C-0F1E0037753C}" name="Columna2" dataDxfId="1203"/>
    <tableColumn id="15" xr3:uid="{48425959-6762-49CD-9C52-99A6E9E2938E}" name="Columna22" dataDxfId="1202"/>
  </tableColumns>
  <tableStyleInfo name="TableStyleLight1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a356789101114151813222324" displayName="Tabla356789101114151813222324" ref="A6:N50" totalsRowShown="0" headerRowDxfId="1201" dataDxfId="1200" headerRowBorderDxfId="1198" tableBorderDxfId="1199">
  <autoFilter ref="A6:N50" xr:uid="{00000000-0009-0000-0100-000029000000}"/>
  <tableColumns count="14">
    <tableColumn id="1" xr3:uid="{00000000-0010-0000-2800-000001000000}" name="FECHA PAGO" dataDxfId="1197"/>
    <tableColumn id="2" xr3:uid="{00000000-0010-0000-2800-000002000000}" name="MONTO" dataDxfId="1196"/>
    <tableColumn id="3" xr3:uid="{00000000-0010-0000-2800-000003000000}" name="MES DEL SERVICIO" dataDxfId="1195"/>
    <tableColumn id="4" xr3:uid="{00000000-0010-0000-2800-000004000000}" name="FECHA DE SERVICIO" dataDxfId="1194"/>
    <tableColumn id="5" xr3:uid="{00000000-0010-0000-2800-000005000000}" name="DESCRIPCIÓN" dataDxfId="1193"/>
    <tableColumn id="6" xr3:uid="{00000000-0010-0000-2800-000006000000}" name="FORMA DE PAGO" dataDxfId="1192"/>
    <tableColumn id="7" xr3:uid="{00000000-0010-0000-2800-000007000000}" name="N° SERVICIO" dataDxfId="1191"/>
    <tableColumn id="8" xr3:uid="{00000000-0010-0000-2800-000008000000}" name="N° FACTURA" dataDxfId="1190"/>
    <tableColumn id="9" xr3:uid="{00000000-0010-0000-2800-000009000000}" name="N° CONTRATO " dataDxfId="1189"/>
    <tableColumn id="10" xr3:uid="{00000000-0010-0000-2800-00000A000000}" name="N° MANIFIESTO" dataDxfId="1188"/>
    <tableColumn id="13" xr3:uid="{1E744CFE-4280-4457-B7B9-4E80ADBCDB67}" name="Columna1" dataDxfId="1187"/>
    <tableColumn id="11" xr3:uid="{00000000-0010-0000-2800-00000B000000}" name="OBSERVACIÓN" dataDxfId="1186"/>
    <tableColumn id="12" xr3:uid="{9AD3C238-9ACE-4AF1-8CAB-00DCFFC9F8AB}" name="san " dataDxfId="1185"/>
    <tableColumn id="14" xr3:uid="{8EF2EE22-339F-4E3D-A61F-3B90FE054C37}" name="Columna2" dataDxfId="1184"/>
  </tableColumns>
  <tableStyleInfo name="TableStyleLight2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98AEC4A-A437-435C-8E7F-8993D97C54F0}" name="Tabla232528293027323335161718211922232425262728293031363738394041424344454647484950515253545556575859606162636465666768697071747576777879808281838485878891929394959697989910010110210310410510610710810911011111211311411511611711811912012112212312212412752" displayName="Tabla232528293027323335161718211922232425262728293031363738394041424344454647484950515253545556575859606162636465666768697071747576777879808281838485878891929394959697989910010110210310410510610710810911011111211311411511611711811912012112212312212412752" ref="A9:L30" totalsRowShown="0" headerRowDxfId="1183" dataDxfId="1182" headerRowBorderDxfId="1180" tableBorderDxfId="1181">
  <autoFilter ref="A9:L30" xr:uid="{098AEC4A-A437-435C-8E7F-8993D97C54F0}"/>
  <tableColumns count="12">
    <tableColumn id="1" xr3:uid="{D9B72A9C-FC3A-405E-918C-0C17201776E8}" name="FECHA PAGO" dataDxfId="1179"/>
    <tableColumn id="2" xr3:uid="{E92AACDF-CD72-4E76-B772-912C4D14449C}" name="MONTO" dataDxfId="1178"/>
    <tableColumn id="3" xr3:uid="{9D00A6AB-0A29-43AB-99E1-87E075086144}" name="MES DEL SERVICIO" dataDxfId="1177"/>
    <tableColumn id="4" xr3:uid="{B97E6C83-8653-4238-B0EE-290419FFFB7F}" name="FECHA DE SERVICIO" dataDxfId="1176"/>
    <tableColumn id="5" xr3:uid="{176FBEB1-5891-4CE7-90B7-A257A9A92B94}" name="DESCRIPCIÓN" dataDxfId="1175"/>
    <tableColumn id="6" xr3:uid="{6DE2E96D-E8DF-453B-BE50-B2E91190BBD7}" name="FORMA DE PAGO" dataDxfId="1174"/>
    <tableColumn id="7" xr3:uid="{7A6E5DF0-2F3E-47E8-A854-EB8B1578E3B9}" name="N° SERVICIO" dataDxfId="1173"/>
    <tableColumn id="8" xr3:uid="{7BCA7066-E9C2-4379-8EF1-3D1C77D33F6D}" name="N° FACTURA" dataDxfId="1172"/>
    <tableColumn id="9" xr3:uid="{076907EC-E7DB-494F-ABB6-DD9CAD147444}" name="N° CONTRATO " dataDxfId="1171"/>
    <tableColumn id="10" xr3:uid="{4D559DA0-7919-468B-AD00-A4176441839B}" name="N° MANIFIESTO" dataDxfId="1170"/>
    <tableColumn id="11" xr3:uid="{ECA2AEE0-92F7-4483-BEF3-36AFB2552F97}" name="OBSERVACIÓN" dataDxfId="1169"/>
    <tableColumn id="12" xr3:uid="{50C9E923-1364-44E6-A5AD-F72319C94AC5}" name="Columna1" dataDxfId="1168"/>
  </tableColumns>
  <tableStyleInfo name="TableStyleMedium1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F00809D-537A-487D-893C-A770103F0F22}" name="Tabla232528293027323335161718211922232425262728293031363738394041424344454647484950515253545556575859606162636465666768697071747576777879808281838485878891929394959697989910010110210310410510610710810911011111211311411511611711811912012112212312212412753" displayName="Tabla232528293027323335161718211922232425262728293031363738394041424344454647484950515253545556575859606162636465666768697071747576777879808281838485878891929394959697989910010110210310410510610710810911011111211311411511611711811912012112212312212412753" ref="A9:L30" totalsRowShown="0" headerRowDxfId="1167" dataDxfId="1166" headerRowBorderDxfId="1164" tableBorderDxfId="1165">
  <autoFilter ref="A9:L30" xr:uid="{AF00809D-537A-487D-893C-A770103F0F22}"/>
  <tableColumns count="12">
    <tableColumn id="1" xr3:uid="{7A7876F0-1E6E-4943-9037-F48183DD3F0D}" name="FECHA PAGO" dataDxfId="1163"/>
    <tableColumn id="2" xr3:uid="{13E40B98-8198-416A-8BA3-3195A2D9D934}" name="MONTO" dataDxfId="1162"/>
    <tableColumn id="3" xr3:uid="{13FFC0D0-9211-49A5-94C9-71B48CBC4F47}" name="MES DEL SERVICIO" dataDxfId="1161"/>
    <tableColumn id="4" xr3:uid="{BB558BBD-933C-41D5-8EA2-43423DA14D0C}" name="FECHA DE SERVICIO" dataDxfId="1160"/>
    <tableColumn id="5" xr3:uid="{26B56120-E757-4533-B08C-27237D41CC4E}" name="DESCRIPCIÓN" dataDxfId="1159"/>
    <tableColumn id="6" xr3:uid="{8C1A3666-ECED-4260-B49F-81CBBB5590BB}" name="FORMA DE PAGO" dataDxfId="1158"/>
    <tableColumn id="7" xr3:uid="{2FBBD759-BBBF-4132-819D-3093A47D2114}" name="N° SERVICIO" dataDxfId="1157"/>
    <tableColumn id="8" xr3:uid="{BF72E4D1-B457-4C83-B555-7437645AD9F5}" name="N° FACTURA" dataDxfId="1156"/>
    <tableColumn id="9" xr3:uid="{701CEB30-6327-4F0B-A116-2C165D2EE4E4}" name="N° CONTRATO " dataDxfId="1155"/>
    <tableColumn id="10" xr3:uid="{4DB06DCE-3973-4F08-91C8-79882EA6BD7B}" name="N° MANIFIESTO" dataDxfId="1154"/>
    <tableColumn id="11" xr3:uid="{81F77D04-8163-4FA3-B877-EDC0DC9DFAF1}" name="KILOS " dataDxfId="1153"/>
    <tableColumn id="12" xr3:uid="{BBF4DC53-4995-4B11-A33E-B1E81C945C98}" name="NUMERO DE GUIA " dataDxfId="1152"/>
  </tableColumns>
  <tableStyleInfo name="TableStyleMedium1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DBD53B0-078D-4284-978B-49417356E277}" name="Tabla232528293027323335161718211922232425262728293031363738394041424344454647484950515253545556575859606162636465666768697071747576777879808281838485878891929394959697989910010110210310410510610710810911011111211311411511611711811912012112212312212412748" displayName="Tabla232528293027323335161718211922232425262728293031363738394041424344454647484950515253545556575859606162636465666768697071747576777879808281838485878891929394959697989910010110210310410510610710810911011111211311411511611711811912012112212312212412748" ref="A9:L32" totalsRowShown="0" headerRowDxfId="1151" dataDxfId="1150" headerRowBorderDxfId="1148" tableBorderDxfId="1149">
  <autoFilter ref="A9:L32" xr:uid="{EDBD53B0-078D-4284-978B-49417356E277}"/>
  <tableColumns count="12">
    <tableColumn id="1" xr3:uid="{E90D9683-DF55-4193-8E68-7FFE1D971837}" name="FECHA PAGO" dataDxfId="1147"/>
    <tableColumn id="2" xr3:uid="{197A7DDE-7B1F-4194-8A83-560004D7420F}" name="MONTO" dataDxfId="1146"/>
    <tableColumn id="3" xr3:uid="{56F9EB05-A15A-4698-925E-A8A404F88615}" name="MES DEL SERVICIO" dataDxfId="1145"/>
    <tableColumn id="4" xr3:uid="{C81D1920-259B-4DAD-8D28-3A9A369DE61A}" name="FECHA DE SERVICIO" dataDxfId="1144"/>
    <tableColumn id="5" xr3:uid="{E787550A-33FB-4435-BB1E-80B901EE4800}" name="DESCRIPCIÓN" dataDxfId="1143"/>
    <tableColumn id="6" xr3:uid="{8592DF5F-FB49-4306-AAC8-8A7BAEEAE6BF}" name="FORMA DE PAGO" dataDxfId="1142"/>
    <tableColumn id="7" xr3:uid="{209BF23A-192D-4CA1-92A3-883CAA2EF08A}" name="N° SERVICIO" dataDxfId="1141"/>
    <tableColumn id="8" xr3:uid="{3AABE6C1-BA67-4A01-9B40-6BF958D72547}" name="N° FACTURA" dataDxfId="1140"/>
    <tableColumn id="9" xr3:uid="{9FB9B97D-8FB1-4FCE-B55B-D40E7BA987DD}" name="N° CONTRATO " dataDxfId="1139"/>
    <tableColumn id="10" xr3:uid="{DAB7BC55-8D2C-4E75-867F-48CEF2198DF5}" name="N° MANIFIESTO" dataDxfId="1138"/>
    <tableColumn id="11" xr3:uid="{3EC87D4F-FAAD-49EA-8F8C-3881F1A452D2}" name="OBSERVACIÓN" dataDxfId="1137"/>
    <tableColumn id="12" xr3:uid="{D572AA58-E4FC-4E3F-A2E9-73E511680D73}" name="Columna1" dataDxfId="1136"/>
  </tableColumns>
  <tableStyleInfo name="TableStyleMedium1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ECDBAADF-10B4-48B0-8E5C-D41947EC6452}" name="Tabla232528293027323335161718211922232425262728293031363738394041424344454647484950515253545556575859606162636465666768697071747576777879808281838485878891929394959697989910010110210310410510610710810911011111211311411511611711811912012112212312212412724" displayName="Tabla232528293027323335161718211922232425262728293031363738394041424344454647484950515253545556575859606162636465666768697071747576777879808281838485878891929394959697989910010110210310410510610710810911011111211311411511611711811912012112212312212412724" ref="A9:K30" totalsRowShown="0" headerRowDxfId="1135" dataDxfId="1134" headerRowBorderDxfId="1132" tableBorderDxfId="1133">
  <autoFilter ref="A9:K30" xr:uid="{ECDBAADF-10B4-48B0-8E5C-D41947EC6452}"/>
  <tableColumns count="11">
    <tableColumn id="1" xr3:uid="{C9E661FE-686C-4B0A-8287-78CB73A121EA}" name="FECHA PAGO" dataDxfId="1131"/>
    <tableColumn id="2" xr3:uid="{6968FA3F-E4C0-49F5-A6DD-A168CC068D99}" name="MONTO" dataDxfId="1130"/>
    <tableColumn id="3" xr3:uid="{ED9D8C31-39BA-4ADD-9A25-4C8CC560332D}" name="MES DEL SERVICIO" dataDxfId="1129"/>
    <tableColumn id="4" xr3:uid="{D66D7837-2D36-452D-B3BC-EDE79A4EA252}" name="FECHA DE SERVICIO" dataDxfId="1128"/>
    <tableColumn id="5" xr3:uid="{A399BF0A-9553-4502-9D3D-BECCE101B517}" name="DESCRIPCIÓN" dataDxfId="1127"/>
    <tableColumn id="6" xr3:uid="{6C93C78C-3EA8-4FA5-A9BE-E917AE8376CA}" name="FORMA DE PAGO" dataDxfId="1126"/>
    <tableColumn id="7" xr3:uid="{E74F292E-262F-4C34-B88D-31FD8D6EB42A}" name="N° SERVICIO" dataDxfId="1125"/>
    <tableColumn id="8" xr3:uid="{A783734B-580C-450A-BA66-7F99A89BE890}" name="N° FACTURA" dataDxfId="1124"/>
    <tableColumn id="9" xr3:uid="{0DFECDBF-D82A-4A8D-868B-C9D6836D7C54}" name="N° CONTRATO " dataDxfId="1123"/>
    <tableColumn id="10" xr3:uid="{58A961BE-83AE-48E2-A4D3-871E2E3803FC}" name="N° MANIFIESTO" dataDxfId="1122"/>
    <tableColumn id="11" xr3:uid="{5A52D3D6-677B-475D-832D-CE006E68996E}" name="OBSERVACIÓN" dataDxfId="1121"/>
  </tableColumns>
  <tableStyleInfo name="TableStyleMedium1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7B9640CB-072D-4D32-95CE-95CD920AC986}" name="Tabla232528293027323335161718211922232425262728293031363738394041424344454647484950515253545556575859606162636465666768697071747576777879808281838485878891929394959697989910010110210310410510610710810911011111211311411511611711811912012112212312212412754" displayName="Tabla232528293027323335161718211922232425262728293031363738394041424344454647484950515253545556575859606162636465666768697071747576777879808281838485878891929394959697989910010110210310410510610710810911011111211311411511611711811912012112212312212412754" ref="A9:M93" totalsRowShown="0" headerRowDxfId="1120" dataDxfId="1119" headerRowBorderDxfId="1117" tableBorderDxfId="1118">
  <autoFilter ref="A9:M93" xr:uid="{ECDBAADF-10B4-48B0-8E5C-D41947EC6452}"/>
  <tableColumns count="13">
    <tableColumn id="1" xr3:uid="{318DA08F-9C15-468F-8D8B-D672FEBB7FF4}" name="FECHA PAGO" dataDxfId="1116"/>
    <tableColumn id="2" xr3:uid="{582C5297-D840-4C4A-9221-72D82C0DC22D}" name="MONTO" dataDxfId="1115"/>
    <tableColumn id="3" xr3:uid="{1B4E70B2-3EAF-42B6-A34D-AAC8EC76DD8C}" name="MES DEL SERVICIO" dataDxfId="1114"/>
    <tableColumn id="4" xr3:uid="{3472E3DB-6CBF-412B-B267-3A8AAE3FB77C}" name="FECHA DE SERVICIO" dataDxfId="1113"/>
    <tableColumn id="5" xr3:uid="{B05801BC-6E88-4651-A767-B1953D6B1732}" name="DESCRIPCIÓN" dataDxfId="1112"/>
    <tableColumn id="6" xr3:uid="{96B021CD-DD90-4836-96C0-C6B33E9F3F91}" name="FORMA DE PAGO" dataDxfId="1111"/>
    <tableColumn id="7" xr3:uid="{EBE234B5-793E-4659-A7E0-D2D19B1D74C5}" name="kilos" dataDxfId="1110"/>
    <tableColumn id="8" xr3:uid="{87206362-A74D-46B8-A6E8-5BC33DCA6190}" name="N° FACTURA" dataDxfId="1109"/>
    <tableColumn id="9" xr3:uid="{BF170EFF-8A5C-43C6-A940-2A3CC873BEF1}" name="N° CONTRATO " dataDxfId="1108"/>
    <tableColumn id="10" xr3:uid="{8214D591-2234-4852-BCE9-6B00C65F3483}" name="N° MANIFIESTO" dataDxfId="1107"/>
    <tableColumn id="11" xr3:uid="{DD8D00EF-31E1-48F6-9C1A-F5FA31D86A87}" name="OBSERVACIÓN" dataDxfId="1106"/>
    <tableColumn id="12" xr3:uid="{B9084B34-0F90-4741-A01C-6BB50D0D7BE2}" name="Columna1" dataDxfId="1105"/>
    <tableColumn id="13" xr3:uid="{D3A8EDA6-1EC6-4480-BFF6-73421E70F65E}" name="Columna2" dataDxfId="1104"/>
  </tableColumns>
  <tableStyleInfo name="TableStyleMedium1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7FD9EDAD-0C34-4F3A-8A78-541541410F30}" name="Tabla232528293027323335161718211922232425262728293031363738394041424344454647484950515253545556575859606162636465666768697071747576777879808281838485878891929394959697989910010110210310410510610710810911011111211311411511611711811912012112212312212412755" displayName="Tabla232528293027323335161718211922232425262728293031363738394041424344454647484950515253545556575859606162636465666768697071747576777879808281838485878891929394959697989910010110210310410510610710810911011111211311411511611711811912012112212312212412755" ref="A9:K30" totalsRowShown="0" headerRowDxfId="1103" dataDxfId="1102" headerRowBorderDxfId="1100" tableBorderDxfId="1101">
  <autoFilter ref="A9:K30" xr:uid="{ECDBAADF-10B4-48B0-8E5C-D41947EC6452}"/>
  <tableColumns count="11">
    <tableColumn id="1" xr3:uid="{961C9647-BCEC-45F3-94ED-466FCA41A1C2}" name="FECHA PAGO" dataDxfId="1099"/>
    <tableColumn id="2" xr3:uid="{2DE4F09D-2CC3-49CA-96B5-0C931EF2CA46}" name="MONTO" dataDxfId="1098"/>
    <tableColumn id="3" xr3:uid="{C5C03297-582F-4CC1-A4EC-35EB92E61569}" name="MES DEL SERVICIO" dataDxfId="1097"/>
    <tableColumn id="4" xr3:uid="{663CB106-2090-4757-9617-E3734FE8C164}" name="FECHA DE SERVICIO" dataDxfId="1096"/>
    <tableColumn id="5" xr3:uid="{20F8BFB2-3A4A-4427-9060-E783B6148431}" name="DESCRIPCIÓN" dataDxfId="1095"/>
    <tableColumn id="6" xr3:uid="{312B48FE-C06A-4985-9533-A52231DACCBF}" name="FORMA DE PAGO" dataDxfId="1094"/>
    <tableColumn id="7" xr3:uid="{A883E0A1-88CA-4E18-9341-EEBC74C3BF31}" name="N° SERVICIO" dataDxfId="1093"/>
    <tableColumn id="8" xr3:uid="{9088148B-5988-4F30-834D-CE780CC25FE6}" name="N° FACTURA" dataDxfId="1092"/>
    <tableColumn id="9" xr3:uid="{5009EAE9-4DF9-47D8-87B1-C3F8965FCE70}" name="N° CONTRATO " dataDxfId="1091"/>
    <tableColumn id="10" xr3:uid="{EB7C7159-B9B1-42F9-B0FB-BBD2BAED5268}" name="N° MANIFIESTO" dataDxfId="1090"/>
    <tableColumn id="11" xr3:uid="{D65EEB66-67DD-4983-89F1-43108C316541}" name="OBSERVACIÓN" dataDxfId="1089"/>
  </tableColumns>
  <tableStyleInfo name="TableStyleMedium1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F3F99787-1E46-441E-9634-A1DCC8ABEAA7}" name="Tabla232528293027323335161718211922232425262728293031363738394041424344454647484950515253545556575859606162636465666768697071747576777879808281838485878891929394959697989910010110210310410510610710810911011111211311411511611711811912012112212312212412756" displayName="Tabla232528293027323335161718211922232425262728293031363738394041424344454647484950515253545556575859606162636465666768697071747576777879808281838485878891929394959697989910010110210310410510610710810911011111211311411511611711811912012112212312212412756" ref="A9:K30" totalsRowShown="0" headerRowDxfId="1088" dataDxfId="1087" headerRowBorderDxfId="1085" tableBorderDxfId="1086">
  <autoFilter ref="A9:K30" xr:uid="{ECDBAADF-10B4-48B0-8E5C-D41947EC6452}"/>
  <tableColumns count="11">
    <tableColumn id="1" xr3:uid="{C72EAD78-2451-4A4C-90AF-E702FD3A310B}" name="FECHA PAGO" dataDxfId="1084"/>
    <tableColumn id="2" xr3:uid="{0E3E0542-6586-4898-B38D-D3BB02C91CC6}" name="MONTO" dataDxfId="1083"/>
    <tableColumn id="3" xr3:uid="{B4AA6D5E-648D-4CAA-9FBD-B9FE67FC2C38}" name="MES DEL SERVICIO" dataDxfId="1082"/>
    <tableColumn id="4" xr3:uid="{9A2CE73A-9DF7-4458-8EAB-8E67111BFE1A}" name="FECHA DE SERVICIO" dataDxfId="1081"/>
    <tableColumn id="5" xr3:uid="{9BB6F839-AC4B-484D-A9B6-EE2B9CEDC63C}" name="DESCRIPCIÓN" dataDxfId="1080"/>
    <tableColumn id="6" xr3:uid="{67EC2A3A-2A96-4403-AA2A-DFD9746CB085}" name="FORMA DE PAGO" dataDxfId="1079"/>
    <tableColumn id="7" xr3:uid="{F4DFE4C0-7630-4AD4-82BC-A81E2F9E09E8}" name="N° SERVICIO" dataDxfId="1078"/>
    <tableColumn id="8" xr3:uid="{987A0522-3961-42EC-87FC-EB6C9986EBC9}" name="N° FACTURA" dataDxfId="1077"/>
    <tableColumn id="9" xr3:uid="{155E2AAE-5E7E-46FB-BEE7-D60E0DFF1D56}" name="N° CONTRATO " dataDxfId="1076"/>
    <tableColumn id="10" xr3:uid="{7D623FFD-08CD-46EE-A074-7DC78D7A9CEE}" name="N° MANIFIESTO" dataDxfId="1075"/>
    <tableColumn id="11" xr3:uid="{C11544F8-75F5-4CDE-B23A-FC524D809C05}" name="OBSERVACIÓN" dataDxfId="1074"/>
  </tableColumns>
  <tableStyleInfo name="TableStyleMedium1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F0185E74-6E12-4B35-8776-C8F47B9A2DA8}" name="Tabla232528293027323335161718211922232425262728293031363738394041424344454647484950515253545556575859606162636465666768697071747576777879808281838485878891929394959697989910010110210310410510610710810911011111211311411511611711811912012112212312212412865" displayName="Tabla232528293027323335161718211922232425262728293031363738394041424344454647484950515253545556575859606162636465666768697071747576777879808281838485878891929394959697989910010110210310410510610710810911011111211311411511611711811912012112212312212412865" ref="A9:L30" totalsRowShown="0" headerRowDxfId="1073" dataDxfId="1072" headerRowBorderDxfId="1070" tableBorderDxfId="1071">
  <autoFilter ref="A9:L30" xr:uid="{F0185E74-6E12-4B35-8776-C8F47B9A2DA8}"/>
  <tableColumns count="12">
    <tableColumn id="1" xr3:uid="{BC8EE6CC-E853-4219-9601-1CD9E9F423D0}" name="FECHA PAGO" dataDxfId="1069"/>
    <tableColumn id="2" xr3:uid="{F64E335F-D85F-4008-A35E-4DBDD35A8E79}" name="MONTO" dataDxfId="1068"/>
    <tableColumn id="3" xr3:uid="{A4486ADE-3400-4C89-ADA4-E9D2CFF64736}" name="MES DEL SERVICIO" dataDxfId="1067"/>
    <tableColumn id="4" xr3:uid="{7B49240A-54C5-49B0-8A72-4118247A6997}" name="FECHA DE SERVICIO" dataDxfId="1066"/>
    <tableColumn id="5" xr3:uid="{5C77CB43-0A83-48F5-8FD7-4C9F6F2DD896}" name="DESCRIPCIÓN" dataDxfId="1065"/>
    <tableColumn id="6" xr3:uid="{5FC9A178-8E4F-4EC9-BA96-60468F724B44}" name="FORMA DE PAGO" dataDxfId="1064"/>
    <tableColumn id="7" xr3:uid="{ECC92F83-2442-4AEC-9510-3784D5BDDA6F}" name="N° SERVICIO" dataDxfId="1063"/>
    <tableColumn id="8" xr3:uid="{DC65F616-E234-4712-BB94-9897DCE182DD}" name="N° FACTURA" dataDxfId="1062"/>
    <tableColumn id="9" xr3:uid="{9CF53B54-671B-48D8-8EF3-ECBF8D585FA5}" name="N° CONTRATO " dataDxfId="1061"/>
    <tableColumn id="10" xr3:uid="{0ACA7ACB-8EB1-4B25-B960-8AE7BE35D0BF}" name="N° MANIFIESTO" dataDxfId="1060"/>
    <tableColumn id="11" xr3:uid="{340B3AB9-D6C0-43B9-979E-6CF98B1E3D0F}" name="OBSERVACIÓN" dataDxfId="1059"/>
    <tableColumn id="12" xr3:uid="{A84E4644-FC8E-4CEC-9A63-153F5A7DDA9B}" name="Columna1" dataDxfId="1058"/>
  </tableColumns>
  <tableStyleInfo name="TableStyleMedium1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4E9B7EC-F05D-4A58-8F2D-B57A6C049D65}" name="Tabla232528293027323335161718211922232425262728293031363738394041424344454647484950515253545556575859606162636465666768697071747576777879808281838485878891929394959697989910010110210310410510610710810911011111211311411511611711811912012112212312212412757" displayName="Tabla232528293027323335161718211922232425262728293031363738394041424344454647484950515253545556575859606162636465666768697071747576777879808281838485878891929394959697989910010110210310410510610710810911011111211311411511611711811912012112212312212412757" ref="A9:K30" totalsRowShown="0" headerRowDxfId="1057" dataDxfId="1056" headerRowBorderDxfId="1054" tableBorderDxfId="1055">
  <autoFilter ref="A9:K30" xr:uid="{ECDBAADF-10B4-48B0-8E5C-D41947EC6452}"/>
  <tableColumns count="11">
    <tableColumn id="1" xr3:uid="{C0E3ED52-7D8B-43D2-BF58-6F9A114E0EE2}" name="FECHA PAGO" dataDxfId="1053"/>
    <tableColumn id="2" xr3:uid="{9E19E8BD-686B-4AA5-8BC3-52BAE35F5D7C}" name="MONTO" dataDxfId="1052"/>
    <tableColumn id="3" xr3:uid="{D5DFED30-E857-4E58-BECD-A57E1D3D13D6}" name="MES DEL SERVICIO" dataDxfId="1051"/>
    <tableColumn id="4" xr3:uid="{95672CDB-51C3-486D-80DD-0A4A0BAB275E}" name="FECHA DE SERVICIO" dataDxfId="1050"/>
    <tableColumn id="5" xr3:uid="{7CBB07CA-E1C5-4AE5-B0E3-F606E2505B0A}" name="DESCRIPCIÓN" dataDxfId="1049"/>
    <tableColumn id="6" xr3:uid="{E552DA0C-D3AD-4DEE-AE65-D892AF26E59F}" name="FORMA DE PAGO" dataDxfId="1048"/>
    <tableColumn id="7" xr3:uid="{3DB9715E-5338-4174-9824-B769E7C4BEDD}" name="N° SERVICIO" dataDxfId="1047"/>
    <tableColumn id="8" xr3:uid="{E6960424-B950-4C34-9EB3-1F3DCE089F4C}" name="N° FACTURA" dataDxfId="1046"/>
    <tableColumn id="9" xr3:uid="{CC05C60B-977D-4251-98AF-727E4E03A6CA}" name="N° CONTRATO " dataDxfId="1045"/>
    <tableColumn id="10" xr3:uid="{B7BA92A6-3557-48E3-BBF7-B2103ED88B12}" name="N° MANIFIESTO" dataDxfId="1044"/>
    <tableColumn id="11" xr3:uid="{17980F4D-465E-430C-9469-C58E20D6D39C}" name="GUIA" dataDxfId="1043"/>
  </tableColumns>
  <tableStyleInfo name="TableStyleMedium1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CDDEED3F-9999-4C55-B3BC-A46BAE18B8C3}" name="Tabla232528293027323335161718211922232425262728293031363738394041424344454647484950515253545556575859606162636465666768697071747576777879808281838485878891929394959697989910010110210310410510610710810911011111211311411511611711811912012112212312212412759" displayName="Tabla232528293027323335161718211922232425262728293031363738394041424344454647484950515253545556575859606162636465666768697071747576777879808281838485878891929394959697989910010110210310410510610710810911011111211311411511611711811912012112212312212412759" ref="A9:L30" totalsRowShown="0" headerRowDxfId="1042" dataDxfId="1041" headerRowBorderDxfId="1039" tableBorderDxfId="1040">
  <autoFilter ref="A9:L30" xr:uid="{ECDBAADF-10B4-48B0-8E5C-D41947EC6452}"/>
  <tableColumns count="12">
    <tableColumn id="1" xr3:uid="{14F61429-3DA8-493A-803F-3824088E1915}" name="FECHA PAGO" dataDxfId="1038"/>
    <tableColumn id="2" xr3:uid="{457BCE2A-C4E0-47F3-98AB-906CBA441533}" name="MONTO" dataDxfId="1037"/>
    <tableColumn id="3" xr3:uid="{FF898C0A-C926-4E9E-A278-9F203A3715B8}" name="MES DEL SERVICIO" dataDxfId="1036"/>
    <tableColumn id="4" xr3:uid="{B4A8A607-4AF7-4C6B-B00A-F5B56C317838}" name="FECHA DE SERVICIO" dataDxfId="1035"/>
    <tableColumn id="5" xr3:uid="{D8970CC0-17E9-4709-B23C-22E0D4DEB125}" name="DESCRIPCIÓN" dataDxfId="1034"/>
    <tableColumn id="6" xr3:uid="{093E72EA-1B55-4876-8FFE-171FEB904064}" name="FORMA DE PAGO" dataDxfId="1033"/>
    <tableColumn id="7" xr3:uid="{E1188AC3-E5AA-4279-8453-0437D5192EE0}" name="N° SERVICIO" dataDxfId="1032"/>
    <tableColumn id="8" xr3:uid="{71E5E3BC-3922-40EC-AA2D-12D5B8F974A4}" name="N° FACTURA" dataDxfId="1031"/>
    <tableColumn id="9" xr3:uid="{74917AD7-7A91-498F-A071-1062DE4EDB16}" name="N° CONTRATO " dataDxfId="1030"/>
    <tableColumn id="10" xr3:uid="{027A478F-D9E1-47E2-A1A4-3E9F270A6955}" name="N° MANIFIESTO" dataDxfId="1029"/>
    <tableColumn id="11" xr3:uid="{54C29813-EA25-4365-9E2F-0494BD2B144F}" name="GUIA" dataDxfId="1028"/>
    <tableColumn id="12" xr3:uid="{00E510C0-877D-496C-B43D-91F0961AA654}" name="Columna1" dataDxfId="1027"/>
  </tableColumns>
  <tableStyleInfo name="TableStyleMedium1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65A6E52-B6C9-4F86-8FAC-E8FC9B9A68F8}" name="Tabla232528293027323335161718211922232425262728293031363738394041424344454647484950515253545556575859606162636465666768697071747576777879808281838485878891929394959697989910010110210310410510610710810911011111211311411511611711811912012112212312212412760" displayName="Tabla232528293027323335161718211922232425262728293031363738394041424344454647484950515253545556575859606162636465666768697071747576777879808281838485878891929394959697989910010110210310410510610710810911011111211311411511611711811912012112212312212412760" ref="A9:K30" totalsRowShown="0" headerRowDxfId="1026" dataDxfId="1025" headerRowBorderDxfId="1023" tableBorderDxfId="1024">
  <autoFilter ref="A9:K30" xr:uid="{ECDBAADF-10B4-48B0-8E5C-D41947EC6452}"/>
  <tableColumns count="11">
    <tableColumn id="1" xr3:uid="{571A469A-CE6A-4192-8823-4C647D0AD43C}" name="FECHA PAGO" dataDxfId="1022"/>
    <tableColumn id="2" xr3:uid="{A576696E-EC08-432B-8039-6B46DFC36DE5}" name="MONTO" dataDxfId="1021"/>
    <tableColumn id="3" xr3:uid="{02DEEFCD-C70C-4ED2-A238-B1823B7493EA}" name="MES DEL SERVICIO" dataDxfId="1020"/>
    <tableColumn id="4" xr3:uid="{6F4D892A-5F24-4660-9544-951F7E7C9367}" name="FECHA DE SERVICIO" dataDxfId="1019"/>
    <tableColumn id="5" xr3:uid="{33DEC216-A81B-45E1-8575-51ACCB0AF0CC}" name="DESCRIPCIÓN" dataDxfId="1018"/>
    <tableColumn id="6" xr3:uid="{B6097087-0ACA-482C-80A6-103ABA8D079E}" name="FORMA DE PAGO" dataDxfId="1017"/>
    <tableColumn id="7" xr3:uid="{C0205149-AC5A-432B-AAA4-C6F31329F2BD}" name="N° SERVICIO" dataDxfId="1016"/>
    <tableColumn id="8" xr3:uid="{275F4559-C8A1-482B-AB51-2FA8F97A1455}" name="N° FACTURA" dataDxfId="1015"/>
    <tableColumn id="9" xr3:uid="{CBB8D312-52D7-4B20-9C61-976BEA2EAE79}" name="N° CONTRATO " dataDxfId="1014"/>
    <tableColumn id="10" xr3:uid="{566950D7-2FCC-47ED-8226-4C25D8173EA5}" name="N° MANIFIESTO" dataDxfId="1013"/>
    <tableColumn id="11" xr3:uid="{898E0B45-A99D-4D7B-892D-493F6F39634A}" name="GUIA " dataDxfId="1012"/>
  </tableColumns>
  <tableStyleInfo name="TableStyleMedium1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CA607490-28EF-447B-89CD-741A4E072982}" name="Tabla232528293027323335161718211922232425262728293031363738394041424344454647484950515253545556575859606162636465666768697071747576777879808281838485878891929394959697989910010110210310410510610710810911011111211311411511611711811912012112212312212412761" displayName="Tabla232528293027323335161718211922232425262728293031363738394041424344454647484950515253545556575859606162636465666768697071747576777879808281838485878891929394959697989910010110210310410510610710810911011111211311411511611711811912012112212312212412761" ref="A9:K30" totalsRowShown="0" headerRowDxfId="1011" dataDxfId="1010" headerRowBorderDxfId="1008" tableBorderDxfId="1009">
  <autoFilter ref="A9:K30" xr:uid="{ECDBAADF-10B4-48B0-8E5C-D41947EC6452}"/>
  <tableColumns count="11">
    <tableColumn id="1" xr3:uid="{91751BF9-14BB-4B4B-AB73-CF47CC2C1734}" name="FECHA PAGO" dataDxfId="1007"/>
    <tableColumn id="2" xr3:uid="{6D482248-F2A6-4342-BFD1-6E09A8F53A09}" name="MONTO" dataDxfId="1006"/>
    <tableColumn id="3" xr3:uid="{56755565-F30B-4220-B749-586DBAB47DD7}" name="MES DEL SERVICIO" dataDxfId="1005"/>
    <tableColumn id="4" xr3:uid="{BC348C93-6855-464C-AE41-A543306FFE97}" name="FECHA DE SERVICIO" dataDxfId="1004"/>
    <tableColumn id="5" xr3:uid="{BA65B837-7C46-4CD8-B775-2E14E62E9072}" name="DESCRIPCIÓN" dataDxfId="1003"/>
    <tableColumn id="6" xr3:uid="{80E66A45-977F-4604-88D8-10D828209D0E}" name="FORMA DE PAGO" dataDxfId="1002"/>
    <tableColumn id="7" xr3:uid="{7D638948-CBAA-4D3F-A5B2-B9113D566B4D}" name="N° SERVICIO" dataDxfId="1001"/>
    <tableColumn id="8" xr3:uid="{8FE80F04-A8B2-496A-BDD8-7ACD8EC46536}" name="N° FACTURA" dataDxfId="1000"/>
    <tableColumn id="9" xr3:uid="{1D7322A6-9BCD-4ACE-A143-FD3264A7D271}" name="N° CONTRATO " dataDxfId="999"/>
    <tableColumn id="10" xr3:uid="{59F46A35-7648-46A8-9758-419BF95ECF69}" name="N° MANIFIESTO" dataDxfId="998"/>
    <tableColumn id="11" xr3:uid="{0E008C94-C287-4EC1-876E-BA25896F53F6}" name="GUIA " dataDxfId="997"/>
  </tableColumns>
  <tableStyleInfo name="TableStyleMedium1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63B3142B-1CB0-40D1-A2D6-C231F59231E1}" name="Tabla232528293027323335161718211922232425262728293031363738394041424344454647484950515253545556575859606162636465666768697071747576777879808281838485878891929394959697989910010110210310410510610710810911011111211311411511611711811912012112212312212412762" displayName="Tabla232528293027323335161718211922232425262728293031363738394041424344454647484950515253545556575859606162636465666768697071747576777879808281838485878891929394959697989910010110210310410510610710810911011111211311411511611711811912012112212312212412762" ref="A9:K30" totalsRowShown="0" headerRowDxfId="996" dataDxfId="995" headerRowBorderDxfId="993" tableBorderDxfId="994">
  <autoFilter ref="A9:K30" xr:uid="{ECDBAADF-10B4-48B0-8E5C-D41947EC6452}"/>
  <tableColumns count="11">
    <tableColumn id="1" xr3:uid="{966677B8-A7BC-4FCF-9E56-27CCA1188D1B}" name="FECHA PAGO" dataDxfId="992"/>
    <tableColumn id="2" xr3:uid="{82CFCA78-5A28-4099-9220-661490B19305}" name="MONTO" dataDxfId="991"/>
    <tableColumn id="3" xr3:uid="{DF023871-1C27-402D-866A-E667EFA8C49D}" name="MES DEL SERVICIO" dataDxfId="990"/>
    <tableColumn id="4" xr3:uid="{BAC70E05-033E-4E36-9332-F6324DA19FD6}" name="FECHA DE SERVICIO" dataDxfId="989"/>
    <tableColumn id="5" xr3:uid="{E6697D53-A9FC-413B-AC70-E26D6AC68B24}" name="DESCRIPCIÓN" dataDxfId="988"/>
    <tableColumn id="6" xr3:uid="{8F001B45-2A10-46FA-A4A8-9C98AED06561}" name="FORMA DE PAGO" dataDxfId="987"/>
    <tableColumn id="7" xr3:uid="{B5DBAA2C-131A-4443-8B5F-A75F23C9A21D}" name="N° SERVICIO" dataDxfId="986"/>
    <tableColumn id="8" xr3:uid="{CAD65DC2-0E49-4017-8B38-68B0CA87E499}" name="N° FACTURA" dataDxfId="985"/>
    <tableColumn id="9" xr3:uid="{7A01530E-FCA2-43CF-90FA-E1365594BC5D}" name="N° CONTRATO " dataDxfId="984"/>
    <tableColumn id="10" xr3:uid="{0D0264A6-E66A-4ACA-B73E-E9533089722D}" name="N° MANIFIESTO" dataDxfId="983"/>
    <tableColumn id="11" xr3:uid="{F1632FA9-619F-4D1C-B21E-AB37C57AF520}" name="GUIA " dataDxfId="982"/>
  </tableColumns>
  <tableStyleInfo name="TableStyleMedium1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543D282F-BF3E-47E4-8AAB-F06A044BFD17}" name="Tabla232528293027323335161718211922232425262728293031363738394041424344454647484950515253545556575859606162636465666768697071747576777879808281838485878891929394959697989910010110210310410510610710810911011111211311411511611711811912012112212312212412763" displayName="Tabla232528293027323335161718211922232425262728293031363738394041424344454647484950515253545556575859606162636465666768697071747576777879808281838485878891929394959697989910010110210310410510610710810911011111211311411511611711811912012112212312212412763" ref="A9:K30" totalsRowShown="0" headerRowDxfId="981" dataDxfId="980" headerRowBorderDxfId="978" tableBorderDxfId="979">
  <autoFilter ref="A9:K30" xr:uid="{ECDBAADF-10B4-48B0-8E5C-D41947EC6452}"/>
  <tableColumns count="11">
    <tableColumn id="1" xr3:uid="{75B451EE-C72C-4B24-8526-F1E2DF03C347}" name="FECHA PAGO" dataDxfId="977"/>
    <tableColumn id="2" xr3:uid="{1E34A02B-3E9D-4E74-A464-273B1A21FFF3}" name="MONTO" dataDxfId="976"/>
    <tableColumn id="3" xr3:uid="{314B3A82-E58F-4A84-B5C8-D59A4392BE3D}" name="MES DEL SERVICIO" dataDxfId="975"/>
    <tableColumn id="4" xr3:uid="{E364B1E4-7685-47CA-AF13-E4B63D402E6B}" name="FECHA DE SERVICIO" dataDxfId="974"/>
    <tableColumn id="5" xr3:uid="{748F2858-A33F-458E-A7ED-227DFF792BD7}" name="DESCRIPCIÓN" dataDxfId="973"/>
    <tableColumn id="6" xr3:uid="{0A35850B-A073-4E27-9761-76CF8039188A}" name="FORMA DE PAGO" dataDxfId="972"/>
    <tableColumn id="7" xr3:uid="{48C48A55-FF45-445D-A1AF-741FD22F9068}" name="N° SERVICIO" dataDxfId="971"/>
    <tableColumn id="8" xr3:uid="{B2988199-98B4-4AB1-8D9A-D8C7444480D9}" name="N° FACTURA" dataDxfId="970"/>
    <tableColumn id="9" xr3:uid="{A8646EAF-CF22-44DE-8CFD-3DAEA8E0813E}" name="N° CONTRATO " dataDxfId="969"/>
    <tableColumn id="10" xr3:uid="{F1A61AE6-0BE9-443F-875C-3405985B5A67}" name="N° MANIFIESTO" dataDxfId="968"/>
    <tableColumn id="11" xr3:uid="{CB0BDC20-C557-4C72-B89C-56EE01FDD6A5}" name="GUIA " dataDxfId="967"/>
  </tableColumns>
  <tableStyleInfo name="TableStyleMedium1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697B3B49-8188-49C2-96A4-126C3621018F}" name="Tabla232528293027323335161718211922232425262728293031363738394041424344454647484950515253545556575859606162636465666768697071747576777879808281838485878891929394959697989910010110210310410510610710810911011111211311411511611711811912012112212312212412764" displayName="Tabla232528293027323335161718211922232425262728293031363738394041424344454647484950515253545556575859606162636465666768697071747576777879808281838485878891929394959697989910010110210310410510610710810911011111211311411511611711811912012112212312212412764" ref="A9:K30" totalsRowShown="0" headerRowDxfId="966" dataDxfId="965" headerRowBorderDxfId="963" tableBorderDxfId="964">
  <autoFilter ref="A9:K30" xr:uid="{ECDBAADF-10B4-48B0-8E5C-D41947EC6452}"/>
  <tableColumns count="11">
    <tableColumn id="1" xr3:uid="{55F81841-92F4-40A8-AECE-66AADA5677CF}" name="FECHA PAGO" dataDxfId="962"/>
    <tableColumn id="2" xr3:uid="{53E7C12E-41EE-4279-A510-EEE30718CC77}" name="MONTO" dataDxfId="961"/>
    <tableColumn id="3" xr3:uid="{6A052CB5-A37E-40DA-87FC-63E7A21D80FA}" name="MES DEL SERVICIO" dataDxfId="960"/>
    <tableColumn id="4" xr3:uid="{8719D2E0-CD5E-4D8D-996E-BB70F52EBA5C}" name="FECHA DE SERVICIO" dataDxfId="959"/>
    <tableColumn id="5" xr3:uid="{CC25CADF-15D4-4AD3-9ED2-7F57DD640B81}" name="DESCRIPCIÓN" dataDxfId="958"/>
    <tableColumn id="6" xr3:uid="{D5D252A3-C434-4390-B097-BE99C217D898}" name="FORMA DE PAGO" dataDxfId="957"/>
    <tableColumn id="7" xr3:uid="{EFDC3A42-E35C-4551-9703-7DA4B2502B27}" name="N° SERVICIO" dataDxfId="956"/>
    <tableColumn id="8" xr3:uid="{137C88FE-A4E4-4CDF-9B36-4BD3C8BC9B6F}" name="N° FACTURA" dataDxfId="955"/>
    <tableColumn id="9" xr3:uid="{0177B3B4-1D97-4449-A097-9736DE40BF67}" name="N° CONTRATO " dataDxfId="954"/>
    <tableColumn id="10" xr3:uid="{FB0CF18B-EBC0-4F10-9FC2-147AA5543B72}" name="N° MANIFIESTO" dataDxfId="953"/>
    <tableColumn id="11" xr3:uid="{4EB83981-6DFD-4DC3-9CE3-0EB535CDFF0B}" name="GUIA " dataDxfId="952"/>
  </tableColumns>
  <tableStyleInfo name="TableStyleMedium1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8828371-D92F-4F06-90D1-1A460BF40F9B}" name="Tabla232528293027323335161718211922232425262728293031363738394041424344454647484950515253545556575859606162636465666768697071747576777879808281838485878891929394959697989910010110210310410510610710810911011111211311411511611711811912012112212312212412765" displayName="Tabla232528293027323335161718211922232425262728293031363738394041424344454647484950515253545556575859606162636465666768697071747576777879808281838485878891929394959697989910010110210310410510610710810911011111211311411511611711811912012112212312212412765" ref="A9:K30" totalsRowShown="0" headerRowDxfId="951" dataDxfId="950" headerRowBorderDxfId="948" tableBorderDxfId="949">
  <autoFilter ref="A9:K30" xr:uid="{ECDBAADF-10B4-48B0-8E5C-D41947EC6452}"/>
  <tableColumns count="11">
    <tableColumn id="1" xr3:uid="{FCCE28E7-527C-460D-90A6-2B76C7FACB8E}" name="FECHA PAGO" dataDxfId="947"/>
    <tableColumn id="2" xr3:uid="{6A6F6F82-6130-44AA-BCBC-DA5EE8EAE0C6}" name="MONTO" dataDxfId="946"/>
    <tableColumn id="3" xr3:uid="{36FAB382-84C9-4E2B-BDC7-70BCDFBA17BC}" name="MES DEL SERVICIO" dataDxfId="945"/>
    <tableColumn id="4" xr3:uid="{6A6D9A4D-AD62-46ED-8E86-56B960DD696D}" name="FECHA DE SERVICIO" dataDxfId="944"/>
    <tableColumn id="5" xr3:uid="{E218A90A-CD49-4DB9-86C6-F26E077A9127}" name="DESCRIPCIÓN" dataDxfId="943"/>
    <tableColumn id="6" xr3:uid="{50573F3F-3F42-4DF1-AD04-756A3AFED2F5}" name="FORMA DE PAGO" dataDxfId="942"/>
    <tableColumn id="7" xr3:uid="{49B3422E-3EAC-46B3-89C8-FC4F7E91B097}" name="N° SERVICIO" dataDxfId="941"/>
    <tableColumn id="8" xr3:uid="{D1678B38-7673-45F8-A30F-AC84DA211318}" name="N° FACTURA" dataDxfId="940"/>
    <tableColumn id="9" xr3:uid="{6FD58C4A-481B-4C7F-A033-BA67E631CF0B}" name="N° CONTRATO " dataDxfId="939"/>
    <tableColumn id="10" xr3:uid="{6EC67DD1-2FD1-4624-B847-A852FEEEA28F}" name="N° MANIFIESTO" dataDxfId="938"/>
    <tableColumn id="11" xr3:uid="{56EFE383-DA64-41CC-97CB-FA871EA7B518}" name="GUIA " dataDxfId="937"/>
  </tableColumns>
  <tableStyleInfo name="TableStyleMedium1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D30B917-4736-411A-B487-EBCF8796557C}" name="Tabla232528293027323335161718211922232425262728293031363738394041424344454647484950515253545556575859606162636465666768697071747576777879808281838485878891929394959697989910010110210310410510610710810911011111211311411511611711811912012112212312212412766" displayName="Tabla232528293027323335161718211922232425262728293031363738394041424344454647484950515253545556575859606162636465666768697071747576777879808281838485878891929394959697989910010110210310410510610710810911011111211311411511611711811912012112212312212412766" ref="A9:K30" totalsRowShown="0" headerRowDxfId="936" dataDxfId="935" headerRowBorderDxfId="933" tableBorderDxfId="934">
  <autoFilter ref="A9:K30" xr:uid="{ECDBAADF-10B4-48B0-8E5C-D41947EC6452}"/>
  <tableColumns count="11">
    <tableColumn id="1" xr3:uid="{FADAE18D-4E0B-4F86-937F-746283E4AA54}" name="FECHA PAGO" dataDxfId="932"/>
    <tableColumn id="2" xr3:uid="{A0D86138-A723-4A67-B4D4-3E833F227128}" name="MONTO" dataDxfId="931"/>
    <tableColumn id="3" xr3:uid="{93C0A558-3164-4985-85CB-852AE274A165}" name="MES DEL SERVICIO" dataDxfId="930"/>
    <tableColumn id="4" xr3:uid="{BAE08EAB-1B61-45F6-BE8C-45CF017D1255}" name="FECHA DE SERVICIO" dataDxfId="929"/>
    <tableColumn id="5" xr3:uid="{F72F5F3D-6DBE-4E89-8A55-E201CBB19FFC}" name="DESCRIPCIÓN" dataDxfId="928"/>
    <tableColumn id="6" xr3:uid="{20CBF222-3D03-4B75-9906-AD498DFA764C}" name="FORMA DE PAGO" dataDxfId="927"/>
    <tableColumn id="7" xr3:uid="{54A250E7-BAFA-425F-BC55-D700B9FC9793}" name="N° SERVICIO" dataDxfId="926"/>
    <tableColumn id="8" xr3:uid="{41E1E6CC-54A2-4174-9961-4260019890FB}" name="N° FACTURA" dataDxfId="925"/>
    <tableColumn id="9" xr3:uid="{92C9D115-27E1-4B30-A91D-74B7DD3D9F72}" name="N° CONTRATO " dataDxfId="924"/>
    <tableColumn id="10" xr3:uid="{4521AA17-5CD7-4664-96F8-462A122F58BC}" name="N° MANIFIESTO" dataDxfId="923"/>
    <tableColumn id="11" xr3:uid="{FA0B84CE-CE67-4AFC-AED9-D8695143BC80}" name="GUIA " dataDxfId="922"/>
  </tableColumns>
  <tableStyleInfo name="TableStyleMedium1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ABB9F4F-EE1C-421E-B6CC-4AC45AFA69D0}" name="Tabla232528293027323335161718211922232425262728293031363738394041424344454647484950515253545556575859606162636465666768697071747576777879808281838485878891929394959697989910010110210310410510610710810911011111211311411511611711811912012112212312212412767" displayName="Tabla232528293027323335161718211922232425262728293031363738394041424344454647484950515253545556575859606162636465666768697071747576777879808281838485878891929394959697989910010110210310410510610710810911011111211311411511611711811912012112212312212412767" ref="A9:K30" totalsRowShown="0" headerRowDxfId="921" dataDxfId="920" headerRowBorderDxfId="918" tableBorderDxfId="919">
  <autoFilter ref="A9:K30" xr:uid="{ECDBAADF-10B4-48B0-8E5C-D41947EC6452}"/>
  <tableColumns count="11">
    <tableColumn id="1" xr3:uid="{6FDF0C81-F876-4436-962B-65152974A3A1}" name="FECHA PAGO" dataDxfId="917"/>
    <tableColumn id="2" xr3:uid="{92E05EB5-7D72-4A0E-94B7-9382D28AF383}" name="MONTO" dataDxfId="916"/>
    <tableColumn id="3" xr3:uid="{AFB7DE7E-28BA-4F49-AB94-D13DB18F0AB2}" name="MES DEL SERVICIO" dataDxfId="915"/>
    <tableColumn id="4" xr3:uid="{ACD95F63-3785-4ECC-88F8-6CA9A0C640D9}" name="FECHA DE SERVICIO" dataDxfId="914"/>
    <tableColumn id="5" xr3:uid="{B877F219-2F02-4480-AB72-07E16A639D27}" name="DESCRIPCIÓN" dataDxfId="913"/>
    <tableColumn id="6" xr3:uid="{8F0F12DF-2216-499A-9CE1-4BDD5A8B2ADE}" name="FORMA DE PAGO" dataDxfId="912"/>
    <tableColumn id="7" xr3:uid="{9CBACC20-D118-467E-A0A8-BC7E2D872992}" name="N° SERVICIO" dataDxfId="911"/>
    <tableColumn id="8" xr3:uid="{81F433B0-64C5-4ECB-869F-EE6626C1E638}" name="N° FACTURA" dataDxfId="910"/>
    <tableColumn id="9" xr3:uid="{261BB777-441C-4B36-9749-CF1D1DA4CA96}" name="N° CONTRATO " dataDxfId="909"/>
    <tableColumn id="10" xr3:uid="{CC046C76-EEFA-4A68-90D3-0E27ABCAF812}" name="N° MANIFIESTO" dataDxfId="908"/>
    <tableColumn id="11" xr3:uid="{FD776FC2-B3E6-4419-89EA-40848E40DA55}" name="GUIA " dataDxfId="907"/>
  </tableColumns>
  <tableStyleInfo name="TableStyleMedium1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601EC958-0779-484F-A7B0-804B6E3D8FEB}" name="Tabla232528293027323335161718211922232425262728293031363738394041424344454647484950515253545556575859606162636465666768697071747576777879808281838485878891929394959697989910010110210310410510610710810911011111211311411511611711811912012112212312212412768" displayName="Tabla232528293027323335161718211922232425262728293031363738394041424344454647484950515253545556575859606162636465666768697071747576777879808281838485878891929394959697989910010110210310410510610710810911011111211311411511611711811912012112212312212412768" ref="A9:K30" totalsRowShown="0" headerRowDxfId="906" dataDxfId="905" headerRowBorderDxfId="903" tableBorderDxfId="904">
  <autoFilter ref="A9:K30" xr:uid="{ECDBAADF-10B4-48B0-8E5C-D41947EC6452}"/>
  <tableColumns count="11">
    <tableColumn id="1" xr3:uid="{CE2FF31C-B24D-4D5B-B9BA-EF76D3DCF498}" name="FECHA PAGO" dataDxfId="902"/>
    <tableColumn id="2" xr3:uid="{BD3806DB-DAE0-424F-B669-EB8238C33FC7}" name="MONTO" dataDxfId="901"/>
    <tableColumn id="3" xr3:uid="{1E543C0B-D9D1-49F5-9538-065934DD8AD8}" name="MES DEL SERVICIO" dataDxfId="900"/>
    <tableColumn id="4" xr3:uid="{8B7A653C-7575-4351-904A-094E866A8F35}" name="FECHA DE SERVICIO" dataDxfId="899"/>
    <tableColumn id="5" xr3:uid="{E0000BD2-614D-4657-9B10-B67E119656B0}" name="DESCRIPCIÓN" dataDxfId="898"/>
    <tableColumn id="6" xr3:uid="{0EAD28E2-A0D5-4875-872C-012E68BAECF9}" name="FORMA DE PAGO" dataDxfId="897"/>
    <tableColumn id="7" xr3:uid="{BF23C3C4-662D-485B-8747-172D4407FA7D}" name="N° SERVICIO" dataDxfId="896"/>
    <tableColumn id="8" xr3:uid="{BC1D6A72-0D9B-4764-AB92-1F04C6AC4374}" name="N° FACTURA" dataDxfId="895"/>
    <tableColumn id="9" xr3:uid="{413B4F0E-787D-4FE9-8850-228E421B988F}" name="N° CONTRATO " dataDxfId="894"/>
    <tableColumn id="10" xr3:uid="{013DDB6A-65F1-41A1-BFA1-FCD51A064E6F}" name="N° MANIFIESTO" dataDxfId="893"/>
    <tableColumn id="11" xr3:uid="{183E0770-35C5-4F46-B9A3-F64C284C7069}" name="GUIA " dataDxfId="892"/>
  </tableColumns>
  <tableStyleInfo name="TableStyleMedium1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3F9D8FFF-EA8B-4282-BDCA-0C9101FD3E26}" name="Tabla232528293027323335161718211922232425262728293031363738394041424344454647484950515253545556575859606162636465666768697071747576777879808281838485878891929394959697989910010110210310410510610710810911011111211311411511611711811912012112212312212412769" displayName="Tabla232528293027323335161718211922232425262728293031363738394041424344454647484950515253545556575859606162636465666768697071747576777879808281838485878891929394959697989910010110210310410510610710810911011111211311411511611711811912012112212312212412769" ref="A9:K30" totalsRowShown="0" headerRowDxfId="891" dataDxfId="890" headerRowBorderDxfId="888" tableBorderDxfId="889">
  <autoFilter ref="A9:K30" xr:uid="{ECDBAADF-10B4-48B0-8E5C-D41947EC6452}"/>
  <tableColumns count="11">
    <tableColumn id="1" xr3:uid="{4D36E2F4-25E4-4841-B580-5611ECA1F315}" name="FECHA PAGO" dataDxfId="887"/>
    <tableColumn id="2" xr3:uid="{6501AA82-A376-411B-8275-196FA82D19D4}" name="MONTO" dataDxfId="886"/>
    <tableColumn id="3" xr3:uid="{E07A84C1-8063-4293-8DAC-099A80FC83E3}" name="MES DEL SERVICIO" dataDxfId="885"/>
    <tableColumn id="4" xr3:uid="{12D5D929-2152-463B-A042-3C695748A095}" name="FECHA DE SERVICIO" dataDxfId="884"/>
    <tableColumn id="5" xr3:uid="{9530E0D3-C4E0-441C-AA42-A64C892AFAB9}" name="DESCRIPCIÓN" dataDxfId="883"/>
    <tableColumn id="6" xr3:uid="{31C3CD0D-E033-4148-9EDA-A715689BA35D}" name="FORMA DE PAGO" dataDxfId="882"/>
    <tableColumn id="7" xr3:uid="{79EA54CB-F615-48D4-B3FE-2C6628FD6AF7}" name="N° SERVICIO" dataDxfId="881"/>
    <tableColumn id="8" xr3:uid="{1976814A-B0FE-424A-B3DE-86FA6E5E4DF5}" name="N° FACTURA" dataDxfId="880"/>
    <tableColumn id="9" xr3:uid="{C21B8E24-CE84-437B-9D7C-30F5594C3A14}" name="N° CONTRATO " dataDxfId="879"/>
    <tableColumn id="10" xr3:uid="{1ACBCD4D-3C5C-4271-B2B2-B8B112A1FF6A}" name="N° MANIFIESTO" dataDxfId="878"/>
    <tableColumn id="11" xr3:uid="{92C8D3BB-8700-4F7D-B2A6-018EC412D5B7}" name="GUIA " dataDxfId="877"/>
  </tableColumns>
  <tableStyleInfo name="TableStyleMedium1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48402A7F-AE33-408E-9719-16BC8197B91D}" name="Tabla232528293027323335161718211922232425262728293031363738394041424344454647484950515253545556575859606162636465666768697071747576777879808281838485878891929394959697989910010110210310410510610710810911011111211311411511611711811912012112212312212412770" displayName="Tabla232528293027323335161718211922232425262728293031363738394041424344454647484950515253545556575859606162636465666768697071747576777879808281838485878891929394959697989910010110210310410510610710810911011111211311411511611711811912012112212312212412770" ref="A9:K30" totalsRowShown="0" headerRowDxfId="876" dataDxfId="875" headerRowBorderDxfId="873" tableBorderDxfId="874">
  <autoFilter ref="A9:K30" xr:uid="{ECDBAADF-10B4-48B0-8E5C-D41947EC6452}"/>
  <tableColumns count="11">
    <tableColumn id="1" xr3:uid="{FDC8B946-F5C1-42A8-BE1A-9BC3AD5E1847}" name="FECHA PAGO" dataDxfId="872"/>
    <tableColumn id="2" xr3:uid="{1FA4357A-D280-4F3D-BB8F-35191518A974}" name="MONTO" dataDxfId="871"/>
    <tableColumn id="3" xr3:uid="{2090DB14-8A2C-41AD-9260-913A80B39B99}" name="MES DEL SERVICIO" dataDxfId="870"/>
    <tableColumn id="4" xr3:uid="{02675EA6-DDCA-436A-AC16-9E50BC549507}" name="FECHA DE SERVICIO" dataDxfId="869"/>
    <tableColumn id="5" xr3:uid="{007C28A6-78F5-4F85-AB7E-4A68D58D93D7}" name="DESCRIPCIÓN" dataDxfId="868"/>
    <tableColumn id="6" xr3:uid="{157E0AF8-F8B4-45D8-883B-E486AB788249}" name="FORMA DE PAGO" dataDxfId="867"/>
    <tableColumn id="7" xr3:uid="{859D5B3F-3A7D-443D-A93C-C6FEAF8E0480}" name="N° SERVICIO" dataDxfId="866"/>
    <tableColumn id="8" xr3:uid="{B02D08DA-A777-49E1-B52E-4DFEE2077BE2}" name="N° FACTURA" dataDxfId="865"/>
    <tableColumn id="9" xr3:uid="{F499325D-0C92-4179-86E1-B11BC1542725}" name="N° CONTRATO " dataDxfId="864"/>
    <tableColumn id="10" xr3:uid="{105BC9F9-2E47-40B7-B90B-49DDB6291782}" name="N° MANIFIESTO" dataDxfId="863"/>
    <tableColumn id="11" xr3:uid="{FEE8277C-61EB-46C2-B83C-037E0A31212C}" name="GUIA " dataDxfId="862"/>
  </tableColumns>
  <tableStyleInfo name="TableStyleMedium1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EC31F810-A383-4E82-B4BA-137F64851894}" name="Tabla232528293027323335161718211922232425262728293031363738394041424344454647484950515253545556575859606162636465666768697071747576777879808281838485878891929394959697989910010110210310410510610710810911011111211311411511611711811912012112212312212412771" displayName="Tabla232528293027323335161718211922232425262728293031363738394041424344454647484950515253545556575859606162636465666768697071747576777879808281838485878891929394959697989910010110210310410510610710810911011111211311411511611711811912012112212312212412771" ref="A9:K30" totalsRowShown="0" headerRowDxfId="861" dataDxfId="860" headerRowBorderDxfId="858" tableBorderDxfId="859">
  <autoFilter ref="A9:K30" xr:uid="{ECDBAADF-10B4-48B0-8E5C-D41947EC6452}"/>
  <tableColumns count="11">
    <tableColumn id="1" xr3:uid="{1E26C6F1-B800-442A-8B7C-A6C2F43125D5}" name="FECHA PAGO" dataDxfId="857"/>
    <tableColumn id="2" xr3:uid="{BA6666FE-6A2D-44A4-A7E2-204B01595041}" name="MONTO" dataDxfId="856"/>
    <tableColumn id="3" xr3:uid="{2CE78456-21DF-46E5-9645-40CF169775D1}" name="MES DEL SERVICIO" dataDxfId="855"/>
    <tableColumn id="4" xr3:uid="{12E4BE9D-11F4-4675-B93A-67D17F5848B1}" name="FECHA DE SERVICIO" dataDxfId="854"/>
    <tableColumn id="5" xr3:uid="{4CE046E6-E3BE-45F0-8867-A087437A1CEA}" name="DESCRIPCIÓN" dataDxfId="853"/>
    <tableColumn id="6" xr3:uid="{0A1D2CD4-2D73-4F59-A0EB-2F21D98F237E}" name="FORMA DE PAGO" dataDxfId="852"/>
    <tableColumn id="7" xr3:uid="{12DDB3EE-E89C-42A9-835E-693FF6BF1484}" name="N° SERVICIO" dataDxfId="851"/>
    <tableColumn id="8" xr3:uid="{4CE3A7B2-9EA7-4DA1-89AF-6A73A1E35FAB}" name="N° FACTURA" dataDxfId="850"/>
    <tableColumn id="9" xr3:uid="{51D9C658-6FC8-417F-93E5-9A8ADF8447F1}" name="N° CONTRATO " dataDxfId="849"/>
    <tableColumn id="10" xr3:uid="{1DF47D17-A1A6-4D8F-BF51-6E63AF2DAD18}" name="N° MANIFIESTO" dataDxfId="848"/>
    <tableColumn id="11" xr3:uid="{CEA1FD66-E77C-44D1-9304-F6F28D64EC08}" name="GUIA " dataDxfId="847"/>
  </tableColumns>
  <tableStyleInfo name="TableStyleMedium1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A722394-4254-47E7-88B1-40A36A0DFEE5}" name="Tabla232528293027323335161718211922232425262728293031363738394041424344454647484950515253545556575859606162636465666768697071747576777879808281838485878891929394959697989910010110210310410510610710810911011111211311411511611711811912012112212312212412772" displayName="Tabla232528293027323335161718211922232425262728293031363738394041424344454647484950515253545556575859606162636465666768697071747576777879808281838485878891929394959697989910010110210310410510610710810911011111211311411511611711811912012112212312212412772" ref="A9:K30" totalsRowShown="0" headerRowDxfId="846" dataDxfId="845" headerRowBorderDxfId="843" tableBorderDxfId="844">
  <autoFilter ref="A9:K30" xr:uid="{ECDBAADF-10B4-48B0-8E5C-D41947EC6452}"/>
  <tableColumns count="11">
    <tableColumn id="1" xr3:uid="{5BE0B606-36B6-4D50-8A58-A7AE482419F1}" name="FECHA PAGO" dataDxfId="842"/>
    <tableColumn id="2" xr3:uid="{E0BA81A9-3807-47D1-A4B6-A7EBB26971C5}" name="MONTO" dataDxfId="841"/>
    <tableColumn id="3" xr3:uid="{CD4F40EB-EF06-42A4-9058-13F3AFB23BC7}" name="MES DEL SERVICIO" dataDxfId="840"/>
    <tableColumn id="4" xr3:uid="{84A7373C-EFE8-4A59-8D62-C86FB9B93C63}" name="FECHA DE SERVICIO" dataDxfId="839"/>
    <tableColumn id="5" xr3:uid="{6FDB6A51-4DB8-46C3-8D3A-E4F3116E6913}" name="DESCRIPCIÓN" dataDxfId="838"/>
    <tableColumn id="6" xr3:uid="{3ED8E25E-02AD-41DC-ABEA-D494AE27467D}" name="FORMA DE PAGO" dataDxfId="837"/>
    <tableColumn id="7" xr3:uid="{42532A0D-95BB-4221-9687-94F983C52ED8}" name="N° SERVICIO" dataDxfId="836"/>
    <tableColumn id="8" xr3:uid="{D4AF214E-D8A2-4386-AF90-1224961BBC71}" name="N° FACTURA" dataDxfId="835"/>
    <tableColumn id="9" xr3:uid="{8E32A1F7-A44C-4B86-93DC-DD5369BF937F}" name="N° CONTRATO " dataDxfId="834"/>
    <tableColumn id="10" xr3:uid="{FA5DB0B7-858A-45D6-86C3-E9D64287E8A7}" name="N° MANIFIESTO" dataDxfId="833"/>
    <tableColumn id="11" xr3:uid="{E5BA8C40-B8A2-48C1-8635-13066E7EDF3B}" name="GUIA " dataDxfId="832"/>
  </tableColumns>
  <tableStyleInfo name="TableStyleMedium1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90023A28-BFAE-4D9F-B55A-9E6BA983AFA1}" name="Tabla232528293027323335161718211922232425262728293031363738394041424344454647484950515253545556575859606162636465666768697071747576777879808281838485878891929394959697989910010110210310410510610710810911011111211311411511611711811912012112212312212412773" displayName="Tabla232528293027323335161718211922232425262728293031363738394041424344454647484950515253545556575859606162636465666768697071747576777879808281838485878891929394959697989910010110210310410510610710810911011111211311411511611711811912012112212312212412773" ref="A9:K30" totalsRowShown="0" headerRowDxfId="831" dataDxfId="830" headerRowBorderDxfId="828" tableBorderDxfId="829">
  <autoFilter ref="A9:K30" xr:uid="{ECDBAADF-10B4-48B0-8E5C-D41947EC6452}"/>
  <tableColumns count="11">
    <tableColumn id="1" xr3:uid="{AD15B492-7C97-438D-9470-9D78B7B23684}" name="FECHA PAGO" dataDxfId="827"/>
    <tableColumn id="2" xr3:uid="{D862E289-46EE-4391-A0E6-DFFB48D718C9}" name="MONTO" dataDxfId="826"/>
    <tableColumn id="3" xr3:uid="{EE01AB34-753C-42BF-9110-BCB9D0EC34E6}" name="MES DEL SERVICIO" dataDxfId="825"/>
    <tableColumn id="4" xr3:uid="{8AB9BA37-8839-4177-8412-59C61B8CD99F}" name="FECHA DE SERVICIO" dataDxfId="824"/>
    <tableColumn id="5" xr3:uid="{44D6406A-B9B4-45CF-9B94-986DD7E94827}" name="DESCRIPCIÓN" dataDxfId="823"/>
    <tableColumn id="6" xr3:uid="{5422470C-D291-4A1C-BDCB-EAE8179C2275}" name="FORMA DE PAGO" dataDxfId="822"/>
    <tableColumn id="7" xr3:uid="{30E1CEA2-2C23-46AB-AB7B-67B25DB4F7F9}" name="N° SERVICIO" dataDxfId="821"/>
    <tableColumn id="8" xr3:uid="{63596B20-8ECB-4B78-8499-0702613F6FB6}" name="N° FACTURA" dataDxfId="820"/>
    <tableColumn id="9" xr3:uid="{6A87A93C-A4A6-4895-B1E8-EC89F82B229E}" name="N° CONTRATO " dataDxfId="819"/>
    <tableColumn id="10" xr3:uid="{7558C330-C745-4107-9FDA-7C135AFF46DC}" name="N° MANIFIESTO" dataDxfId="818"/>
    <tableColumn id="11" xr3:uid="{F1EAC8F5-1277-4EB3-BD1C-37534ECE4F84}" name="GUIA " dataDxfId="817"/>
  </tableColumns>
  <tableStyleInfo name="TableStyleMedium1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67BE4235-72CD-4D2B-8614-4DD43B44554A}" name="Tabla232528293027323335161718211922232425262728293031363738394041424344454647484950515253545556575859606162636465666768697071747576777879808281838485878891929394959697989910010110210310410510610710810911011111211311411511611711811912012112212312212412776" displayName="Tabla232528293027323335161718211922232425262728293031363738394041424344454647484950515253545556575859606162636465666768697071747576777879808281838485878891929394959697989910010110210310410510610710810911011111211311411511611711811912012112212312212412776" ref="A9:L30" totalsRowShown="0" headerRowDxfId="816" dataDxfId="815" headerRowBorderDxfId="813" tableBorderDxfId="814">
  <autoFilter ref="A9:L30" xr:uid="{ECDBAADF-10B4-48B0-8E5C-D41947EC6452}"/>
  <tableColumns count="12">
    <tableColumn id="1" xr3:uid="{D4E28527-87E8-4718-B201-9AD9152E4371}" name="FECHA PAGO" dataDxfId="812"/>
    <tableColumn id="2" xr3:uid="{AA501AF9-AE09-4960-B2D0-A91E763303AF}" name="MONTO" dataDxfId="811"/>
    <tableColumn id="3" xr3:uid="{A9D17D25-06BD-40E6-8826-E452D6CA70B5}" name="MES DEL SERVICIO" dataDxfId="810"/>
    <tableColumn id="4" xr3:uid="{1F578321-03FC-414C-8638-A34F46669D44}" name="FECHA DE SERVICIO" dataDxfId="809"/>
    <tableColumn id="5" xr3:uid="{44C71A90-DA98-4672-B74D-22EF3CD9457D}" name="DESCRIPCIÓN" dataDxfId="808"/>
    <tableColumn id="6" xr3:uid="{255371D6-0663-40F0-80D7-81E94B905813}" name="FORMA DE PAGO" dataDxfId="807"/>
    <tableColumn id="7" xr3:uid="{556F9F20-4887-47F8-8C05-6140A5BB868E}" name="N° SERVICIO" dataDxfId="806"/>
    <tableColumn id="8" xr3:uid="{DB25A67B-A369-4AE8-A14B-76A02C325845}" name="N° FACTURA" dataDxfId="805"/>
    <tableColumn id="9" xr3:uid="{4468C782-8E12-4E67-B315-483C8CC17FFB}" name="N° CONTRATO " dataDxfId="804"/>
    <tableColumn id="10" xr3:uid="{7907D25C-F7D9-4A89-A48D-0868E74B32EA}" name="N° MANIFIESTO" dataDxfId="803"/>
    <tableColumn id="11" xr3:uid="{8F398F5A-231F-4BB5-A69B-705A87D3BF0C}" name="GUIA " dataDxfId="802"/>
    <tableColumn id="12" xr3:uid="{ED359ACE-9C04-467E-A906-D93EDEC04645}" name="Columna1" dataDxfId="801"/>
  </tableColumns>
  <tableStyleInfo name="TableStyleMedium1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3264E961-0014-4FA0-822B-EF22810DBAF1}" name="Tabla232528293027323335161718211922232425262728293031363738394041424344454647484950515253545556575859606162636465666768697071747576777879808281838485878891929394959697989910010110210310410510610710810911011111211311411511611711811912012112212312212412777" displayName="Tabla232528293027323335161718211922232425262728293031363738394041424344454647484950515253545556575859606162636465666768697071747576777879808281838485878891929394959697989910010110210310410510610710810911011111211311411511611711811912012112212312212412777" ref="A9:K30" totalsRowShown="0" headerRowDxfId="800" dataDxfId="799" headerRowBorderDxfId="797" tableBorderDxfId="798">
  <autoFilter ref="A9:K30" xr:uid="{ECDBAADF-10B4-48B0-8E5C-D41947EC6452}"/>
  <tableColumns count="11">
    <tableColumn id="1" xr3:uid="{A630383D-40F5-4658-9BB1-D520198B1614}" name="FECHA PAGO" dataDxfId="796"/>
    <tableColumn id="2" xr3:uid="{35C3F963-E773-4250-B64D-AA5E2D394852}" name="MONTO" dataDxfId="795"/>
    <tableColumn id="3" xr3:uid="{04AAAB23-69F8-4698-A584-C468C8543636}" name="MES DEL SERVICIO" dataDxfId="794"/>
    <tableColumn id="4" xr3:uid="{BBD73C2E-155B-4BC2-9248-6CFEE38A9A32}" name="FECHA DE SERVICIO" dataDxfId="793"/>
    <tableColumn id="5" xr3:uid="{12A88132-A7C2-4EB8-B606-070C4FF1C887}" name="DESCRIPCIÓN" dataDxfId="792"/>
    <tableColumn id="6" xr3:uid="{F1F2D5F8-4F11-4EBB-A56F-0910E98915A0}" name="FORMA DE PAGO" dataDxfId="791"/>
    <tableColumn id="7" xr3:uid="{9A95694F-C39C-4F49-96F3-4FC086101128}" name="N° SERVICIO" dataDxfId="790"/>
    <tableColumn id="8" xr3:uid="{00E93DF6-CEAE-4C37-B766-040B9BB9397B}" name="N° FACTURA" dataDxfId="789"/>
    <tableColumn id="9" xr3:uid="{B1A7D544-F122-4C4A-AD8B-FCFEA1B5F122}" name="N° CONTRATO " dataDxfId="788"/>
    <tableColumn id="10" xr3:uid="{AD1AED59-DA0F-43AF-B9EF-C38AD1C88D46}" name="N° MANIFIESTO" dataDxfId="787"/>
    <tableColumn id="11" xr3:uid="{69770057-B84B-4803-8E16-BCD662A573CE}" name="GUIA " dataDxfId="786"/>
  </tableColumns>
  <tableStyleInfo name="TableStyleMedium1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30EB44BC-B4E3-475F-A114-278CF645F78C}" name="Tabla232528293027323335161718211922232425262728293031363738394041424344454647484950515253545556575859606162636465666768697071747576777879808281838485878891929394959697989910010110210310410510610710810911011111211311411511611711811912012112212312212412774" displayName="Tabla232528293027323335161718211922232425262728293031363738394041424344454647484950515253545556575859606162636465666768697071747576777879808281838485878891929394959697989910010110210310410510610710810911011111211311411511611711811912012112212312212412774" ref="A9:K30" totalsRowShown="0" headerRowDxfId="785" dataDxfId="784" headerRowBorderDxfId="782" tableBorderDxfId="783">
  <autoFilter ref="A9:K30" xr:uid="{ECDBAADF-10B4-48B0-8E5C-D41947EC6452}"/>
  <tableColumns count="11">
    <tableColumn id="1" xr3:uid="{032E6E0A-9811-477C-BB90-87BB0C06821B}" name="FECHA PAGO" dataDxfId="781"/>
    <tableColumn id="2" xr3:uid="{74E671BC-223D-4995-927F-0C203FF8DCC8}" name="MONTO" dataDxfId="780"/>
    <tableColumn id="3" xr3:uid="{29F33EB5-7A6B-458C-9DE1-EAEBBDEEB78A}" name="MES DEL SERVICIO" dataDxfId="779"/>
    <tableColumn id="4" xr3:uid="{17BF6CA2-F475-4C0F-AD27-E588BC685189}" name="FECHA DE SERVICIO" dataDxfId="778"/>
    <tableColumn id="5" xr3:uid="{78A948A6-5B47-4881-8652-C138C9FB877C}" name="DESCRIPCIÓN" dataDxfId="777"/>
    <tableColumn id="6" xr3:uid="{5FE105D4-3481-4184-A5E6-EFCF289361EF}" name="FORMA DE PAGO" dataDxfId="776"/>
    <tableColumn id="7" xr3:uid="{DC34AC42-AB80-4850-8EE2-18F3EDAF9EC6}" name="N° SERVICIO" dataDxfId="775"/>
    <tableColumn id="8" xr3:uid="{1EA1D8CA-DD65-486E-A0B3-34E02D89C1B7}" name="N° FACTURA" dataDxfId="774"/>
    <tableColumn id="9" xr3:uid="{06FA6C4F-D583-4A12-B356-0DAE148BB595}" name="N° CONTRATO " dataDxfId="773"/>
    <tableColumn id="10" xr3:uid="{4D599915-00F3-46C5-83CC-A095A5280C6B}" name="N° MANIFIESTO" dataDxfId="772"/>
    <tableColumn id="11" xr3:uid="{07784B81-93A5-495D-8D17-6C86B2D36022}" name="GUIA " dataDxfId="771"/>
  </tableColumns>
  <tableStyleInfo name="TableStyleMedium1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63E6D27-017B-4847-9C30-534AB38833AB}" name="Tabla232528293027323335161718211922232425262728293031363738394041424344454647484950515253545556575859606162636465666768697071747576777879808281838485878891929394959697989910010110210310410510610710810911011111211311411511611711811912012112212312212412775" displayName="Tabla232528293027323335161718211922232425262728293031363738394041424344454647484950515253545556575859606162636465666768697071747576777879808281838485878891929394959697989910010110210310410510610710810911011111211311411511611711811912012112212312212412775" ref="A9:K31" totalsRowShown="0" headerRowDxfId="770" dataDxfId="769" headerRowBorderDxfId="767" tableBorderDxfId="768">
  <autoFilter ref="A9:K31" xr:uid="{ECDBAADF-10B4-48B0-8E5C-D41947EC6452}"/>
  <tableColumns count="11">
    <tableColumn id="1" xr3:uid="{49AA481B-226C-40E2-B1A9-7D9D3B62E70C}" name="FECHA PAGO" dataDxfId="766"/>
    <tableColumn id="2" xr3:uid="{898E1423-0F0C-449B-B351-73A74FA4FC57}" name="MONTO" dataDxfId="765"/>
    <tableColumn id="3" xr3:uid="{9E2FB2D3-44A2-4802-BF88-C944E1632638}" name="MES DEL SERVICIO" dataDxfId="764"/>
    <tableColumn id="4" xr3:uid="{1A3FE7DC-0901-4591-99B2-0001DC583A1E}" name="FECHA DE SERVICIO" dataDxfId="763"/>
    <tableColumn id="5" xr3:uid="{B559715F-3C8B-413E-BADD-003969222002}" name="DESCRIPCIÓN" dataDxfId="762"/>
    <tableColumn id="6" xr3:uid="{318A824C-1A66-4324-89DD-11FB6F1860E8}" name="FORMA DE PAGO" dataDxfId="761"/>
    <tableColumn id="7" xr3:uid="{001E1058-02D7-4188-9764-CD8BC595F7B4}" name="N° SERVICIO" dataDxfId="760"/>
    <tableColumn id="8" xr3:uid="{B150CAE0-F592-46D4-B89E-825069FD0BDF}" name="N° FACTURA" dataDxfId="759"/>
    <tableColumn id="9" xr3:uid="{A97074CD-0764-4FC6-9B3C-8FAAC19981EA}" name="kilos" dataDxfId="758"/>
    <tableColumn id="10" xr3:uid="{0F6B1A10-249A-47C0-9229-CF0BE8BCCEA6}" name="N° MANIFIESTO" dataDxfId="757"/>
    <tableColumn id="11" xr3:uid="{3E9EBE16-011A-4C58-A298-5D6FDFD4E096}" name="GUIA " dataDxfId="756"/>
  </tableColumns>
  <tableStyleInfo name="TableStyleMedium1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E63B3A2-DF7B-4B1D-86F2-B276DD89D2AA}" name="Tabla232528293027323335161718211922232425262728293031363738394041424344454647484950515253545556575859606162636465666768697071747576777879808281838485878891929394959697989910010110210310410510610710810911011111211311411511611711811912012112212312212412751" displayName="Tabla232528293027323335161718211922232425262728293031363738394041424344454647484950515253545556575859606162636465666768697071747576777879808281838485878891929394959697989910010110210310410510610710810911011111211311411511611711811912012112212312212412751" ref="A9:L30" totalsRowShown="0" headerRowDxfId="755" dataDxfId="754" headerRowBorderDxfId="752" tableBorderDxfId="753">
  <autoFilter ref="A9:L30" xr:uid="{ECDBAADF-10B4-48B0-8E5C-D41947EC6452}"/>
  <tableColumns count="12">
    <tableColumn id="1" xr3:uid="{008BED14-FB9D-4745-98DA-864ACD601CD8}" name="FECHA PAGO" dataDxfId="751"/>
    <tableColumn id="2" xr3:uid="{C606D1CC-BEAD-4294-B9D0-EFF46136BDEF}" name="MONTO" dataDxfId="750"/>
    <tableColumn id="3" xr3:uid="{C671F73A-06F0-47FF-BF4B-618627F39F45}" name="MES DEL SERVICIO" dataDxfId="749"/>
    <tableColumn id="4" xr3:uid="{5AC9BC9E-9F02-4DD7-9432-B1EC2D52434E}" name="FECHA DE SERVICIO" dataDxfId="748"/>
    <tableColumn id="5" xr3:uid="{F451CC1D-4AE5-4AB0-BAD0-0C99F581292D}" name="DESCRIPCIÓN" dataDxfId="747"/>
    <tableColumn id="6" xr3:uid="{B3D1E840-2C3B-4BFA-85B9-5317BF77F62D}" name="FORMA DE PAGO" dataDxfId="746"/>
    <tableColumn id="7" xr3:uid="{84E84647-019C-474A-9198-0EC6BAFFE24B}" name="N° SERVICIO" dataDxfId="745"/>
    <tableColumn id="8" xr3:uid="{0D1EC548-5665-42BB-BD01-D86038B8E870}" name="N° FACTURA" dataDxfId="744"/>
    <tableColumn id="9" xr3:uid="{E134A336-8DEA-4269-80BB-D39A1935BCD7}" name="N° CONTRATO " dataDxfId="743"/>
    <tableColumn id="10" xr3:uid="{0BBBD46C-5B28-4FC9-80A5-CC3CDF74849B}" name="N° MANIFIESTO" dataDxfId="742"/>
    <tableColumn id="11" xr3:uid="{731E2F7C-15C3-4FC5-A0B7-364084CA8B83}" name="GUIA " dataDxfId="741"/>
    <tableColumn id="12" xr3:uid="{637123A8-553C-428E-BD78-6D86E962F44B}" name="Columna1" dataDxfId="740"/>
  </tableColumns>
  <tableStyleInfo name="TableStyleMedium1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61D462F6-D565-46E9-89E5-A2E3DEBDDD77}" name="Tabla232528293027323335161718211922232425262728293031363738394041424344454647484950515253545556575859606162636465666768697071747576777879808281838485878891929394959697989910010110210310410510610710810911011111211311411511611711811912012112212312212412778" displayName="Tabla232528293027323335161718211922232425262728293031363738394041424344454647484950515253545556575859606162636465666768697071747576777879808281838485878891929394959697989910010110210310410510610710810911011111211311411511611711811912012112212312212412778" ref="A9:N66" totalsRowShown="0" headerRowDxfId="739" dataDxfId="738" headerRowBorderDxfId="736" tableBorderDxfId="737">
  <autoFilter ref="A9:N66" xr:uid="{ECDBAADF-10B4-48B0-8E5C-D41947EC6452}"/>
  <tableColumns count="14">
    <tableColumn id="1" xr3:uid="{70D169D3-1913-48B1-BE59-900BEF883F0C}" name="FECHA PAGO" dataDxfId="735"/>
    <tableColumn id="2" xr3:uid="{F0E2FE40-D633-4541-908C-958DB1EA8014}" name="MONTO" dataDxfId="734"/>
    <tableColumn id="3" xr3:uid="{0790BE29-CD6A-45EA-92C9-03DBCBFD5029}" name="MES DEL SERVICIO" dataDxfId="733"/>
    <tableColumn id="4" xr3:uid="{F3FA82D5-664E-40B1-B4A4-52349D9E2BA5}" name="FECHA DE SERVICIO" dataDxfId="732"/>
    <tableColumn id="5" xr3:uid="{588456A8-B3E2-4DB3-9B69-84BA91F81EF0}" name="DESCRIPCIÓN" dataDxfId="731"/>
    <tableColumn id="6" xr3:uid="{DA61AF21-F1B5-4DD0-8EAB-001E6126E426}" name="FORMA DE PAGO" dataDxfId="730"/>
    <tableColumn id="7" xr3:uid="{881232E3-EDC9-4A2A-9C58-676EBA4F4EC0}" name="N° SERVICIO" dataDxfId="729"/>
    <tableColumn id="8" xr3:uid="{292C8717-9D0F-4EAC-8C62-FE8DDA3DCE58}" name="N° FACTURA" dataDxfId="728"/>
    <tableColumn id="9" xr3:uid="{AF04D18B-9D14-4B4D-A6EA-1C564AF93465}" name="N° CONTRATO " dataDxfId="727"/>
    <tableColumn id="10" xr3:uid="{8F8007CF-BD4E-4B7A-98A8-2D26134BB54D}" name="N° MANIFIESTO" dataDxfId="726"/>
    <tableColumn id="13" xr3:uid="{6B6C94FC-03B9-4F1A-86B5-3450315B666C}" name="Columna2"/>
    <tableColumn id="11" xr3:uid="{938134B0-F0E3-4BD9-A8A2-8B2C44674405}" name="GUIA " dataDxfId="725"/>
    <tableColumn id="12" xr3:uid="{A73D4035-C1E7-4660-9696-9D5C22E8584F}" name="Columna1" dataDxfId="724"/>
    <tableColumn id="14" xr3:uid="{DFEC75F0-73BF-441D-99A1-F3CB2B1A09CA}" name="Columna12" dataDxfId="723"/>
  </tableColumns>
  <tableStyleInfo name="TableStyleMedium1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536814F2-A1DE-49B0-8CA5-92593D951EE1}" name="Tabla232528293027323335161718211922232425262728293031363738394041424344454647484950515253545556575859606162636465666768697071747576777879808281838485878891929394959697989910010110210310410510610710810911011111211311411511611711811912012112212312212412965" displayName="Tabla232528293027323335161718211922232425262728293031363738394041424344454647484950515253545556575859606162636465666768697071747576777879808281838485878891929394959697989910010110210310410510610710810911011111211311411511611711811912012112212312212412965" ref="A9:L30" totalsRowShown="0" headerRowDxfId="722" dataDxfId="721" headerRowBorderDxfId="719" tableBorderDxfId="720">
  <autoFilter ref="A9:L30" xr:uid="{536814F2-A1DE-49B0-8CA5-92593D951EE1}"/>
  <tableColumns count="12">
    <tableColumn id="1" xr3:uid="{C0D5EC03-5D66-475F-BE7F-109A57EF63A7}" name="FECHA PAGO" dataDxfId="718"/>
    <tableColumn id="2" xr3:uid="{7779A37B-113C-4429-BA8D-8BEB6E7F1E2A}" name="MONTO" dataDxfId="717"/>
    <tableColumn id="3" xr3:uid="{EA61731E-ECB7-47B7-AB31-84CCE1E11175}" name="MES DEL SERVICIO" dataDxfId="716"/>
    <tableColumn id="4" xr3:uid="{56EF15CF-01A1-4DCB-B0A3-D4CE1F0438CA}" name="FECHA DE SERVICIO" dataDxfId="715"/>
    <tableColumn id="5" xr3:uid="{43CBDCF7-EBF9-43EE-99C0-743ADCC02BCD}" name="DESCRIPCIÓN" dataDxfId="714"/>
    <tableColumn id="6" xr3:uid="{741415ED-EF48-4F82-9936-D00851E4CC32}" name="FORMA DE PAGO" dataDxfId="713"/>
    <tableColumn id="7" xr3:uid="{E9B9CED3-047C-44D1-88FF-A3A5058EDE76}" name="N° SERVICIO" dataDxfId="712"/>
    <tableColumn id="8" xr3:uid="{A5BC61B6-8E8C-4E7F-9CC6-34B40381C9E2}" name="N° FACTURA" dataDxfId="711"/>
    <tableColumn id="9" xr3:uid="{D7BFD541-4A8C-4995-B1E0-B3369C8E4F68}" name="N° CONTRATO " dataDxfId="710"/>
    <tableColumn id="10" xr3:uid="{736DEC4A-C89C-4CDF-8759-F2EC899EC3B5}" name="N° MANIFIESTO" dataDxfId="709"/>
    <tableColumn id="11" xr3:uid="{17BFC144-49F2-4D2D-BCAD-4263D422D83B}" name="OBSERVACIÓN" dataDxfId="708"/>
    <tableColumn id="12" xr3:uid="{8FF7935A-A3E7-4724-A8BE-337FE0CC3CF0}" name="GUIA " dataDxfId="707"/>
  </tableColumns>
  <tableStyleInfo name="TableStyleMedium1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3D117DA2-0CA3-4A72-B0BD-10819746F439}" name="Tabla232528293027323335161718211922232425262728293031363738394041424344454647484950515253545556575859606162636465666768697071747576777879808281838485878891929394959697989910010110210310410510610710810911011111211311411511611711811912012112212312212412779" displayName="Tabla232528293027323335161718211922232425262728293031363738394041424344454647484950515253545556575859606162636465666768697071747576777879808281838485878891929394959697989910010110210310410510610710810911011111211311411511611711811912012112212312212412779" ref="A9:N55" totalsRowShown="0" headerRowDxfId="706" dataDxfId="705" headerRowBorderDxfId="703" tableBorderDxfId="704">
  <autoFilter ref="A9:N55" xr:uid="{ECDBAADF-10B4-48B0-8E5C-D41947EC6452}"/>
  <tableColumns count="14">
    <tableColumn id="1" xr3:uid="{65CC1C0D-CF57-4B0B-AFB0-00963DED0C4A}" name="FECHA PAGO" dataDxfId="702"/>
    <tableColumn id="2" xr3:uid="{A847268C-4943-4DDA-98FF-CC4B5A130EF8}" name="MONTO" dataDxfId="701"/>
    <tableColumn id="3" xr3:uid="{EE6BEB8E-3BA5-4E18-8A76-9E84F3B11D6C}" name="MES DEL SERVICIO" dataDxfId="700"/>
    <tableColumn id="4" xr3:uid="{84009C5D-B37D-46C6-AFBB-F2B78433618D}" name="FECHA DE SERVICIO" dataDxfId="699"/>
    <tableColumn id="5" xr3:uid="{C197C828-DE4B-4064-B1E5-910A6304E9FE}" name="DESCRIPCIÓN" dataDxfId="698"/>
    <tableColumn id="6" xr3:uid="{1D51C0EC-947A-4EC4-814C-3CA601767EEE}" name="FORMA DE PAGO" dataDxfId="697"/>
    <tableColumn id="7" xr3:uid="{AD2A941E-7B6D-4872-948B-DC0CF7557F9C}" name="N° SERVICIO" dataDxfId="696"/>
    <tableColumn id="8" xr3:uid="{9A099CCD-21E8-463A-B9D8-5C340A5CF904}" name="N° FACTURA" dataDxfId="695"/>
    <tableColumn id="10" xr3:uid="{B381E7B5-70D3-4058-9528-4D296C3B4A3B}" name="N° MANIFIESTO" dataDxfId="694"/>
    <tableColumn id="15" xr3:uid="{800D41A1-72E0-4259-926E-06233CCCB772}" name="GUIA "/>
    <tableColumn id="11" xr3:uid="{68797250-ED23-4F34-ACD9-C957E880FA06}" name="Columna3" dataDxfId="693"/>
    <tableColumn id="12" xr3:uid="{99CAF1E7-8834-4EF0-BE38-78DAD566C09C}" name="Columna1" dataDxfId="692"/>
    <tableColumn id="13" xr3:uid="{FE62148D-1570-40BF-8690-9F1FC46237C8}" name="KG" dataDxfId="691"/>
    <tableColumn id="14" xr3:uid="{7AA5E6C7-FFAC-47FC-91CD-C6A0992D0974}" name="Columna2" dataDxfId="690"/>
  </tableColumns>
  <tableStyleInfo name="TableStyleMedium1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7487144E-20BC-4117-B6D0-F45582BC8025}" name="Tabla232528293027323335161718211922232425262728293031363738394041424344454647484950515253545556575859606162636465666768697071747576777879808281838485878891929394959697989910010110210310410510610710810911011111211311411511611711811912012112212312212412781" displayName="Tabla232528293027323335161718211922232425262728293031363738394041424344454647484950515253545556575859606162636465666768697071747576777879808281838485878891929394959697989910010110210310410510610710810911011111211311411511611711811912012112212312212412781" ref="A9:K30" totalsRowShown="0" headerRowDxfId="689" dataDxfId="688" headerRowBorderDxfId="686" tableBorderDxfId="687">
  <autoFilter ref="A9:K30" xr:uid="{ECDBAADF-10B4-48B0-8E5C-D41947EC6452}"/>
  <tableColumns count="11">
    <tableColumn id="1" xr3:uid="{0FCD5DC3-3082-45DC-8941-F8FB622BE295}" name="FECHA PAGO" dataDxfId="685"/>
    <tableColumn id="2" xr3:uid="{BFACE706-CA4D-4E71-AA2D-C840F6B62C19}" name="MONTO" dataDxfId="684"/>
    <tableColumn id="3" xr3:uid="{CA1B8348-D9F1-4493-A5EA-739CFA11609E}" name="MES DEL SERVICIO" dataDxfId="683"/>
    <tableColumn id="4" xr3:uid="{7A251214-E51D-4A86-AF60-2CF1810B62C2}" name="FECHA DE SERVICIO" dataDxfId="682"/>
    <tableColumn id="5" xr3:uid="{D528E719-31FC-4D6B-AA20-6471E0443F60}" name="DESCRIPCIÓN" dataDxfId="681"/>
    <tableColumn id="6" xr3:uid="{71460022-0283-473C-ABD9-30460E53ADFC}" name="FORMA DE PAGO" dataDxfId="680"/>
    <tableColumn id="7" xr3:uid="{CDB4DFA5-02F0-48DB-BF93-C6FF37A83C73}" name="N° SERVICIO" dataDxfId="679"/>
    <tableColumn id="8" xr3:uid="{5E291783-40F5-4DEA-87DF-333A6B9C1FD7}" name="N° FACTURA" dataDxfId="678"/>
    <tableColumn id="9" xr3:uid="{4FD01EE6-7B6D-42CE-8AEE-60B189DDC33D}" name="N° CONTRATO " dataDxfId="677"/>
    <tableColumn id="10" xr3:uid="{E0E9FE31-AEA8-40C4-83A4-1DEBCC51BB51}" name="N° MANIFIESTO" dataDxfId="676"/>
    <tableColumn id="11" xr3:uid="{BB303B49-7860-43E8-BF35-4F25733F7EBF}" name="GUIA " dataDxfId="675"/>
  </tableColumns>
  <tableStyleInfo name="TableStyleMedium1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6AB73816-004B-465C-A240-E48296DCA53C}" name="Tabla232528293027323335161718211922232425262728293031363738394041424344454647484950515253545556575859606162636465666768697071747576777879808281838485878891929394959697989910010110210310410510610710810911011111211311411511611711811912012112212312212412995" displayName="Tabla232528293027323335161718211922232425262728293031363738394041424344454647484950515253545556575859606162636465666768697071747576777879808281838485878891929394959697989910010110210310410510610710810911011111211311411511611711811912012112212312212412995" ref="A9:L30" totalsRowShown="0" headerRowDxfId="674" dataDxfId="673" headerRowBorderDxfId="671" tableBorderDxfId="672">
  <autoFilter ref="A9:L30" xr:uid="{6AB73816-004B-465C-A240-E48296DCA53C}"/>
  <tableColumns count="12">
    <tableColumn id="1" xr3:uid="{E69696DD-F177-467B-96C6-5F8C6B4BAE2F}" name="FECHA PAGO" dataDxfId="670"/>
    <tableColumn id="2" xr3:uid="{24F03072-921D-495B-9FFE-16780E39E4A5}" name="MONTO" dataDxfId="669"/>
    <tableColumn id="3" xr3:uid="{902296C7-E214-4C13-AED3-6D93E5B2EE12}" name="MES DEL SERVICIO" dataDxfId="668"/>
    <tableColumn id="4" xr3:uid="{8281B9B2-3499-4630-9248-C47CFD9A491C}" name="FECHA DE SERVICIO" dataDxfId="667"/>
    <tableColumn id="5" xr3:uid="{75A73F76-B573-4130-9FFA-989B3ACA5A2E}" name="DESCRIPCIÓN" dataDxfId="666"/>
    <tableColumn id="6" xr3:uid="{8CCF92D6-C75B-459D-B89A-5FD5874A5867}" name="FORMA DE PAGO" dataDxfId="665"/>
    <tableColumn id="7" xr3:uid="{F4E33DDE-87E0-4AE2-86C6-AED17FB7B7EC}" name="N° SERVICIO" dataDxfId="664"/>
    <tableColumn id="8" xr3:uid="{BDF02729-3A23-4DA5-8AA7-BC42B65A5607}" name="N° FACTURA" dataDxfId="663"/>
    <tableColumn id="9" xr3:uid="{18D529A0-8F6B-4418-83E2-D2FE381784B6}" name="N° CONTRATO " dataDxfId="662"/>
    <tableColumn id="10" xr3:uid="{64497361-807A-45AF-8E97-D12AA3536081}" name="N° MANIFIESTO" dataDxfId="661"/>
    <tableColumn id="11" xr3:uid="{8E4F5618-31F3-4C47-BA34-53CB1C7A50B5}" name="OBSERVACIÓN" dataDxfId="660"/>
    <tableColumn id="12" xr3:uid="{3796DBD6-7290-4A70-A67A-E9588F513188}" name="PESO" dataDxfId="659"/>
  </tableColumns>
  <tableStyleInfo name="TableStyleMedium1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F926F66-21D3-4801-A419-F62617FA2122}" name="Tabla232528293027323335161718211922232425262728293031363738394041424344454647484950515253545556575859606162636465666768697071747576777879808281838485878891929394959697989910010110210310410510610710810911011111211311411511611711811912012112212312212411034" displayName="Tabla232528293027323335161718211922232425262728293031363738394041424344454647484950515253545556575859606162636465666768697071747576777879808281838485878891929394959697989910010110210310410510610710810911011111211311411511611711811912012112212312212411034" ref="A9:M58" totalsRowShown="0" headerRowDxfId="658" dataDxfId="657" headerRowBorderDxfId="655" tableBorderDxfId="656">
  <autoFilter ref="A9:M58" xr:uid="{0F926F66-21D3-4801-A419-F62617FA2122}"/>
  <tableColumns count="13">
    <tableColumn id="1" xr3:uid="{69CC575D-3FD7-4990-9D93-A3222D2BCCCE}" name="FECHA PAGO" dataDxfId="654"/>
    <tableColumn id="2" xr3:uid="{58C501D8-4C31-47F4-A3D2-A15DD28AC64D}" name="MONTO" dataDxfId="653"/>
    <tableColumn id="3" xr3:uid="{121F9339-6FAB-48B9-96F5-2BCA18548242}" name="MES DEL SERVICIO" dataDxfId="652"/>
    <tableColumn id="4" xr3:uid="{6F9CC056-60E2-4FE5-83C2-B822E1DC80CA}" name="FECHA DE SERVICIO" dataDxfId="651"/>
    <tableColumn id="5" xr3:uid="{FD66FD45-2124-4C75-B4BB-F2AA1CE73775}" name="DESCRIPCIÓN" dataDxfId="650"/>
    <tableColumn id="6" xr3:uid="{30A65065-0230-4731-8A1E-C711EC0F1C5D}" name="FORMA DE PAGO" dataDxfId="649"/>
    <tableColumn id="7" xr3:uid="{0CC62891-AF5F-4F4D-9B78-10E9E9DD883F}" name="N° SERVICIO" dataDxfId="648"/>
    <tableColumn id="8" xr3:uid="{91B5ED39-F6E9-4BC3-8E09-D6D2B8E04DCB}" name="N° FACTURA" dataDxfId="647"/>
    <tableColumn id="9" xr3:uid="{9AE0CC2E-724A-4BEC-9031-69F953023D81}" name="N° CONTRATO " dataDxfId="646"/>
    <tableColumn id="10" xr3:uid="{6B4A2E62-74F7-4F57-9D29-07ADED8A2514}" name="N° MANIFIESTO" dataDxfId="645"/>
    <tableColumn id="13" xr3:uid="{781D67DD-399B-4A4A-BA83-A29887B24DD4}" name="Columna2"/>
    <tableColumn id="11" xr3:uid="{A66615AE-5FC4-4781-9FCD-20B813149E29}" name="OBSERVACIÓN" dataDxfId="644"/>
    <tableColumn id="12" xr3:uid="{BF0BDC28-D776-4B72-8C40-41AB45A4859C}" name="Columna1" dataDxfId="643"/>
  </tableColumns>
  <tableStyleInfo name="TableStyleMedium1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8F14EB9-09FC-4C6F-8E99-7F4AE7BE6B14}" name="Tabla232528293027323335161718211922232425262728293031363738394041424344454647484950515253545556575859606162636465666768697071747576777879808281838485878891929394959697989910010110210310410510610710810911011111211311411511611711811912012112212312212412986" displayName="Tabla232528293027323335161718211922232425262728293031363738394041424344454647484950515253545556575859606162636465666768697071747576777879808281838485878891929394959697989910010110210310410510610710810911011111211311411511611711811912012112212312212412986" ref="A9:M30" totalsRowShown="0" headerRowDxfId="642" dataDxfId="641" headerRowBorderDxfId="639" tableBorderDxfId="640">
  <autoFilter ref="A9:M30" xr:uid="{08F14EB9-09FC-4C6F-8E99-7F4AE7BE6B14}"/>
  <tableColumns count="13">
    <tableColumn id="1" xr3:uid="{AAEB2D03-41FF-4954-B5F6-A2620142888B}" name="FECHA PAGO" dataDxfId="638"/>
    <tableColumn id="2" xr3:uid="{7D6307E5-745F-47D8-A5BB-92D322DCC85F}" name="MONTO" dataDxfId="637"/>
    <tableColumn id="3" xr3:uid="{2D3DDD7A-A24D-448C-A5D8-F11AC9F7209D}" name="MES DEL SERVICIO" dataDxfId="636"/>
    <tableColumn id="4" xr3:uid="{2E66C43C-615A-45AE-AAD9-0327AC1C6FDB}" name="FECHA DE SERVICIO" dataDxfId="635"/>
    <tableColumn id="5" xr3:uid="{D0A4B2B4-1ADD-4209-8FC1-14664E319EAB}" name="DESCRIPCIÓN" dataDxfId="634"/>
    <tableColumn id="6" xr3:uid="{794F9E53-F89C-490D-BF35-09E38C0734FE}" name="FORMA DE PAGO" dataDxfId="633"/>
    <tableColumn id="7" xr3:uid="{1F0E49B4-4237-476B-90D4-5E6E8174D1ED}" name="N° SERVICIO" dataDxfId="632"/>
    <tableColumn id="8" xr3:uid="{F969DA9B-EF4C-4CAC-87E9-FCA2AAD2D235}" name="N° FACTURA" dataDxfId="631"/>
    <tableColumn id="9" xr3:uid="{12259C07-BD36-4628-B737-42CAC65DDE6C}" name="N° CONTRATO " dataDxfId="630"/>
    <tableColumn id="10" xr3:uid="{A759252D-410E-47FC-92FE-48AD96EE4939}" name="N° MANIFIESTO" dataDxfId="629"/>
    <tableColumn id="11" xr3:uid="{4C66B636-70D9-4168-B2A7-AF93629903B9}" name="OBSERVACIÓN" dataDxfId="628"/>
    <tableColumn id="12" xr3:uid="{F1C54BF5-8D89-4F93-AB22-9707FCC1CB4B}" name="Columna1" dataDxfId="627"/>
    <tableColumn id="13" xr3:uid="{E42B9C9D-C73E-41D6-86BC-80DA222E6FD9}" name="Columna2" dataDxfId="626"/>
  </tableColumns>
  <tableStyleInfo name="TableStyleMedium1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2D85D644-5D13-4CC9-A310-2D666AAD2CAD}" name="Tabla232528293027323335161718211922232425262728293031363738394041424344454647484950515253545556575859606162636465666768697071747576777879808281838485878891929394959697989910010110210310410510610710810911011111211311411511611711811912012112212312212412782" displayName="Tabla232528293027323335161718211922232425262728293031363738394041424344454647484950515253545556575859606162636465666768697071747576777879808281838485878891929394959697989910010110210310410510610710810911011111211311411511611711811912012112212312212412782" ref="A9:L30" totalsRowShown="0" headerRowDxfId="625" dataDxfId="624" headerRowBorderDxfId="622" tableBorderDxfId="623">
  <autoFilter ref="A9:L30" xr:uid="{ECDBAADF-10B4-48B0-8E5C-D41947EC6452}"/>
  <tableColumns count="12">
    <tableColumn id="1" xr3:uid="{E875A271-69C2-4BEE-8DDF-CF773E49EAC7}" name="FECHA PAGO" dataDxfId="621"/>
    <tableColumn id="2" xr3:uid="{C9BDE6F6-C2DE-485D-BF44-F7B488B6D503}" name="MONTO" dataDxfId="620"/>
    <tableColumn id="3" xr3:uid="{AA5F7A61-79C9-4C67-9C94-486476004EEF}" name="MES DEL SERVICIO" dataDxfId="619"/>
    <tableColumn id="4" xr3:uid="{DF28F9C4-B719-47C3-B7BD-AE3393807D5A}" name="FECHA DE SERVICIO" dataDxfId="618"/>
    <tableColumn id="5" xr3:uid="{50A7F97C-B423-4014-B165-10CEC11D86B6}" name="DESCRIPCIÓN" dataDxfId="617"/>
    <tableColumn id="6" xr3:uid="{32D00D4D-D6C9-47BC-AD53-5A3704685F85}" name="FORMA DE PAGO" dataDxfId="616"/>
    <tableColumn id="7" xr3:uid="{D6FAEDCE-C347-45E5-8521-8DB7055766A1}" name="N° SERVICIO" dataDxfId="615"/>
    <tableColumn id="8" xr3:uid="{995C004D-F96D-48D6-960B-05A9BE2FE2E6}" name="N° FACTURA" dataDxfId="614"/>
    <tableColumn id="9" xr3:uid="{AFA5CA7E-0A77-4645-9A5E-1C4E003A216E}" name="N° CONTRATO " dataDxfId="613"/>
    <tableColumn id="10" xr3:uid="{26C09581-32F6-418D-9347-05F20121D450}" name="N° MANIFIESTO" dataDxfId="612"/>
    <tableColumn id="11" xr3:uid="{16B5082E-F366-4C46-829D-E63840C61483}" name="GUIA " dataDxfId="611"/>
    <tableColumn id="12" xr3:uid="{F49A9B06-1DAF-4782-8BD2-D6A8AA988927}" name="Columna1" dataDxfId="610"/>
  </tableColumns>
  <tableStyleInfo name="TableStyleMedium1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80F241C2-FEB2-4F9C-B62B-538F9329D279}" name="Tabla232528293027323335161718211922232425262728293031363738394041424344454647484950515253545556575859606162636465666768697071747576777879808281838485878891929394959697989910010110210310410510610710810911011111211311411511611711811912012112212312212412786" displayName="Tabla232528293027323335161718211922232425262728293031363738394041424344454647484950515253545556575859606162636465666768697071747576777879808281838485878891929394959697989910010110210310410510610710810911011111211311411511611711811912012112212312212412786" ref="A9:M63" totalsRowShown="0" headerRowDxfId="609" dataDxfId="608" headerRowBorderDxfId="606" tableBorderDxfId="607">
  <autoFilter ref="A9:M63" xr:uid="{ECDBAADF-10B4-48B0-8E5C-D41947EC6452}"/>
  <tableColumns count="13">
    <tableColumn id="1" xr3:uid="{818D6767-4FC3-4149-906D-CDA233E03889}" name="FECHA PAGO" dataDxfId="605"/>
    <tableColumn id="2" xr3:uid="{45354E41-EA3B-4FA1-8B55-E46911EF4700}" name="MONTO" dataDxfId="604"/>
    <tableColumn id="3" xr3:uid="{27ED523E-0FC9-41F5-BF31-AF882B2F3073}" name="MES DEL SERVICIO" dataDxfId="603"/>
    <tableColumn id="4" xr3:uid="{4E084EB3-8C0D-41ED-9304-DA2264D4D456}" name="FECHA DE SERVICIO" dataDxfId="602"/>
    <tableColumn id="5" xr3:uid="{24FF3267-B029-4531-9678-D383E842A915}" name="DESCRIPCIÓN" dataDxfId="601"/>
    <tableColumn id="6" xr3:uid="{9EF21791-A69A-45E1-AD2F-E1B466B8D6E8}" name="FORMA DE PAGO" dataDxfId="600"/>
    <tableColumn id="7" xr3:uid="{BB61B662-26E3-4709-8E37-96A9313A4A52}" name="N° SERVICIO" dataDxfId="599"/>
    <tableColumn id="8" xr3:uid="{21E77178-B34E-4CE8-A15D-96E0B81F68D1}" name="N° FACTURA" dataDxfId="598"/>
    <tableColumn id="9" xr3:uid="{400D9DA4-CF8D-4647-84C7-3E7342146885}" name="N° CONTRATO " dataDxfId="597"/>
    <tableColumn id="10" xr3:uid="{E7CE8AB1-2FCD-4DA3-95F9-659D627027DF}" name="N° MANIFIESTO" dataDxfId="596"/>
    <tableColumn id="13" xr3:uid="{1B543653-D72A-4CC3-ADC5-B83C3A2A46E4}" name="Columna2"/>
    <tableColumn id="11" xr3:uid="{449B8E12-8196-4B87-ABF2-EC544C5DDE81}" name="GUIA " dataDxfId="595"/>
    <tableColumn id="12" xr3:uid="{2D3D3AB7-7F27-444C-9EC8-F3DFD874E5E7}" name="Columna1" dataDxfId="594"/>
  </tableColumns>
  <tableStyleInfo name="TableStyleMedium1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F2804AB5-A81D-4A7E-9F6C-445E8E3EB724}" name="Tabla232528293027323335161718211922232425262728293031363738394041424344454647484950515253545556575859606162636465666768697071747576777879808281838485878891929394959697989910010110210310410510610710810911011111211311411511611711811912012112212312212411219" displayName="Tabla232528293027323335161718211922232425262728293031363738394041424344454647484950515253545556575859606162636465666768697071747576777879808281838485878891929394959697989910010110210310410510610710810911011111211311411511611711811912012112212312212411219" ref="A9:N39" totalsRowShown="0" headerRowDxfId="593" dataDxfId="592" headerRowBorderDxfId="590" tableBorderDxfId="591">
  <autoFilter ref="A9:N39" xr:uid="{F2804AB5-A81D-4A7E-9F6C-445E8E3EB724}"/>
  <tableColumns count="14">
    <tableColumn id="1" xr3:uid="{19A4E539-848A-425B-BF7B-C9F46371228E}" name="FECHA PAGO" dataDxfId="589"/>
    <tableColumn id="2" xr3:uid="{550CA7C1-4FFC-4DA0-B780-84B5C26E255B}" name="MONTO" dataDxfId="588"/>
    <tableColumn id="3" xr3:uid="{CC14C91C-7F86-4BA1-B15F-ABD4FECFC42F}" name="MES DEL SERVICIO" dataDxfId="587"/>
    <tableColumn id="4" xr3:uid="{77EF2601-F415-47A9-8F3D-13C6B4E48594}" name="FECHA DE SERVICIO" dataDxfId="586"/>
    <tableColumn id="5" xr3:uid="{FC2F19E9-EBEE-4D0B-891C-8C121094B540}" name="DESCRIPCIÓN" dataDxfId="585"/>
    <tableColumn id="6" xr3:uid="{E70C6B4F-2E72-4938-95C2-9366C2061A41}" name="FORMA DE PAGO" dataDxfId="584"/>
    <tableColumn id="7" xr3:uid="{A06A78F1-F2CC-4F17-A704-1C7AB890C30C}" name="N° SERVICIO" dataDxfId="583"/>
    <tableColumn id="8" xr3:uid="{DC1ED786-E89D-4C96-862E-2AA1DAF0178D}" name="N° FACTURA" dataDxfId="582"/>
    <tableColumn id="9" xr3:uid="{02F7D22E-D1BF-4561-9B76-81D3F8162D81}" name="N° CONTRATO " dataDxfId="581"/>
    <tableColumn id="10" xr3:uid="{B551B0EC-F302-4CB0-8F3A-EE5A14CCDC47}" name="N° MANIFIESTO" dataDxfId="580"/>
    <tableColumn id="14" xr3:uid="{C97653B9-D9B5-4E9F-93AD-E6B791658173}" name="Columna3"/>
    <tableColumn id="11" xr3:uid="{D83320AA-06EB-4409-930C-A9D0B4BAFE79}" name="OBSERVACIÓN" dataDxfId="579"/>
    <tableColumn id="12" xr3:uid="{1D2157A8-D20E-4260-A1FF-693222D188FE}" name="Columna1" dataDxfId="578"/>
    <tableColumn id="13" xr3:uid="{A000A2B9-0FBB-45CF-8DE7-20854A87BB6E}" name="Columna2" dataDxfId="577"/>
  </tableColumns>
  <tableStyleInfo name="TableStyleMedium1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B45BCBDE-DCF6-4CF0-AB64-05226B73F6C7}" name="Tabla232528293027323335161718211922232425262728293031363738394041424344454647484950515253545556575859606162636465666768697071747576777879808281838485878891929394959697989910010110210310410510610710810911011111211311411511611711811912012112212312212412787" displayName="Tabla232528293027323335161718211922232425262728293031363738394041424344454647484950515253545556575859606162636465666768697071747576777879808281838485878891929394959697989910010110210310410510610710810911011111211311411511611711811912012112212312212412787" ref="A9:M48" totalsRowShown="0" headerRowDxfId="576" dataDxfId="575" headerRowBorderDxfId="573" tableBorderDxfId="574">
  <autoFilter ref="A9:M48" xr:uid="{ECDBAADF-10B4-48B0-8E5C-D41947EC6452}"/>
  <tableColumns count="13">
    <tableColumn id="1" xr3:uid="{BA121039-FEAD-4C90-B320-5316C0BAB204}" name="FECHA PAGO" dataDxfId="572"/>
    <tableColumn id="2" xr3:uid="{9CA43531-DF3F-429A-8F99-E124D7552B85}" name="MONTO" dataDxfId="571"/>
    <tableColumn id="3" xr3:uid="{E53897A6-A6DA-45F2-B839-78DFE5C9FBD1}" name="MES DEL SERVICIO" dataDxfId="570"/>
    <tableColumn id="4" xr3:uid="{565D7A3D-C8A9-4EED-9E0F-D1CBD13E3884}" name="FECHA DE SERVICIO" dataDxfId="569"/>
    <tableColumn id="5" xr3:uid="{7D2AE8DD-E24E-453F-8CDC-271637D70B60}" name="DESCRIPCIÓN" dataDxfId="568"/>
    <tableColumn id="6" xr3:uid="{3B85109E-6776-4520-8591-69A184DF59AF}" name="FORMA DE PAGO" dataDxfId="567"/>
    <tableColumn id="7" xr3:uid="{40930DA7-5C79-40D8-B883-8058871A4951}" name="N° SERVICIO" dataDxfId="566"/>
    <tableColumn id="8" xr3:uid="{5F7B5499-655F-4C9D-B84B-99B345AE868D}" name="N° FACTURA" dataDxfId="565"/>
    <tableColumn id="9" xr3:uid="{63109DB4-6CF7-4AF2-81D1-04010AA0A88C}" name="N° CONTRATO " dataDxfId="564"/>
    <tableColumn id="10" xr3:uid="{0785D504-2AFB-4BCA-815F-5271198CD93E}" name="N° MANIFIESTO" dataDxfId="563"/>
    <tableColumn id="13" xr3:uid="{15E3B502-4254-463D-900C-AC36C011C10E}" name="Columna2"/>
    <tableColumn id="11" xr3:uid="{A0F39D2F-EB60-4761-91D7-4F7CB147DADA}" name="GUIA " dataDxfId="562"/>
    <tableColumn id="12" xr3:uid="{70CCE89D-B917-4926-8FF6-25C565AF4E37}" name="Columna1" dataDxfId="561"/>
  </tableColumns>
  <tableStyleInfo name="TableStyleMedium1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A2E7B151-2748-4F0A-87E6-F1689BA4F488}" name="Tabla232528293027323335161718211922232425262728293031363738394041424344454647484950515253545556575859606162636465666768697071747576777879808281838485878891929394959697989910010110210310410510610710810911011111211311411511611711811912012112212312212411299" displayName="Tabla232528293027323335161718211922232425262728293031363738394041424344454647484950515253545556575859606162636465666768697071747576777879808281838485878891929394959697989910010110210310410510610710810911011111211311411511611711811912012112212312212411299" ref="A9:M42" totalsRowShown="0" headerRowDxfId="560" dataDxfId="559" headerRowBorderDxfId="557" tableBorderDxfId="558">
  <autoFilter ref="A9:M42" xr:uid="{A2E7B151-2748-4F0A-87E6-F1689BA4F488}"/>
  <tableColumns count="13">
    <tableColumn id="1" xr3:uid="{844D711D-1054-45D5-B3B5-BE6DD14CF52A}" name="FECHA PAGO" dataDxfId="556"/>
    <tableColumn id="2" xr3:uid="{6FB712ED-128D-4E3F-A354-2C983F103DD5}" name="MONTO" dataDxfId="555"/>
    <tableColumn id="3" xr3:uid="{17B6D790-4109-4EBB-91DE-AF0066869DC8}" name="MES DEL SERVICIO" dataDxfId="554"/>
    <tableColumn id="4" xr3:uid="{E4D679F8-ACE0-446B-8B76-65EB6FB2E5F1}" name="FECHA DE SERVICIO" dataDxfId="553"/>
    <tableColumn id="5" xr3:uid="{94D5F7DD-9539-49C8-88CB-73C009134AA0}" name="DESCRIPCIÓN" dataDxfId="552"/>
    <tableColumn id="6" xr3:uid="{E423F306-B01E-4751-B022-0BD198F661F9}" name="FORMA DE PAGO" dataDxfId="551"/>
    <tableColumn id="7" xr3:uid="{305F88E3-950D-4F52-8C4C-FC04DB2BD6D6}" name="N° SERVICIO" dataDxfId="550"/>
    <tableColumn id="8" xr3:uid="{87606244-B552-4B68-9FC7-6416145D35A7}" name="N° FACTURA" dataDxfId="549"/>
    <tableColumn id="9" xr3:uid="{50B37FE3-1520-4EB5-88F7-B7BDB1A6676E}" name="N° CONTRATO " dataDxfId="548"/>
    <tableColumn id="10" xr3:uid="{A9EA6C80-A826-4705-AED1-D983E1B62D3D}" name="N° MANIFIESTO" dataDxfId="547"/>
    <tableColumn id="14" xr3:uid="{B166DE7C-272E-4CDF-8CE2-CD939BDAE1BB}" name="N° GUIA"/>
    <tableColumn id="11" xr3:uid="{08466054-43C9-487D-BBC7-7A973190460B}" name="OBSERVACIÓN" dataDxfId="546"/>
    <tableColumn id="12" xr3:uid="{1927EB02-CC68-42AD-AC8F-675882EF311A}" name="PESO" dataDxfId="545"/>
  </tableColumns>
  <tableStyleInfo name="TableStyleMedium1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6C1E8BC0-54D9-4907-A719-CA6E8A1FE7F9}" name="Tabla232528293027323335161718211922232425262728293031363738394041424344454647484950515253545556575859606162636465666768697071747576777879808281838485878891929394959697989910010110210310410510610710810911011111211311411511611711811912012112212312212412788" displayName="Tabla232528293027323335161718211922232425262728293031363738394041424344454647484950515253545556575859606162636465666768697071747576777879808281838485878891929394959697989910010110210310410510610710810911011111211311411511611711811912012112212312212412788" ref="A9:M30" totalsRowShown="0" headerRowDxfId="544" dataDxfId="543" headerRowBorderDxfId="541" tableBorderDxfId="542">
  <autoFilter ref="A9:M30" xr:uid="{ECDBAADF-10B4-48B0-8E5C-D41947EC6452}"/>
  <tableColumns count="13">
    <tableColumn id="1" xr3:uid="{58CAFE94-E994-4112-BC93-A6CDDB027F89}" name="FECHA PAGO" dataDxfId="540"/>
    <tableColumn id="2" xr3:uid="{82D87358-88CF-490C-9C6C-B97614B708FF}" name="MONTO" dataDxfId="539"/>
    <tableColumn id="3" xr3:uid="{FCA173B5-0C05-471B-B24E-5BFFE2C41872}" name="MES DEL SERVICIO" dataDxfId="538"/>
    <tableColumn id="4" xr3:uid="{29AE9405-4B36-4492-9FEC-D0C6880AAEFF}" name="FECHA DE SERVICIO" dataDxfId="537"/>
    <tableColumn id="5" xr3:uid="{AF86B3BF-F17C-474A-BB04-1C9F44855376}" name="DESCRIPCIÓN" dataDxfId="536"/>
    <tableColumn id="6" xr3:uid="{42E47829-AD7E-45DB-8B4C-8E5F31BFF6F2}" name="FORMA DE PAGO" dataDxfId="535"/>
    <tableColumn id="7" xr3:uid="{67566C15-ED68-4D5D-B46D-29E3B4E2B567}" name="N° SERVICIO" dataDxfId="534"/>
    <tableColumn id="8" xr3:uid="{D76A106D-68D9-4BD1-B150-239229ED0A72}" name="N° FACTURA" dataDxfId="533"/>
    <tableColumn id="9" xr3:uid="{00960AD9-C0B3-4D81-83F6-CE1F967347DB}" name="N° CONTRATO " dataDxfId="532"/>
    <tableColumn id="10" xr3:uid="{1D8DEEC2-4D31-4117-83AE-E625CDCF9A0C}" name="N° MANIFIESTO" dataDxfId="531"/>
    <tableColumn id="13" xr3:uid="{6991092E-38B1-41D9-AF19-C9DACA189693}" name="Columna2"/>
    <tableColumn id="11" xr3:uid="{BD8CB300-95B3-4D9E-B90A-73E496ACD099}" name="PAGO" dataDxfId="530"/>
    <tableColumn id="12" xr3:uid="{A08B9542-9E6C-4DC0-A71C-12C496B6AC94}" name="Columna1" dataDxfId="529"/>
  </tableColumns>
  <tableStyleInfo name="TableStyleMedium1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FCB482EF-B989-4E27-9B4E-93BAE6418859}" name="Tabla232528293027323335161718211922232425262728293031363738394041424344454647484950515253545556575859606162636465666768697071747576777879808281838485878891929394959697989910010110210310410510610710810911011111211311411511611711811912012112212312212411364" displayName="Tabla232528293027323335161718211922232425262728293031363738394041424344454647484950515253545556575859606162636465666768697071747576777879808281838485878891929394959697989910010110210310410510610710810911011111211311411511611711811912012112212312212411364" ref="A9:N57" totalsRowShown="0" headerRowDxfId="528" dataDxfId="527" headerRowBorderDxfId="525" tableBorderDxfId="526">
  <autoFilter ref="A9:N57" xr:uid="{FCB482EF-B989-4E27-9B4E-93BAE6418859}"/>
  <tableColumns count="14">
    <tableColumn id="1" xr3:uid="{B4369E04-EE77-4F02-8B6A-76FC8B254DEE}" name="FECHA PAGO" dataDxfId="524"/>
    <tableColumn id="2" xr3:uid="{591439F2-7026-49CB-BDBC-D925F24035DB}" name="MONTO" dataDxfId="523"/>
    <tableColumn id="3" xr3:uid="{1AD19C19-E7C7-4394-8FC0-B077F24BDA82}" name="MES DEL SERVICIO" dataDxfId="522"/>
    <tableColumn id="4" xr3:uid="{6A9BF024-3FC5-44BF-B9F1-21CC36421C01}" name="FECHA DE SERVICIO" dataDxfId="521"/>
    <tableColumn id="5" xr3:uid="{8BF63B05-6634-48DC-AA40-718FC9D61FB3}" name="DESCRIPCIÓN" dataDxfId="520"/>
    <tableColumn id="6" xr3:uid="{10F3CB33-D4A4-4CB2-A8A5-5DDD66A213DD}" name="FORMA DE PAGO" dataDxfId="519"/>
    <tableColumn id="7" xr3:uid="{8EC107B9-C8EF-4648-9D1F-183F6B52B9BD}" name="N° SERVICIO" dataDxfId="518"/>
    <tableColumn id="8" xr3:uid="{C8A13610-7841-4FB6-8192-B72FC9202C8E}" name="N° FACTURA" dataDxfId="517"/>
    <tableColumn id="9" xr3:uid="{382E2B6F-2576-46F6-8811-F29B48DEB035}" name="N° CONTRATO " dataDxfId="516"/>
    <tableColumn id="10" xr3:uid="{5A82B896-478B-49C6-A869-4054BE101072}" name="N° MANIFIESTO" dataDxfId="515"/>
    <tableColumn id="13" xr3:uid="{FD9B96FE-50A6-4298-B321-92B43D2382CA}" name="Columna1"/>
    <tableColumn id="11" xr3:uid="{42CD7566-62CA-40F5-A104-9D900332F219}" name="OBSERVACIÓN" dataDxfId="514"/>
    <tableColumn id="12" xr3:uid="{8301BD24-96E7-4E1C-BE30-B49826C7F42E}" name="PESO" dataDxfId="513"/>
    <tableColumn id="14" xr3:uid="{69D4DA15-97E3-48F8-8CAA-D4699E6B5FF8}" name="Columna2" dataDxfId="512"/>
  </tableColumns>
  <tableStyleInfo name="TableStyleMedium1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F3546AF-70E8-4957-9DAE-B2DF17065E6A}" name="Tabla232528293027323335161718211922232425262728293031363738394041424344454647484950515253545556575859606162636465666768697071747576777879808281838485878891929394959697989910010110210310410510610710810911011111211311411511611711811912012112212312212412790" displayName="Tabla232528293027323335161718211922232425262728293031363738394041424344454647484950515253545556575859606162636465666768697071747576777879808281838485878891929394959697989910010110210310410510610710810911011111211311411511611711811912012112212312212412790" ref="A9:M47" totalsRowShown="0" headerRowDxfId="511" dataDxfId="510" headerRowBorderDxfId="508" tableBorderDxfId="509">
  <autoFilter ref="A9:M47" xr:uid="{ECDBAADF-10B4-48B0-8E5C-D41947EC6452}"/>
  <tableColumns count="13">
    <tableColumn id="1" xr3:uid="{67C0F7C4-ED2A-4F92-AF0D-52912A46489C}" name="FECHA PAGO" dataDxfId="507"/>
    <tableColumn id="2" xr3:uid="{1045E9A5-F444-4786-8D92-0629C12F251B}" name="MONTO" dataDxfId="506"/>
    <tableColumn id="3" xr3:uid="{8C073450-7835-4605-9B32-50C494625476}" name="MES DEL SERVICIO" dataDxfId="505"/>
    <tableColumn id="4" xr3:uid="{C2FB9F01-C30C-439E-BD88-0EE7B42373C8}" name="FECHA DE SERVICIO" dataDxfId="504"/>
    <tableColumn id="5" xr3:uid="{773E8EA2-4189-4553-8BF0-3277DFA4C418}" name="DESCRIPCIÓN" dataDxfId="503"/>
    <tableColumn id="6" xr3:uid="{E118DC1E-5671-4181-B6A5-80ADDB2E6CC7}" name="FORMA DE PAGO" dataDxfId="502"/>
    <tableColumn id="7" xr3:uid="{3483460D-8CFB-4E4B-8E40-98A61210D62F}" name="N° SERVICIO" dataDxfId="501"/>
    <tableColumn id="8" xr3:uid="{1BC1F147-43CC-41E9-82EF-21FBBA8EFE56}" name="N° FACTURA" dataDxfId="500"/>
    <tableColumn id="9" xr3:uid="{8B01E79E-5032-4716-9D44-762DECEA1D9D}" name="N° CONTRATO " dataDxfId="499"/>
    <tableColumn id="10" xr3:uid="{304DE0C9-B2F4-4345-9309-26B60A70BB6E}" name="N° MANIFIESTO" dataDxfId="498"/>
    <tableColumn id="11" xr3:uid="{0412F12B-4F17-4272-88ED-0EE8B1EB07AB}" name="GUIA " dataDxfId="497"/>
    <tableColumn id="12" xr3:uid="{18329A2A-A4B7-4566-A7AE-4F9FC7F9187B}" name="OBSERVACION" dataDxfId="496"/>
    <tableColumn id="13" xr3:uid="{FAAED1FD-FD1C-4542-BC4B-2C168560E543}" name="PESO" dataDxfId="495"/>
  </tableColumns>
  <tableStyleInfo name="TableStyleMedium1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6AD67756-B142-4842-8E40-EADA57DAFC66}" name="Tabla232528293027323335161718211922232425262728293031363738394041424344454647484950515253545556575859606162636465666768697071747576777879808281838485878891929394959697989910010110210310410510610710810911011111211311411511611711811912012112212312212412792" displayName="Tabla232528293027323335161718211922232425262728293031363738394041424344454647484950515253545556575859606162636465666768697071747576777879808281838485878891929394959697989910010110210310410510610710810911011111211311411511611711811912012112212312212412792" ref="A9:M30" totalsRowShown="0" headerRowDxfId="494" dataDxfId="493" headerRowBorderDxfId="491" tableBorderDxfId="492">
  <autoFilter ref="A9:M30" xr:uid="{ECDBAADF-10B4-48B0-8E5C-D41947EC6452}"/>
  <tableColumns count="13">
    <tableColumn id="1" xr3:uid="{B5D05B50-03B2-4EF6-8273-A5B4766B4397}" name="FECHA PAGO" dataDxfId="490"/>
    <tableColumn id="2" xr3:uid="{134D48BC-FBD5-41DE-BA0A-A3D58ACEE329}" name="MONTO" dataDxfId="489"/>
    <tableColumn id="3" xr3:uid="{35231D76-80DA-4C35-A0B1-941289F4F7B2}" name="MES DEL SERVICIO" dataDxfId="488"/>
    <tableColumn id="4" xr3:uid="{A3820429-1072-4EAD-A2A5-A922F9344D9F}" name="FECHA DE SERVICIO" dataDxfId="487"/>
    <tableColumn id="5" xr3:uid="{DDD0C3D6-C766-4770-A9C9-4A7C4867C291}" name="DESCRIPCIÓN" dataDxfId="486"/>
    <tableColumn id="6" xr3:uid="{F3F2DBA1-A737-4726-A4CC-2DA1AC76929F}" name="FORMA DE PAGO" dataDxfId="485"/>
    <tableColumn id="7" xr3:uid="{3126A1D7-3FAB-44B0-B14A-A60B07BCB0A2}" name="N° SERVICIO" dataDxfId="484"/>
    <tableColumn id="8" xr3:uid="{59160182-8AD3-4576-9D99-555187303E8C}" name="N° FACTURA" dataDxfId="483"/>
    <tableColumn id="9" xr3:uid="{6235D84F-6748-481B-A518-6959CC85A028}" name="N° CONTRATO " dataDxfId="482"/>
    <tableColumn id="10" xr3:uid="{5BA0BFC6-39B9-445B-89AE-6446A13A0095}" name="N° MANIFIESTO" dataDxfId="481"/>
    <tableColumn id="11" xr3:uid="{DAAB54A3-F86C-4E6A-BF13-9EA608018847}" name="GUIA " dataDxfId="480"/>
    <tableColumn id="12" xr3:uid="{B9B902E8-B6D2-402B-98F0-C2B7EC9D61FB}" name="OBSERVACION" dataDxfId="479"/>
    <tableColumn id="13" xr3:uid="{35AD9067-8B7E-4F46-A396-EAD6EF5E73A4}" name="PESO" dataDxfId="478"/>
  </tableColumns>
  <tableStyleInfo name="TableStyleMedium1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EE5E00A2-670D-4469-B814-10995B0AF6A0}" name="Tabla232528293027323335161718211922232425262728293031363738394041424344454647484950515253545556575859606162636465666768697071747576777879808281838485878891929394959697989910010110210310410510610710810911011111211311411511611711811912012112212312212412793" displayName="Tabla232528293027323335161718211922232425262728293031363738394041424344454647484950515253545556575859606162636465666768697071747576777879808281838485878891929394959697989910010110210310410510610710810911011111211311411511611711811912012112212312212412793" ref="A9:M39" totalsRowShown="0" headerRowDxfId="477" dataDxfId="476" headerRowBorderDxfId="474" tableBorderDxfId="475">
  <autoFilter ref="A9:M39" xr:uid="{ECDBAADF-10B4-48B0-8E5C-D41947EC6452}"/>
  <tableColumns count="13">
    <tableColumn id="1" xr3:uid="{E573C350-9090-47A4-B417-7D50CEB07993}" name="FECHA PAGO" dataDxfId="473"/>
    <tableColumn id="2" xr3:uid="{56BFFCC5-1123-45DE-A266-70374E1224FD}" name="MONTO" dataDxfId="472"/>
    <tableColumn id="3" xr3:uid="{7C5174E0-D915-479B-9014-B9EB7DBC46D7}" name="MES DEL SERVICIO" dataDxfId="471"/>
    <tableColumn id="4" xr3:uid="{EB19756F-D488-437A-B81D-533F679158DB}" name="FECHA DE SERVICIO" dataDxfId="470"/>
    <tableColumn id="5" xr3:uid="{E4AFAF64-9F81-4D8E-A385-D7A579CA6CB8}" name="DESCRIPCIÓN" dataDxfId="469"/>
    <tableColumn id="6" xr3:uid="{82FE1CBD-4C17-4C16-9A41-FD29E36B28DC}" name="FORMA DE PAGO" dataDxfId="468"/>
    <tableColumn id="7" xr3:uid="{4EC5BF50-DD61-40A1-AE93-9A8CE2A69776}" name="N° SERVICIO" dataDxfId="467"/>
    <tableColumn id="8" xr3:uid="{4F735C51-0E2C-455F-AE2D-B45430B5C5F9}" name="N° FACTURA" dataDxfId="466"/>
    <tableColumn id="9" xr3:uid="{F1BF1388-CBC4-40C6-BFDE-CBEB9EBAD7E0}" name="N° CONTRATO " dataDxfId="465"/>
    <tableColumn id="10" xr3:uid="{8B9FD8DF-5D5B-45F4-8CB8-6631582AE06C}" name="N° MANIFIESTO" dataDxfId="464"/>
    <tableColumn id="11" xr3:uid="{FBF4FE32-86F6-418B-9521-4625313DE837}" name="GUIA " dataDxfId="463"/>
    <tableColumn id="12" xr3:uid="{45FC5753-EEC3-4A9F-8960-F5AA1A1987D3}" name="OBSERVACION" dataDxfId="462"/>
    <tableColumn id="13" xr3:uid="{0FF23B74-3C90-463D-B5A5-32C71273287A}" name="PESO" dataDxfId="461"/>
  </tableColumns>
  <tableStyleInfo name="TableStyleMedium1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37B44F70-B8A0-44BC-94D9-73A997EF05EA}" name="Tabla232528293027323335161718211922232425262728293031363738394041424344454647484950515253545556575859606162636465666768697071747576777879808281838485878891929394959697989910010110210310410510610710810911011111211311411511611711811912012112212312212412794" displayName="Tabla232528293027323335161718211922232425262728293031363738394041424344454647484950515253545556575859606162636465666768697071747576777879808281838485878891929394959697989910010110210310410510610710810911011111211311411511611711811912012112212312212412794" ref="A9:M53" totalsRowShown="0" headerRowDxfId="460" dataDxfId="459" headerRowBorderDxfId="457" tableBorderDxfId="458">
  <autoFilter ref="A9:M53" xr:uid="{ECDBAADF-10B4-48B0-8E5C-D41947EC6452}"/>
  <tableColumns count="13">
    <tableColumn id="1" xr3:uid="{09F4ED27-3F88-4998-9D16-15F01519F04F}" name="FECHA PAGO" dataDxfId="456"/>
    <tableColumn id="2" xr3:uid="{675D49C4-EDE4-4139-98D9-C2B084844880}" name="MONTO" dataDxfId="455"/>
    <tableColumn id="3" xr3:uid="{34675BDE-0636-4DA0-8871-B77DC2643292}" name="MES DEL SERVICIO" dataDxfId="454"/>
    <tableColumn id="4" xr3:uid="{9909BDA1-7646-4F72-BA4F-276B8EB0803F}" name="FECHA DE SERVICIO" dataDxfId="453"/>
    <tableColumn id="5" xr3:uid="{32628777-002F-4052-9B71-F60BDFAC1091}" name="DESCRIPCIÓN" dataDxfId="452"/>
    <tableColumn id="6" xr3:uid="{6AEC7045-B100-43F6-B86E-9FF81098AA9C}" name="FORMA DE PAGO" dataDxfId="451"/>
    <tableColumn id="7" xr3:uid="{820D1376-3D7C-49A5-AA6F-4B8C019B0B70}" name="N° SERVICIO" dataDxfId="450"/>
    <tableColumn id="8" xr3:uid="{53BEE9F6-6F39-401C-A5CE-D1140863B002}" name="N° FACTURA" dataDxfId="449"/>
    <tableColumn id="9" xr3:uid="{E3AEBEC1-FB0C-4401-B149-129306BDE2F1}" name="N° CONTRATO " dataDxfId="448"/>
    <tableColumn id="10" xr3:uid="{F2C20F5C-D11E-41C4-83E6-49B36418486E}" name="N° MANIFIESTO" dataDxfId="447"/>
    <tableColumn id="11" xr3:uid="{7B00AED5-BC64-4CEA-AD65-863BFA2BFC3C}" name="GUIA " dataDxfId="446"/>
    <tableColumn id="12" xr3:uid="{DF79BD48-0D9C-4874-A2DE-140BEE55A3ED}" name="OBSERVACION" dataDxfId="445"/>
    <tableColumn id="13" xr3:uid="{1EFA6C2E-2985-4152-88BF-9971F6A2ACAC}" name="PESO" dataDxfId="444"/>
  </tableColumns>
  <tableStyleInfo name="TableStyleMedium1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16B15B0C-486B-4107-BE7E-630A20BC5508}" name="Tabla232528293027323335161718211922232425262728293031363738394041424344454647484950515253545556575859606162636465666768697071747576777879808281838485878891929394959697989910010110210310410510610710810911011111211311411511611711811912012112212312212412798" displayName="Tabla232528293027323335161718211922232425262728293031363738394041424344454647484950515253545556575859606162636465666768697071747576777879808281838485878891929394959697989910010110210310410510610710810911011111211311411511611711811912012112212312212412798" ref="A9:M30" totalsRowShown="0" headerRowDxfId="443" dataDxfId="442" headerRowBorderDxfId="440" tableBorderDxfId="441">
  <autoFilter ref="A9:M30" xr:uid="{ECDBAADF-10B4-48B0-8E5C-D41947EC6452}"/>
  <tableColumns count="13">
    <tableColumn id="1" xr3:uid="{7EFE5DD3-C855-4A0F-BCA8-D4F9C30D8FA0}" name="FECHA PAGO" dataDxfId="439"/>
    <tableColumn id="2" xr3:uid="{C58E2EF1-AD1A-4AAE-BDD2-E4445BE901D0}" name="MONTO" dataDxfId="438"/>
    <tableColumn id="3" xr3:uid="{29B9760B-1CA1-4226-A486-8AE0B439782D}" name="MES DEL SERVICIO" dataDxfId="437"/>
    <tableColumn id="4" xr3:uid="{B1A0054E-8437-4D92-B6B7-EEF4A9B96C11}" name="FECHA DE SERVICIO" dataDxfId="436"/>
    <tableColumn id="5" xr3:uid="{B8118478-0470-4C9C-A581-D1425FBC8292}" name="DESCRIPCIÓN" dataDxfId="435"/>
    <tableColumn id="6" xr3:uid="{F2913EE8-24EC-433B-A7F0-6B4D32B8A393}" name="FORMA DE PAGO" dataDxfId="434"/>
    <tableColumn id="7" xr3:uid="{1BCB541C-70F4-4F56-A672-950E9BDBE127}" name="N° SERVICIO" dataDxfId="433"/>
    <tableColumn id="8" xr3:uid="{1949E25A-C2B3-4B10-94C5-08EACD74330E}" name="N° FACTURA" dataDxfId="432"/>
    <tableColumn id="9" xr3:uid="{59775F2D-85AF-4F9F-A699-3D08366F2634}" name="N° CONTRATO " dataDxfId="431"/>
    <tableColumn id="10" xr3:uid="{FA7B1558-83CB-4F25-9F96-AEB9C01B4808}" name="N° MANIFIESTO" dataDxfId="430"/>
    <tableColumn id="11" xr3:uid="{67F184C8-4755-47B2-8A40-F9DEA9846B5B}" name="GUIA " dataDxfId="429"/>
    <tableColumn id="12" xr3:uid="{4062D247-2F48-4118-9AA6-EDB8B7C43865}" name="OBSERVACION" dataDxfId="428"/>
    <tableColumn id="13" xr3:uid="{162A1F59-7F99-4E2E-9384-6B4A88B3A3D3}" name="PESO" dataDxfId="427"/>
  </tableColumns>
  <tableStyleInfo name="TableStyleMedium1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436C8CB-DED2-4D8E-A0EA-0471B3DDC7DF}" name="Tabla232528293027323335161718211922232425262728293031363738394041424344454647484950515253545556575859606162636465666768697071747576777879808281838485878891929394959697989910010110210310410510610710810911011111211311411511611711811912012112212312212412100" displayName="Tabla232528293027323335161718211922232425262728293031363738394041424344454647484950515253545556575859606162636465666768697071747576777879808281838485878891929394959697989910010110210310410510610710810911011111211311411511611711811912012112212312212412100" ref="A9:M41" totalsRowShown="0" headerRowDxfId="426" dataDxfId="425" headerRowBorderDxfId="423" tableBorderDxfId="424">
  <autoFilter ref="A9:M41" xr:uid="{ECDBAADF-10B4-48B0-8E5C-D41947EC6452}"/>
  <tableColumns count="13">
    <tableColumn id="1" xr3:uid="{A7B11C7A-9BFC-4775-B28B-8C74C685C268}" name="FECHA PAGO" dataDxfId="422"/>
    <tableColumn id="2" xr3:uid="{1FA76DF3-56CD-487D-BED4-0939A94F29AC}" name="MONTO" dataDxfId="421"/>
    <tableColumn id="3" xr3:uid="{5FC5E237-E7FD-46CB-8C36-BE9F455435FC}" name="MES DEL SERVICIO" dataDxfId="420"/>
    <tableColumn id="4" xr3:uid="{E95C58EE-CAC1-400C-8753-1E54877ADB1E}" name="FECHA DE SERVICIO" dataDxfId="419"/>
    <tableColumn id="5" xr3:uid="{B931CED0-5529-469D-AD49-5E0978EAAEFB}" name="DESCRIPCIÓN" dataDxfId="418"/>
    <tableColumn id="6" xr3:uid="{ACD09763-94E8-4104-815E-DDD858D2A7B7}" name="FORMA DE PAGO" dataDxfId="417"/>
    <tableColumn id="7" xr3:uid="{B0D3D4B5-47E1-44B4-98EC-29C07280049A}" name="N° SERVICIO" dataDxfId="416"/>
    <tableColumn id="8" xr3:uid="{C78B4E17-E262-494D-A16F-C5BF181EA775}" name="N° FACTURA" dataDxfId="415"/>
    <tableColumn id="9" xr3:uid="{890872FE-4F65-4F6F-8D4F-F9FD258CE775}" name="N° CONTRATO " dataDxfId="414"/>
    <tableColumn id="10" xr3:uid="{725F502B-21AF-4A4C-91DF-B4D50747262C}" name="N° MANIFIESTO" dataDxfId="413"/>
    <tableColumn id="11" xr3:uid="{A8A944FD-5E43-48D9-B3D2-976A83A227BB}" name="GUIA " dataDxfId="412"/>
    <tableColumn id="12" xr3:uid="{AFD3E2FC-6E9C-42BB-AD1A-E30B58FBEB34}" name="OBSERVACION" dataDxfId="411"/>
    <tableColumn id="13" xr3:uid="{2FA6361F-94CD-4FC5-A93E-2D4B5AF0105C}" name="PESO" dataDxfId="410"/>
  </tableColumns>
  <tableStyleInfo name="TableStyleMedium1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BA6641E0-A9B6-4B0B-90EC-8FBDEE4CDFA3}" name="Tabla232528293027323335161718211922232425262728293031363738394041424344454647484950515253545556575859606162636465666768697071747576777879808281838485878891929394959697989910010110210310410510610710810911011111211311411511611711811912012112212312212412103" displayName="Tabla232528293027323335161718211922232425262728293031363738394041424344454647484950515253545556575859606162636465666768697071747576777879808281838485878891929394959697989910010110210310410510610710810911011111211311411511611711811912012112212312212412103" ref="A9:M51" totalsRowShown="0" headerRowDxfId="409" dataDxfId="408" headerRowBorderDxfId="406" tableBorderDxfId="407">
  <autoFilter ref="A9:M51" xr:uid="{ECDBAADF-10B4-48B0-8E5C-D41947EC6452}"/>
  <tableColumns count="13">
    <tableColumn id="1" xr3:uid="{3BEA0AB6-59B1-46D7-8655-E902730DCF6E}" name="FECHA PAGO" dataDxfId="405"/>
    <tableColumn id="2" xr3:uid="{3CD168BC-169D-4998-BB4E-FE8E13C90247}" name="MONTO" dataDxfId="404"/>
    <tableColumn id="3" xr3:uid="{F2A0CAF3-3775-405C-AA30-5D6BC886EE28}" name="MES DEL SERVICIO" dataDxfId="403"/>
    <tableColumn id="4" xr3:uid="{B29B9079-7085-445C-BAF0-08EE27C087FF}" name="FECHA DE SERVICIO" dataDxfId="402"/>
    <tableColumn id="5" xr3:uid="{62F1799D-B75E-49A1-BDA8-65E92E27E002}" name="DESCRIPCIÓN" dataDxfId="401"/>
    <tableColumn id="6" xr3:uid="{D482029D-1C46-4D82-BC96-E0713564FDC4}" name="FORMA DE PAGO" dataDxfId="400"/>
    <tableColumn id="7" xr3:uid="{6AB8C8BF-9765-46E3-957D-2727B81C3FF5}" name="N° SERVICIO" dataDxfId="399"/>
    <tableColumn id="8" xr3:uid="{8476F101-F96B-4077-ABD3-D56AABD620A1}" name="N° FACTURA" dataDxfId="398"/>
    <tableColumn id="9" xr3:uid="{855E3681-5585-41BB-8522-CDD772F54339}" name="N° CONTRATO " dataDxfId="397"/>
    <tableColumn id="10" xr3:uid="{414C3077-01C7-4963-8D97-4C113C538AC0}" name="N° MANIFIESTO" dataDxfId="396"/>
    <tableColumn id="11" xr3:uid="{5C636417-250C-4F4D-8651-1ECDD35E03A3}" name="GUIA " dataDxfId="395"/>
    <tableColumn id="12" xr3:uid="{DD67AA7D-20E0-42EB-B092-753ADBB766CA}" name="OBSERVACION" dataDxfId="394"/>
    <tableColumn id="13" xr3:uid="{EDA2427D-23EE-465F-A762-7EE650A911F6}" name="PESO" dataDxfId="393"/>
  </tableColumns>
  <tableStyleInfo name="TableStyleMedium1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16F369D5-BCAC-48FF-9E53-F29F73204891}" name="Tabla232528293027323335161718211922232425262728293031363738394041424344454647484950515253545556575859606162636465666768697071747576777879808281838485878891929394959697989910010110210310410510610710810911011111211311411511611711811912012112212312212412102" displayName="Tabla232528293027323335161718211922232425262728293031363738394041424344454647484950515253545556575859606162636465666768697071747576777879808281838485878891929394959697989910010110210310410510610710810911011111211311411511611711811912012112212312212412102" ref="A9:M49" totalsRowShown="0" headerRowDxfId="392" dataDxfId="391" headerRowBorderDxfId="389" tableBorderDxfId="390">
  <autoFilter ref="A9:M49" xr:uid="{ECDBAADF-10B4-48B0-8E5C-D41947EC6452}"/>
  <tableColumns count="13">
    <tableColumn id="1" xr3:uid="{5E3A1267-3472-4750-953C-1102D274F8F1}" name="FECHA PAGO" dataDxfId="388"/>
    <tableColumn id="2" xr3:uid="{0792DDA8-7044-43CC-9AF3-B005524D23EF}" name="MONTO" dataDxfId="387"/>
    <tableColumn id="3" xr3:uid="{C435E94A-8504-4B50-9D02-7BCAE8C41B1C}" name="MES DEL SERVICIO" dataDxfId="386"/>
    <tableColumn id="4" xr3:uid="{B5018AA4-3612-4BB2-A742-2C6A36B23D8D}" name="FECHA DE SERVICIO" dataDxfId="385"/>
    <tableColumn id="5" xr3:uid="{E33281A0-9E37-489B-9BCB-895AF6214001}" name="DESCRIPCIÓN" dataDxfId="384"/>
    <tableColumn id="6" xr3:uid="{516B1488-1CCB-4A7D-8767-14FD41693140}" name="FORMA DE PAGO" dataDxfId="383"/>
    <tableColumn id="7" xr3:uid="{254A5412-29EE-4F71-B549-57D7C3F569D4}" name="N° SERVICIO" dataDxfId="382"/>
    <tableColumn id="8" xr3:uid="{075CD0B8-F6E5-4A7C-B77C-D4CBE5D994E8}" name="N° FACTURA" dataDxfId="381"/>
    <tableColumn id="9" xr3:uid="{4B2FEE8E-02C5-474C-AE93-D6F96D804CA9}" name="N° CONTRATO " dataDxfId="380"/>
    <tableColumn id="10" xr3:uid="{D6F57625-4F70-424B-BD1B-60EF5BDD2E56}" name="N° MANIFIESTO" dataDxfId="379"/>
    <tableColumn id="11" xr3:uid="{5B2F4568-DAE2-48BC-8A86-FA860F6BB196}" name="GUIA " dataDxfId="378"/>
    <tableColumn id="12" xr3:uid="{7904BD80-C79F-4A11-B7BF-465B9B605C07}" name="OBSERVACION" dataDxfId="377"/>
    <tableColumn id="13" xr3:uid="{D4C66685-0065-4CF5-951A-E115120EF582}" name="PESO" dataDxfId="376"/>
  </tableColumns>
  <tableStyleInfo name="TableStyleMedium1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7BEA787-3CD1-415F-924A-142EF3282F6A}" name="Tabla232528293027323335161718211922232425262728293031363738394041424344454647484950515253545556575859606162636465666768697071747576777879808281838485878891929394959697989910010110210310410510610710810911011111211311411511611711811912012112212312212412101" displayName="Tabla232528293027323335161718211922232425262728293031363738394041424344454647484950515253545556575859606162636465666768697071747576777879808281838485878891929394959697989910010110210310410510610710810911011111211311411511611711811912012112212312212412101" ref="A9:M29" totalsRowShown="0" headerRowDxfId="375" dataDxfId="374" headerRowBorderDxfId="372" tableBorderDxfId="373">
  <autoFilter ref="A9:M29" xr:uid="{ECDBAADF-10B4-48B0-8E5C-D41947EC6452}"/>
  <tableColumns count="13">
    <tableColumn id="1" xr3:uid="{4676B015-F882-4F35-935E-7D84D602C54B}" name="FECHA PAGO" dataDxfId="371"/>
    <tableColumn id="2" xr3:uid="{6FB15BCC-5EAA-4468-B38A-AC8AF6E37215}" name="MONTO" dataDxfId="370"/>
    <tableColumn id="3" xr3:uid="{D023222B-882E-4FB6-91A2-CB1645058283}" name="MES DEL SERVICIO" dataDxfId="369"/>
    <tableColumn id="4" xr3:uid="{3E7C9955-5828-4AC8-8E1A-EB10B752ECD0}" name="FECHA DE SERVICIO" dataDxfId="368"/>
    <tableColumn id="5" xr3:uid="{BD57E1CE-4598-4C18-AC0F-93730B95810D}" name="DESCRIPCIÓN" dataDxfId="367"/>
    <tableColumn id="6" xr3:uid="{96331A8D-6438-4E17-95CB-0EBFB5DFB75D}" name="FORMA DE PAGO" dataDxfId="366"/>
    <tableColumn id="7" xr3:uid="{89F6E3D6-9B01-488D-A934-95167F85D2C0}" name="N° SERVICIO" dataDxfId="365"/>
    <tableColumn id="8" xr3:uid="{4E677E3B-07F1-48CB-AE83-05FB5293F023}" name="N° FACTURA" dataDxfId="364"/>
    <tableColumn id="9" xr3:uid="{3DA4DB33-F465-4717-85AE-CD2FF1D7FCF8}" name="N° CONTRATO " dataDxfId="363"/>
    <tableColumn id="10" xr3:uid="{2872BC62-0EC8-4690-BDBB-9BF6B5488C6C}" name="N° MANIFIESTO" dataDxfId="362"/>
    <tableColumn id="11" xr3:uid="{B912107C-5D69-4FD5-B06F-2D80D87AA3C1}" name="GUIA " dataDxfId="361"/>
    <tableColumn id="12" xr3:uid="{AED5FCF9-0E31-4811-91AB-3A3E3BB892F2}" name="OBSERVACION" dataDxfId="360"/>
    <tableColumn id="13" xr3:uid="{D6BB6D62-1D92-4FDD-91B1-E026150101D8}" name="PESO" dataDxfId="359"/>
  </tableColumns>
  <tableStyleInfo name="TableStyleMedium1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BCF4FD48-9833-477D-80D4-B8D01ACAB5F4}" name="Tabla232528293027323335161718211922232425262728293031363738394041424344454647484950515253545556575859606162636465666768697071747576777879808281838485878891929394959697989910010110210310410510610710810911011111211311411511611711811912012112212312212412104" displayName="Tabla232528293027323335161718211922232425262728293031363738394041424344454647484950515253545556575859606162636465666768697071747576777879808281838485878891929394959697989910010110210310410510610710810911011111211311411511611711811912012112212312212412104" ref="A9:M41" totalsRowShown="0" headerRowDxfId="358" dataDxfId="357" headerRowBorderDxfId="355" tableBorderDxfId="356">
  <autoFilter ref="A9:M41" xr:uid="{ECDBAADF-10B4-48B0-8E5C-D41947EC6452}"/>
  <tableColumns count="13">
    <tableColumn id="1" xr3:uid="{AB61DA67-3D4D-4495-855D-11C4E13A8D75}" name="FECHA PAGO" dataDxfId="354"/>
    <tableColumn id="2" xr3:uid="{A88106C7-B787-4C1B-A2C8-FC8BC6373759}" name="MONTO" dataDxfId="353"/>
    <tableColumn id="3" xr3:uid="{9A3131BB-4F7B-4D45-A503-86F0DC40925E}" name="MES DEL SERVICIO" dataDxfId="352"/>
    <tableColumn id="4" xr3:uid="{916D6A35-4BD2-41F4-9DD3-58BD7973C5C6}" name="FECHA DE SERVICIO" dataDxfId="351"/>
    <tableColumn id="5" xr3:uid="{91800CD8-D325-472D-97EA-4FB5295A9F1A}" name="DESCRIPCIÓN" dataDxfId="350"/>
    <tableColumn id="6" xr3:uid="{0E5BA46B-A99C-474C-94D5-5A9BB3BB9952}" name="FORMA DE PAGO" dataDxfId="349"/>
    <tableColumn id="7" xr3:uid="{92A0C27E-90FC-47A0-A7A4-7B17000D2E15}" name="N° SERVICIO" dataDxfId="348"/>
    <tableColumn id="8" xr3:uid="{2F92978D-2D4B-4B7B-AD4D-0B1BC089040F}" name="N° FACTURA" dataDxfId="347"/>
    <tableColumn id="9" xr3:uid="{B3A1BB4B-9EE5-4AD0-B92E-0E8A4B43773B}" name="N° CONTRATO " dataDxfId="346"/>
    <tableColumn id="10" xr3:uid="{CB01FFED-120E-454F-83B5-80D112DACFB4}" name="N° MANIFIESTO" dataDxfId="345"/>
    <tableColumn id="11" xr3:uid="{DDDB316C-E39A-43C8-9CA2-E5C8EEB6C63D}" name="GUIA " dataDxfId="344"/>
    <tableColumn id="12" xr3:uid="{0319AD95-AD9B-4852-9432-133A515FF7EA}" name="OBSERVACION" dataDxfId="343"/>
    <tableColumn id="13" xr3:uid="{75E58CA6-8EB3-4324-8AD1-33D121904A8B}" name="PESO" dataDxfId="342"/>
  </tableColumns>
  <tableStyleInfo name="TableStyleMedium1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1A611D3A-6288-4913-9016-AA561C428894}" name="Tabla232528293027323335161718211922232425262728293031363738394041424344454647484950515253545556575859606162636465666768697071747576777879808281838485878891929394959697989910010110210310410510610710810911011111211311411511611711811912012112212312212412105" displayName="Tabla232528293027323335161718211922232425262728293031363738394041424344454647484950515253545556575859606162636465666768697071747576777879808281838485878891929394959697989910010110210310410510610710810911011111211311411511611711811912012112212312212412105" ref="A9:M30" totalsRowShown="0" headerRowDxfId="341" dataDxfId="340" headerRowBorderDxfId="338" tableBorderDxfId="339">
  <autoFilter ref="A9:M30" xr:uid="{ECDBAADF-10B4-48B0-8E5C-D41947EC6452}"/>
  <tableColumns count="13">
    <tableColumn id="1" xr3:uid="{6C82F3C8-3BFA-48AE-8EC5-B2637807E784}" name="FECHA PAGO" dataDxfId="337"/>
    <tableColumn id="2" xr3:uid="{6A69BCFE-9AD1-4865-AEC4-8CE074510A9E}" name="MONTO" dataDxfId="336"/>
    <tableColumn id="3" xr3:uid="{F65A49E1-87C8-418E-A038-D77698143E04}" name="MES DEL SERVICIO" dataDxfId="335"/>
    <tableColumn id="4" xr3:uid="{5DC5C133-1B5C-481A-923D-A343974A7D6F}" name="FECHA DE SERVICIO" dataDxfId="334"/>
    <tableColumn id="5" xr3:uid="{C0023CB9-F611-4F38-8F06-65309F60D8EF}" name="DESCRIPCIÓN" dataDxfId="333"/>
    <tableColumn id="6" xr3:uid="{2B8786F0-2DE5-4E02-AE57-984128CF8FF2}" name="FORMA DE PAGO" dataDxfId="332"/>
    <tableColumn id="7" xr3:uid="{E2DC81C0-8D71-45F6-8639-20CA37D4CE1C}" name="N° SERVICIO" dataDxfId="331"/>
    <tableColumn id="8" xr3:uid="{FF6C31F9-EDFF-4FA2-BD1D-7D2C193FEB24}" name="N° FACTURA" dataDxfId="330"/>
    <tableColumn id="9" xr3:uid="{558A097A-4DC9-4CC2-96FA-DAAAC071A643}" name="N° CONTRATO " dataDxfId="329"/>
    <tableColumn id="10" xr3:uid="{108A6A5E-3855-4E0B-8EAD-733C749DB120}" name="N° MANIFIESTO" dataDxfId="328"/>
    <tableColumn id="11" xr3:uid="{A70267A4-8B05-4ACF-B3E5-259C669B1525}" name="GUIA " dataDxfId="327"/>
    <tableColumn id="12" xr3:uid="{B0F6095A-80A8-4514-81C7-9D23370EA5F1}" name="OBSERVACION" dataDxfId="326"/>
    <tableColumn id="13" xr3:uid="{4219C71B-D98D-4594-8D87-5BB76B9A383F}" name="PESO" dataDxfId="325"/>
  </tableColumns>
  <tableStyleInfo name="TableStyleMedium1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72DD9B8B-D1CF-41BF-B9BF-FEB882D2CC94}" name="Tabla232528293027323335161718211922232425262728293031363738394041424344454647484950515253545556575859606162636465666768697071747576777879808281838485878891929394959697989910010110210310410510610710810911011111211311411511611711811912012112212312212412109" displayName="Tabla232528293027323335161718211922232425262728293031363738394041424344454647484950515253545556575859606162636465666768697071747576777879808281838485878891929394959697989910010110210310410510610710810911011111211311411511611711811912012112212312212412109" ref="A9:M30" totalsRowShown="0" headerRowDxfId="324" dataDxfId="323" headerRowBorderDxfId="321" tableBorderDxfId="322">
  <autoFilter ref="A9:M30" xr:uid="{ECDBAADF-10B4-48B0-8E5C-D41947EC6452}"/>
  <tableColumns count="13">
    <tableColumn id="1" xr3:uid="{9D911D3E-1721-4B4A-B24F-AF33A12F7234}" name="FECHA PAGO" dataDxfId="320"/>
    <tableColumn id="2" xr3:uid="{7346539B-C6CC-411B-B14F-588BB9125EA1}" name="MONTO" dataDxfId="319"/>
    <tableColumn id="3" xr3:uid="{C84C3FD2-4CF4-425D-B508-F83A0BEEC1DA}" name="MES DEL SERVICIO" dataDxfId="318"/>
    <tableColumn id="4" xr3:uid="{26F80555-604D-4CB4-BDAF-45181F341FB3}" name="FECHA DE SERVICIO" dataDxfId="317"/>
    <tableColumn id="5" xr3:uid="{5DD57E61-6CF7-4FCE-BE98-EE226277D6E3}" name="DESCRIPCIÓN" dataDxfId="316"/>
    <tableColumn id="6" xr3:uid="{F357BF8B-88FB-43E5-AA91-E6D29C68782E}" name="FORMA DE PAGO" dataDxfId="315"/>
    <tableColumn id="7" xr3:uid="{36ED77B9-04C1-4D7A-B50E-344FF6393982}" name="N° SERVICIO" dataDxfId="314"/>
    <tableColumn id="8" xr3:uid="{3989F0CC-530F-43E5-A8BC-775229409214}" name="N° FACTURA" dataDxfId="313"/>
    <tableColumn id="9" xr3:uid="{47AB08E9-F2F7-42DA-9424-BA551B613B7F}" name="N° CONTRATO " dataDxfId="312"/>
    <tableColumn id="10" xr3:uid="{AC01A98A-09CB-4FDD-B84E-41D7D04E779F}" name="N° MANIFIESTO" dataDxfId="311"/>
    <tableColumn id="11" xr3:uid="{8E50AD16-B672-4888-AC7C-79752AD5B586}" name="GUIA " dataDxfId="310"/>
    <tableColumn id="12" xr3:uid="{5AFBE22E-2C7E-409C-84F4-9B053C6341D4}" name="OBSERVACION" dataDxfId="309"/>
    <tableColumn id="13" xr3:uid="{6B5CF056-4BE6-49AF-84A7-93BD48596E87}" name="PESO" dataDxfId="308"/>
  </tableColumns>
  <tableStyleInfo name="TableStyleMedium1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37EAE588-78EC-4D0B-98D2-7FC6AE9887BB}" name="Tabla232528293027323335161718211922232425262728293031363738394041424344454647484950515253545556575859606162636465666768697071747576777879808281838485878891929394959697989910010110210310410510610710810911011111211311411511611711811912012112212312212411669" displayName="Tabla232528293027323335161718211922232425262728293031363738394041424344454647484950515253545556575859606162636465666768697071747576777879808281838485878891929394959697989910010110210310410510610710810911011111211311411511611711811912012112212312212411669" ref="A9:M39" totalsRowShown="0" headerRowDxfId="306" dataDxfId="305" headerRowBorderDxfId="303" tableBorderDxfId="304">
  <autoFilter ref="A9:M39" xr:uid="{37EAE588-78EC-4D0B-98D2-7FC6AE9887BB}"/>
  <tableColumns count="13">
    <tableColumn id="1" xr3:uid="{36D91326-8373-4DCF-823E-65B6B9521868}" name="FECHA PAGO" dataDxfId="302"/>
    <tableColumn id="2" xr3:uid="{E8DCA783-F32D-431F-8E94-D5F0872EEFD5}" name="MONTO" dataDxfId="301"/>
    <tableColumn id="3" xr3:uid="{741669FB-3DDC-49D5-B53C-68EDE21D9419}" name="MES DEL SERVICIO" dataDxfId="300"/>
    <tableColumn id="4" xr3:uid="{93FB28B4-E1E1-4EDA-895F-329BEF483734}" name="FECHA DE SERVICIO" dataDxfId="299"/>
    <tableColumn id="5" xr3:uid="{269F2F05-26C6-416C-98F3-9EE8252EA674}" name="DESCRIPCIÓN" dataDxfId="298"/>
    <tableColumn id="6" xr3:uid="{0B84880A-C260-4EE5-9425-1DD00E54EE7C}" name="FORMA DE PAGO" dataDxfId="297"/>
    <tableColumn id="7" xr3:uid="{BEA09323-D545-4ECB-B6DF-5EA82BCAEDDC}" name="N° SERVICIO" dataDxfId="296"/>
    <tableColumn id="8" xr3:uid="{F498BCD0-D2EA-4078-B777-9C7F1ACBEDEC}" name="N° FACTURA" dataDxfId="295"/>
    <tableColumn id="9" xr3:uid="{E8FEAD3C-4606-47AB-92ED-64A3324AC123}" name="N° CONTRATO " dataDxfId="294"/>
    <tableColumn id="10" xr3:uid="{B79332D4-E61C-4AAF-B776-711DB797DFEE}" name="N° MANIFIESTO" dataDxfId="293"/>
    <tableColumn id="13" xr3:uid="{6723F80E-2AA7-470E-8BF4-17516122FC25}" name="GUIA"/>
    <tableColumn id="11" xr3:uid="{B533BE24-743D-412E-B21F-37BB2F5490AE}" name="OBSERVACIÓN" dataDxfId="292"/>
    <tableColumn id="12" xr3:uid="{D7ACC82F-DB4B-4E81-9604-4B44A9AC58DD}" name="PESO" dataDxfId="291"/>
  </tableColumns>
  <tableStyleInfo name="TableStyleMedium1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3BFB022D-7A56-4164-A8FD-F91B72F79C2B}" name="Tabla232528293027323335161718211922232425262728293031363738394041424344454647484950515253545556575859606162636465666768697071747576777879808281838485878891929394959697989910010110210310410510610710810911011111211311411511611711811912012112212312212412106" displayName="Tabla232528293027323335161718211922232425262728293031363738394041424344454647484950515253545556575859606162636465666768697071747576777879808281838485878891929394959697989910010110210310410510610710810911011111211311411511611711811912012112212312212412106" ref="A9:M30" totalsRowShown="0" headerRowDxfId="290" dataDxfId="289" headerRowBorderDxfId="287" tableBorderDxfId="288">
  <autoFilter ref="A9:M30" xr:uid="{ECDBAADF-10B4-48B0-8E5C-D41947EC6452}"/>
  <tableColumns count="13">
    <tableColumn id="1" xr3:uid="{ECC4F06A-5375-41E7-AEC8-E8BE7CB5E031}" name="FECHA PAGO" dataDxfId="286"/>
    <tableColumn id="2" xr3:uid="{F8FA26A8-2D78-48D7-9AF6-D909A38C39BA}" name="MONTO" dataDxfId="285"/>
    <tableColumn id="3" xr3:uid="{2E4E1A4A-906A-46B7-B409-7C36D8A9537F}" name="MES DEL SERVICIO" dataDxfId="284"/>
    <tableColumn id="4" xr3:uid="{AE883797-D193-41EB-856B-994BAB838879}" name="FECHA DE SERVICIO" dataDxfId="283"/>
    <tableColumn id="5" xr3:uid="{0DBD994E-AC63-4E19-9E17-C999DA86503E}" name="DESCRIPCIÓN" dataDxfId="282"/>
    <tableColumn id="6" xr3:uid="{6A69328E-B1E8-4EFE-BFFF-F50A9CDAB4BB}" name="FORMA DE PAGO" dataDxfId="281"/>
    <tableColumn id="7" xr3:uid="{3E37CC0A-DC5C-409C-8F57-8BF23030FE10}" name="N° SERVICIO" dataDxfId="280"/>
    <tableColumn id="8" xr3:uid="{3DB8E63F-1B9F-4444-A6E8-C741D265E660}" name="N° FACTURA" dataDxfId="279"/>
    <tableColumn id="9" xr3:uid="{8D0A33C5-BCD7-42F7-B3D1-8D332638F069}" name="N° CONTRATO " dataDxfId="278"/>
    <tableColumn id="10" xr3:uid="{25F3AB2C-9F61-4DC3-9D54-74440963D156}" name="N° MANIFIESTO" dataDxfId="277"/>
    <tableColumn id="11" xr3:uid="{08AFD97A-CFA3-4B96-8B1F-6CDB5B58AD34}" name="GUIA " dataDxfId="276"/>
    <tableColumn id="12" xr3:uid="{6D34AFDE-18D2-4E95-A10E-C8C44830DC0E}" name="OBSERVACION" dataDxfId="275"/>
    <tableColumn id="13" xr3:uid="{B3BD78CB-F341-4BB3-B228-C1BCF9DC32E4}" name="PESO" dataDxfId="274"/>
  </tableColumns>
  <tableStyleInfo name="TableStyleMedium1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3D9EC637-D896-47C6-877F-6FFBC61606AA}" name="Tabla232528293027323335161718211922232425262728293031363738394041424344454647484950515253545556575859606162636465666768697071747576777879808281838485878891929394959697989910010110210310410510610710810911011111211311411511611711811912012112212312212412107" displayName="Tabla232528293027323335161718211922232425262728293031363738394041424344454647484950515253545556575859606162636465666768697071747576777879808281838485878891929394959697989910010110210310410510610710810911011111211311411511611711811912012112212312212412107" ref="A9:M30" totalsRowShown="0" headerRowDxfId="273" dataDxfId="272" headerRowBorderDxfId="270" tableBorderDxfId="271">
  <autoFilter ref="A9:M30" xr:uid="{ECDBAADF-10B4-48B0-8E5C-D41947EC6452}"/>
  <tableColumns count="13">
    <tableColumn id="1" xr3:uid="{ED298315-0D07-4E5A-9A35-ED20378A5E1E}" name="FECHA PAGO" dataDxfId="269"/>
    <tableColumn id="2" xr3:uid="{D22F8242-14F3-4A13-8694-A75859529CFE}" name="MONTO" dataDxfId="268"/>
    <tableColumn id="3" xr3:uid="{FF39A4CC-7A99-4CE6-97D3-67A0E82F9D66}" name="MES DEL SERVICIO" dataDxfId="267"/>
    <tableColumn id="4" xr3:uid="{35BA7697-4D45-494D-8CA2-1B1694E6BE7A}" name="FECHA DE SERVICIO" dataDxfId="266"/>
    <tableColumn id="5" xr3:uid="{134B5902-48D7-4645-A352-8A87F4069867}" name="DESCRIPCIÓN" dataDxfId="265"/>
    <tableColumn id="6" xr3:uid="{9B573482-3219-427A-8DE6-75C6585AE574}" name="FORMA DE PAGO" dataDxfId="264"/>
    <tableColumn id="7" xr3:uid="{8FFD7FAC-DA71-4CE5-8742-7097D99CBAC8}" name="N° SERVICIO" dataDxfId="263"/>
    <tableColumn id="8" xr3:uid="{8DE6F886-390A-4CB6-B6DE-447C4F3E85DB}" name="N° FACTURA" dataDxfId="262"/>
    <tableColumn id="9" xr3:uid="{D0F76324-6450-4C5C-891D-067312BA2397}" name="N° CONTRATO " dataDxfId="261"/>
    <tableColumn id="10" xr3:uid="{96869BF0-5D09-45A0-95B3-532E2805F90E}" name="N° MANIFIESTO" dataDxfId="260"/>
    <tableColumn id="11" xr3:uid="{E3D41401-DEBD-43E8-ABA7-FB1F001DDCBE}" name="GUIA " dataDxfId="259"/>
    <tableColumn id="12" xr3:uid="{5876AAF6-C0A5-4DEF-BF78-07D737A1A354}" name="OBSERVACION" dataDxfId="258"/>
    <tableColumn id="13" xr3:uid="{82ED33D0-5079-4B1E-AE1D-8F4FAE23B211}" name="PESO" dataDxfId="257"/>
  </tableColumns>
  <tableStyleInfo name="TableStyleMedium1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DBDDC4B3-021B-4220-B156-64AC4721796F}" name="Tabla232528293027323335161718211922232425262728293031363738394041424344454647484950515253545556575859606162636465666768697071747576777879808281838485878891929394959697989910010110210310410510610710810911011111211311411511611711811912012112212312212412110" displayName="Tabla232528293027323335161718211922232425262728293031363738394041424344454647484950515253545556575859606162636465666768697071747576777879808281838485878891929394959697989910010110210310410510610710810911011111211311411511611711811912012112212312212412110" ref="A9:M29" totalsRowShown="0" headerRowDxfId="256" dataDxfId="255" headerRowBorderDxfId="253" tableBorderDxfId="254">
  <autoFilter ref="A9:M29" xr:uid="{ECDBAADF-10B4-48B0-8E5C-D41947EC6452}"/>
  <tableColumns count="13">
    <tableColumn id="1" xr3:uid="{145D0B2C-8427-421D-991D-C4A7564933B4}" name="FECHA PAGO" dataDxfId="252"/>
    <tableColumn id="2" xr3:uid="{30210A0B-485D-48D0-87BB-E3BBF5D8B15F}" name="MONTO" dataDxfId="251"/>
    <tableColumn id="3" xr3:uid="{AA6EC9F8-5463-42B5-B7FE-D7B9AA69A514}" name="MES DEL SERVICIO" dataDxfId="250"/>
    <tableColumn id="4" xr3:uid="{98CCC77B-0DC2-4781-A33B-CCA5AFBED1AA}" name="FECHA DE SERVICIO" dataDxfId="249"/>
    <tableColumn id="5" xr3:uid="{A69B7799-9A46-418F-8D27-9A29EADD8D72}" name="DESCRIPCIÓN" dataDxfId="248"/>
    <tableColumn id="6" xr3:uid="{9002C262-400E-40E1-9347-F00C9D259594}" name="FORMA DE PAGO" dataDxfId="247"/>
    <tableColumn id="7" xr3:uid="{50779AFB-E396-49C8-B39C-697531A4C8A0}" name="N° SERVICIO" dataDxfId="246"/>
    <tableColumn id="8" xr3:uid="{FA209598-F2A3-4BE4-BBCE-A9524F07994E}" name="N° FACTURA" dataDxfId="245"/>
    <tableColumn id="9" xr3:uid="{637A7B0B-110E-406B-824E-4349F37E1046}" name="N° CONTRATO " dataDxfId="244"/>
    <tableColumn id="10" xr3:uid="{7236D849-F68D-4E74-99E7-E1DE085241A3}" name="N° MANIFIESTO" dataDxfId="243"/>
    <tableColumn id="11" xr3:uid="{2D8CA2B7-8453-4A08-AA6F-73F65451A632}" name="GUIA " dataDxfId="242"/>
    <tableColumn id="12" xr3:uid="{29899562-E33C-4B05-B575-133AF5526239}" name="OBSERVACION" dataDxfId="241"/>
    <tableColumn id="13" xr3:uid="{D29F60BF-1BF4-4881-900E-7180D2C29E05}" name="PESO" dataDxfId="240"/>
  </tableColumns>
  <tableStyleInfo name="TableStyleMedium1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9E7B1A5B-8557-4F33-A564-07D5D99B80F1}" name="Tabla232528293027323335161718211922232425262728293031363738394041424344454647484950515253545556575859606162636465666768697071747576777879808281838485878891929394959697989910010110210310410510610710810911011111211311411511611711811912012112212312212412111" displayName="Tabla232528293027323335161718211922232425262728293031363738394041424344454647484950515253545556575859606162636465666768697071747576777879808281838485878891929394959697989910010110210310410510610710810911011111211311411511611711811912012112212312212412111" ref="A9:M30" totalsRowShown="0" headerRowDxfId="239" dataDxfId="238" headerRowBorderDxfId="236" tableBorderDxfId="237">
  <autoFilter ref="A9:M30" xr:uid="{ECDBAADF-10B4-48B0-8E5C-D41947EC6452}"/>
  <tableColumns count="13">
    <tableColumn id="1" xr3:uid="{CC81ED01-BAEC-44DC-89B5-1059780EC75E}" name="FECHA PAGO" dataDxfId="235"/>
    <tableColumn id="2" xr3:uid="{0BB9AA58-9A13-4A59-ABB1-8A103390A442}" name="MONTO" dataDxfId="234"/>
    <tableColumn id="3" xr3:uid="{55718CE3-AAD9-4013-BB06-73E96248F007}" name="MES DEL SERVICIO" dataDxfId="233"/>
    <tableColumn id="4" xr3:uid="{3F767D36-A183-4CA6-9EC2-6F2BEE00E47F}" name="FECHA DE SERVICIO" dataDxfId="232"/>
    <tableColumn id="5" xr3:uid="{C9BE000E-916E-4817-B436-5A47B25775A7}" name="DESCRIPCIÓN" dataDxfId="231"/>
    <tableColumn id="6" xr3:uid="{435772C6-9950-4FDE-B84C-150B8C49317D}" name="FORMA DE PAGO" dataDxfId="230"/>
    <tableColumn id="7" xr3:uid="{0876468C-07AD-4229-AAD9-D4403E6F8C7E}" name="N° SERVICIO" dataDxfId="229"/>
    <tableColumn id="8" xr3:uid="{A75B6DE7-EC22-4723-9269-2A82B4778379}" name="N° FACTURA" dataDxfId="228"/>
    <tableColumn id="9" xr3:uid="{577C2089-6989-434A-8465-3A1BB57244A7}" name="N° CONTRATO " dataDxfId="227"/>
    <tableColumn id="10" xr3:uid="{14933DF0-036E-4AB9-AC8A-D6B5162B654C}" name="N° MANIFIESTO" dataDxfId="226"/>
    <tableColumn id="11" xr3:uid="{9175B38F-9EDA-4B0B-B69A-D376F93E13AE}" name="GUIA " dataDxfId="225"/>
    <tableColumn id="12" xr3:uid="{78DBB232-0582-43C5-911A-31B9F39C705A}" name="OBSERVACION" dataDxfId="224"/>
    <tableColumn id="13" xr3:uid="{0310E7A3-125C-4A56-84D2-68D6CEC2A614}" name="PESO" dataDxfId="223"/>
  </tableColumns>
  <tableStyleInfo name="TableStyleMedium1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70B98AE6-849D-42F1-AD17-7DDBDF0A67B7}" name="Tabla232528293027323335161718211922232425262728293031363738394041424344454647484950515253545556575859606162636465666768697071747576777879808281838485878891929394959697989910010110210310410510610710810911011111211311411511611711811912012112212312212411724" displayName="Tabla232528293027323335161718211922232425262728293031363738394041424344454647484950515253545556575859606162636465666768697071747576777879808281838485878891929394959697989910010110210310410510610710810911011111211311411511611711811912012112212312212411724" ref="A9:M30" totalsRowShown="0" headerRowDxfId="222" dataDxfId="221" headerRowBorderDxfId="219" tableBorderDxfId="220">
  <autoFilter ref="A9:M30" xr:uid="{70B98AE6-849D-42F1-AD17-7DDBDF0A67B7}"/>
  <tableColumns count="13">
    <tableColumn id="1" xr3:uid="{43BD0401-69ED-48EE-BE37-B3997CD2DAC5}" name="FECHA PAGO" dataDxfId="218"/>
    <tableColumn id="2" xr3:uid="{CF676144-6D61-4A2B-A68F-7F843BB743A6}" name="MONTO" dataDxfId="217"/>
    <tableColumn id="3" xr3:uid="{BE8FC4AB-5E79-4A77-9C0F-C91E35CCEDDE}" name="MES DEL SERVICIO" dataDxfId="216"/>
    <tableColumn id="4" xr3:uid="{66F96582-F312-4BB2-96C8-A7C6DE2B454F}" name="FECHA DE SERVICIO" dataDxfId="215"/>
    <tableColumn id="5" xr3:uid="{BACD6850-35A1-4B9F-800A-DB546D9BF6E8}" name="DESCRIPCIÓN" dataDxfId="214"/>
    <tableColumn id="6" xr3:uid="{8FC7BB38-190C-4BEB-992E-8309FE17FC69}" name="FORMA DE PAGO" dataDxfId="213"/>
    <tableColumn id="7" xr3:uid="{C3CD4D60-517C-486E-9C06-3E6745084DCD}" name="N° SERVICIO" dataDxfId="212"/>
    <tableColumn id="8" xr3:uid="{F9A93342-2822-4B2E-BD39-B83E06AD14AB}" name="N° FACTURA" dataDxfId="211"/>
    <tableColumn id="9" xr3:uid="{C5BAB141-C324-470C-931E-077AE2F4FBFD}" name="N° CONTRATO " dataDxfId="210"/>
    <tableColumn id="10" xr3:uid="{9F371D23-E1EB-4A5D-9635-F63D96A75CF7}" name="N° MANIFIESTO" dataDxfId="209"/>
    <tableColumn id="13" xr3:uid="{72F62D00-DE06-49F9-8D3B-1963F73C4C84}" name="GUIA"/>
    <tableColumn id="11" xr3:uid="{2CFCE65F-B7E5-4859-9B99-5B6C1372611C}" name="OBSERVACIÓN" dataDxfId="208"/>
    <tableColumn id="12" xr3:uid="{04DE46E2-9EF4-4424-9DC1-D1C86B6AA580}" name="PESO" dataDxfId="207"/>
  </tableColumns>
  <tableStyleInfo name="TableStyleMedium1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DA74DCA-7547-4115-843E-1FBF9B6CB4B5}" name="Tabla113" displayName="Tabla113" ref="A9:M34" totalsRowShown="0" headerRowDxfId="206" headerRowBorderDxfId="204" tableBorderDxfId="205">
  <autoFilter ref="A9:M34" xr:uid="{3DA74DCA-7547-4115-843E-1FBF9B6CB4B5}"/>
  <tableColumns count="13">
    <tableColumn id="1" xr3:uid="{1F14F073-47DE-4D26-841D-B4C446776E7E}" name="FECHA PAGO"/>
    <tableColumn id="2" xr3:uid="{54C27322-9915-45F8-AAD2-DB51A4E9EEDC}" name="MONTO"/>
    <tableColumn id="3" xr3:uid="{A2B0CFC3-E359-476A-B06A-11DB6A41B6C2}" name="MES DEL SERVICIO"/>
    <tableColumn id="4" xr3:uid="{21952846-A66A-4B6B-AF9E-564F630BE277}" name="FECHA DE SERVICIO"/>
    <tableColumn id="5" xr3:uid="{E15C9448-8A03-4EA8-BA56-77466F35F006}" name="DESCRIPCIÓN"/>
    <tableColumn id="6" xr3:uid="{D7BEC8E1-0A6B-4A71-BE07-F15F2C23254B}" name="FORMA DE PAGO"/>
    <tableColumn id="7" xr3:uid="{57FEF9D5-3CD6-47B8-A909-499F2209E3F3}" name="N° SERVICIO"/>
    <tableColumn id="8" xr3:uid="{96D9530E-0EEE-41F0-A7B4-B1CD90B2CE55}" name="N° FACTURA"/>
    <tableColumn id="9" xr3:uid="{5AA66FB1-C699-4BF4-96EE-3BB064A197E1}" name="N° CONTRATO "/>
    <tableColumn id="10" xr3:uid="{BD941F5A-644F-49C0-9F45-3D78692639FD}" name="N° MANIFIESTO"/>
    <tableColumn id="11" xr3:uid="{25A6EABC-E029-403C-AC93-0491578FDE8E}" name="GUIA"/>
    <tableColumn id="12" xr3:uid="{D37B5E6B-4376-427E-8747-AB5D9B8FBD59}" name="OBSERVACIÓN"/>
    <tableColumn id="13" xr3:uid="{75B759A5-DDBD-4919-9B0C-882CAC1EF15F}" name="PESO"/>
  </tableColumns>
  <tableStyleInfo name="TableStyleLight3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485985A9-900E-49DE-A845-EA69CDA35C3E}" name="Tabla232528293027323335161718211922232425262728293031363738394041424344454647484950515253545556575859606162636465666768697071747576777879808281838485878891929394959697989910010110210310410510610710810911011111211311411511611711811912012112212312212412112" displayName="Tabla232528293027323335161718211922232425262728293031363738394041424344454647484950515253545556575859606162636465666768697071747576777879808281838485878891929394959697989910010110210310410510610710810911011111211311411511611711811912012112212312212412112" ref="A9:M31" totalsRowShown="0" headerRowDxfId="203" dataDxfId="202" headerRowBorderDxfId="200" tableBorderDxfId="201">
  <autoFilter ref="A9:M31" xr:uid="{ECDBAADF-10B4-48B0-8E5C-D41947EC6452}"/>
  <tableColumns count="13">
    <tableColumn id="1" xr3:uid="{563EC63D-5CA5-4FFD-B841-AC20A28C98B7}" name="FECHA PAGO" dataDxfId="199"/>
    <tableColumn id="2" xr3:uid="{8244CFAE-905D-4A83-9F1E-9D290201333A}" name="MONTO" dataDxfId="198"/>
    <tableColumn id="3" xr3:uid="{C3265C07-892C-4057-AF92-404F1A7FC124}" name="MES DEL SERVICIO" dataDxfId="197"/>
    <tableColumn id="4" xr3:uid="{303AFA75-D237-41E7-B623-4C33897EF6AC}" name="FECHA DE SERVICIO" dataDxfId="196"/>
    <tableColumn id="5" xr3:uid="{FD47A791-8801-43BB-A249-967CEB6FEFFA}" name="DESCRIPCIÓN" dataDxfId="195"/>
    <tableColumn id="6" xr3:uid="{421E0FB7-5229-4E56-AFC0-72F799829B67}" name="FORMA DE PAGO" dataDxfId="194"/>
    <tableColumn id="7" xr3:uid="{48D1BD63-F614-4448-A65B-4E5770296924}" name="N° SERVICIO" dataDxfId="193">
      <calculatedColumnFormula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calculatedColumnFormula>
    </tableColumn>
    <tableColumn id="8" xr3:uid="{43915657-9F63-45B3-A7F4-F7F6E8019762}" name="N° FACTURA" dataDxfId="192"/>
    <tableColumn id="9" xr3:uid="{D5B02C3D-1715-4AC0-A22B-04FA914E62F7}" name="N° CONTRATO " dataDxfId="191"/>
    <tableColumn id="10" xr3:uid="{E469C62E-CF65-48ED-814A-129027078C72}" name="N° MANIFIESTO" dataDxfId="190"/>
    <tableColumn id="11" xr3:uid="{46B5BCA9-8D99-4C2B-886A-47892D8D7388}" name="GUIA " dataDxfId="189"/>
    <tableColumn id="12" xr3:uid="{05141431-109A-4843-8FC0-A49A377D265C}" name="OBSERVACION" dataDxfId="188"/>
    <tableColumn id="13" xr3:uid="{CE2E419A-99CA-4EEB-BEF8-92A2777FB669}" name="PESO" dataDxfId="187"/>
  </tableColumns>
  <tableStyleInfo name="TableStyleMedium1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B5D58F9-9ED2-4F81-94CE-9463C7B2AE87}" name="Tabla232528293027323335161718211922232425262728293031363738394041424344454647484950515253545556575859606162636465666768697071747576777879808281838485878891929394959697989910010110210310410510610710810911011111211311411511611711811912012112212312212412113" displayName="Tabla232528293027323335161718211922232425262728293031363738394041424344454647484950515253545556575859606162636465666768697071747576777879808281838485878891929394959697989910010110210310410510610710810911011111211311411511611711811912012112212312212412113" ref="A9:M30" totalsRowShown="0" headerRowDxfId="186" dataDxfId="185" headerRowBorderDxfId="183" tableBorderDxfId="184">
  <autoFilter ref="A9:M30" xr:uid="{ECDBAADF-10B4-48B0-8E5C-D41947EC6452}"/>
  <tableColumns count="13">
    <tableColumn id="1" xr3:uid="{549E32E0-4BA6-4CD9-BA8A-B91775DA5CB5}" name="FECHA PAGO" dataDxfId="182"/>
    <tableColumn id="2" xr3:uid="{42282035-3B22-4CA2-994C-3ECA7776BB5D}" name="MONTO" dataDxfId="181"/>
    <tableColumn id="3" xr3:uid="{D8650A70-E23B-420E-9937-A32BF8BC9FD1}" name="MES DEL SERVICIO" dataDxfId="180"/>
    <tableColumn id="4" xr3:uid="{2C5FF7BC-2EF1-4E94-866D-2A46CB61A047}" name="FECHA DE SERVICIO" dataDxfId="179"/>
    <tableColumn id="5" xr3:uid="{389C04FD-4577-477B-B6AB-33C95D5DED75}" name="DESCRIPCIÓN" dataDxfId="178"/>
    <tableColumn id="6" xr3:uid="{37397A28-F58D-46B8-BCC7-467FBA4B62CF}" name="FORMA DE PAGO" dataDxfId="177"/>
    <tableColumn id="7" xr3:uid="{522E3CBF-BB11-4F4A-8F99-CD5C65134414}" name="N° SERVICIO" dataDxfId="176"/>
    <tableColumn id="8" xr3:uid="{739C7487-CB00-4AF7-A967-F40325C55241}" name="N° FACTURA" dataDxfId="175"/>
    <tableColumn id="9" xr3:uid="{5E531EC1-DCD9-4343-9C51-10C299BF7DA2}" name="N° CONTRATO " dataDxfId="174"/>
    <tableColumn id="10" xr3:uid="{A2B405B4-77A8-4446-B6F7-D06F6BC488BC}" name="N° MANIFIESTO" dataDxfId="173"/>
    <tableColumn id="11" xr3:uid="{61D50D56-2CC1-437E-AFC9-FF9E3E05EE77}" name="GUIA " dataDxfId="172"/>
    <tableColumn id="12" xr3:uid="{DBF76926-98F1-4263-92E6-EC62708A9B24}" name="OBSERVACION" dataDxfId="171"/>
    <tableColumn id="13" xr3:uid="{9D00FC8F-F388-4A9A-8136-4AA9C07BDFD5}" name="PESO" dataDxfId="170"/>
  </tableColumns>
  <tableStyleInfo name="TableStyleMedium1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DAF273A7-210A-4338-8A10-956888D2A47C}" name="Tabla232528293027323335161718211922232425262728293031363738394041424344454647484950515253545556575859606162636465666768697071747576777879808281838485878891929394959697989910010110210310410510610710810911011111211311411511611711811912012112212312212412115" displayName="Tabla232528293027323335161718211922232425262728293031363738394041424344454647484950515253545556575859606162636465666768697071747576777879808281838485878891929394959697989910010110210310410510610710810911011111211311411511611711811912012112212312212412115" ref="A9:M30" totalsRowShown="0" headerRowDxfId="169" dataDxfId="168" headerRowBorderDxfId="166" tableBorderDxfId="167">
  <autoFilter ref="A9:M30" xr:uid="{ECDBAADF-10B4-48B0-8E5C-D41947EC6452}"/>
  <tableColumns count="13">
    <tableColumn id="1" xr3:uid="{D6AEE2A6-1F84-4164-8BE6-55EC6E486922}" name="FECHA PAGO" dataDxfId="165"/>
    <tableColumn id="2" xr3:uid="{DD8B9405-DE74-43AF-9C5A-C515AEDE3334}" name="MONTO" dataDxfId="164"/>
    <tableColumn id="3" xr3:uid="{D7847C52-396B-41CE-8012-26E0EA7CCDB6}" name="MES DEL SERVICIO" dataDxfId="163"/>
    <tableColumn id="4" xr3:uid="{5023816C-05F4-4C94-9A73-E4F2AC252CDC}" name="FECHA DE SERVICIO" dataDxfId="162"/>
    <tableColumn id="5" xr3:uid="{D75E1118-B03F-4199-B3DC-6FD0703E97C8}" name="DESCRIPCIÓN" dataDxfId="161"/>
    <tableColumn id="6" xr3:uid="{F418A409-FC2E-4143-8FFB-D739D102729C}" name="FORMA DE PAGO" dataDxfId="160"/>
    <tableColumn id="7" xr3:uid="{B6629A19-FA0C-44DE-A975-3532F03BD34C}" name="N° SERVICIO" dataDxfId="159"/>
    <tableColumn id="8" xr3:uid="{CD8C68E0-C9A2-4C97-8E80-8F29AEAD09C0}" name="N° FACTURA" dataDxfId="158"/>
    <tableColumn id="9" xr3:uid="{28E8F5A0-4E51-4EF9-82D4-90EFCB7AB41F}" name="N° CONTRATO " dataDxfId="157"/>
    <tableColumn id="10" xr3:uid="{6F7542C4-1189-46A3-B7CF-35A55D29A3D7}" name="N° MANIFIESTO" dataDxfId="156"/>
    <tableColumn id="11" xr3:uid="{7583C6DA-C4CC-46A1-A771-4CC909A25D63}" name="GUIA " dataDxfId="155"/>
    <tableColumn id="12" xr3:uid="{E4EFB94D-FEB9-4412-960E-9645796ED378}" name="OBSERVACION" dataDxfId="154"/>
    <tableColumn id="13" xr3:uid="{0C0BD5F0-654C-4FAF-8D94-7B7DA432FEBA}" name="PESO" dataDxfId="153"/>
  </tableColumns>
  <tableStyleInfo name="TableStyleMedium1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FB02AE6A-E2D2-4A71-AF28-022BFB6B7702}" name="Tabla232528293027323335161718211922232425262728293031363738394041424344454647484950515253545556575859606162636465666768697071747576777879808281838485878891929394959697989910010110210310410510610710810911011111211311411511611711811912012112212312212412118" displayName="Tabla232528293027323335161718211922232425262728293031363738394041424344454647484950515253545556575859606162636465666768697071747576777879808281838485878891929394959697989910010110210310410510610710810911011111211311411511611711811912012112212312212412118" ref="A9:M30" totalsRowShown="0" headerRowDxfId="152" dataDxfId="151" headerRowBorderDxfId="149" tableBorderDxfId="150">
  <autoFilter ref="A9:M30" xr:uid="{ECDBAADF-10B4-48B0-8E5C-D41947EC6452}"/>
  <tableColumns count="13">
    <tableColumn id="1" xr3:uid="{BACA3893-A0B3-4BE6-9EC3-F633048D9E69}" name="FECHA PAGO" dataDxfId="148"/>
    <tableColumn id="2" xr3:uid="{5B021306-A823-4CD3-96A9-302841B432EB}" name="MONTO" dataDxfId="147"/>
    <tableColumn id="3" xr3:uid="{96B639A6-FFEB-4B49-84AF-CBE6B2A2D4FF}" name="MES DEL SERVICIO" dataDxfId="146"/>
    <tableColumn id="4" xr3:uid="{ECFDF0FD-CCA1-43D1-B250-1C6CE2B176D7}" name="FECHA DE SERVICIO" dataDxfId="145"/>
    <tableColumn id="5" xr3:uid="{69793B06-065A-452B-952E-D97F0393517C}" name="DESCRIPCIÓN" dataDxfId="144"/>
    <tableColumn id="6" xr3:uid="{B8752FA5-4DFE-412A-9E4F-3A1408D0FFAA}" name="FORMA DE PAGO" dataDxfId="143"/>
    <tableColumn id="7" xr3:uid="{8AC85F02-E048-4206-9F59-84DF6A94A9C6}" name="N° SERVICIO" dataDxfId="142"/>
    <tableColumn id="8" xr3:uid="{6AEA1C8B-2F5E-4A82-8BE4-5537A425BBA6}" name="N° FACTURA" dataDxfId="141"/>
    <tableColumn id="9" xr3:uid="{B112F966-BD67-44FF-A2A7-CA100C872DB4}" name="N° CONTRATO " dataDxfId="140"/>
    <tableColumn id="10" xr3:uid="{2BBDFFF9-AE9D-4E04-A9F7-F9697543FA97}" name="N° MANIFIESTO" dataDxfId="139"/>
    <tableColumn id="11" xr3:uid="{15DFDF2D-8D0C-47D6-B995-F81E2AB0C3E1}" name="GUIA " dataDxfId="138"/>
    <tableColumn id="12" xr3:uid="{A8C51C17-70F2-4566-8E0A-4E1A2C77D514}" name="OBSERVACION" dataDxfId="137"/>
    <tableColumn id="13" xr3:uid="{D5F67DAC-85B6-456C-A287-02D0265CFA8B}" name="PESO" dataDxfId="136"/>
  </tableColumns>
  <tableStyleInfo name="TableStyleMedium1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52CA8D54-3D89-4689-9AA3-562A60F4D6BB}" name="Tabla232528293027323335161718211922232425262728293031363738394041424344454647484950515253545556575859606162636465666768697071747576777879808281838485878891929394959697989910010110210310410510610710810911011111211311411511611711811912012112212312212412119" displayName="Tabla232528293027323335161718211922232425262728293031363738394041424344454647484950515253545556575859606162636465666768697071747576777879808281838485878891929394959697989910010110210310410510610710810911011111211311411511611711811912012112212312212412119" ref="A9:M30" totalsRowShown="0" headerRowDxfId="135" dataDxfId="134" headerRowBorderDxfId="132" tableBorderDxfId="133">
  <autoFilter ref="A9:M30" xr:uid="{ECDBAADF-10B4-48B0-8E5C-D41947EC6452}"/>
  <tableColumns count="13">
    <tableColumn id="1" xr3:uid="{2EB1AD68-3E4B-44FD-84AC-0954A9487AF6}" name="FECHA PAGO" dataDxfId="131"/>
    <tableColumn id="2" xr3:uid="{12013BF8-947B-4894-A7B6-9952F7F22597}" name="MONTO" dataDxfId="130"/>
    <tableColumn id="3" xr3:uid="{3B9F4A78-2E45-465A-8993-9E330ABC0822}" name="MES DEL SERVICIO" dataDxfId="129"/>
    <tableColumn id="4" xr3:uid="{47593286-FBAC-45DD-A2D2-36F1185DF96E}" name="FECHA DE SERVICIO" dataDxfId="128"/>
    <tableColumn id="5" xr3:uid="{600FF77E-2593-4622-B057-87F225BCF364}" name="DESCRIPCIÓN" dataDxfId="127"/>
    <tableColumn id="6" xr3:uid="{AAB504E1-DDF7-4665-872A-085A1FEDAEAC}" name="FORMA DE PAGO" dataDxfId="126"/>
    <tableColumn id="7" xr3:uid="{F1AAE14D-A636-4780-A529-943C47A3E732}" name="N° SERVICIO" dataDxfId="125"/>
    <tableColumn id="8" xr3:uid="{2C057873-CA4F-4F1A-9D43-D810E58E7E67}" name="N° FACTURA" dataDxfId="124"/>
    <tableColumn id="9" xr3:uid="{325F937C-F417-4E94-AA68-096E4281EA01}" name="N° CONTRATO " dataDxfId="123"/>
    <tableColumn id="10" xr3:uid="{37B0050D-3DE2-47DA-A62C-BD733FD283E6}" name="N° MANIFIESTO" dataDxfId="122"/>
    <tableColumn id="11" xr3:uid="{A201B129-7FBD-4152-B76B-948F0B7C8119}" name="GUIA " dataDxfId="121"/>
    <tableColumn id="12" xr3:uid="{5FD11A54-2965-4856-83BC-601C7A3179D5}" name="OBSERVACION" dataDxfId="120"/>
    <tableColumn id="13" xr3:uid="{5412C4DB-AF98-44BD-805D-342D62A25947}" name="PESO" dataDxfId="119"/>
  </tableColumns>
  <tableStyleInfo name="TableStyleMedium1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49EF44BB-04D7-46EB-87AC-901DEC876554}" name="Tabla232528293027323335161718211922232425262728293031363738394041424344454647484950515253545556575859606162636465666768697071747576777879808281838485878891929394959697989910010110210310410510610710810911011111211311411511611711811912012112212312212412120" displayName="Tabla232528293027323335161718211922232425262728293031363738394041424344454647484950515253545556575859606162636465666768697071747576777879808281838485878891929394959697989910010110210310410510610710810911011111211311411511611711811912012112212312212412120" ref="A9:M61" totalsRowShown="0" headerRowDxfId="118" dataDxfId="117" headerRowBorderDxfId="115" tableBorderDxfId="116">
  <autoFilter ref="A9:M61" xr:uid="{ECDBAADF-10B4-48B0-8E5C-D41947EC6452}"/>
  <sortState xmlns:xlrd2="http://schemas.microsoft.com/office/spreadsheetml/2017/richdata2" ref="A10:M55">
    <sortCondition ref="D9:D55"/>
  </sortState>
  <tableColumns count="13">
    <tableColumn id="1" xr3:uid="{62F6EE0B-83EF-4EFB-B2BB-F06942EFA0C0}" name="FECHA PAGO" dataDxfId="114"/>
    <tableColumn id="2" xr3:uid="{9B9E45D9-DB47-45F2-9284-80AE190D3912}" name="MONTO" dataDxfId="113"/>
    <tableColumn id="3" xr3:uid="{A38FE69F-EA08-44FB-93E2-7BBB3D4D2AA1}" name="MES DEL SERVICIO" dataDxfId="112"/>
    <tableColumn id="4" xr3:uid="{B9514B2A-C9FE-4459-ADB0-C67B7A6B7603}" name="FECHA DE SERVICIO" dataDxfId="111"/>
    <tableColumn id="5" xr3:uid="{92B5EC0D-3D88-4183-867E-CE2E247CBB7E}" name="DESCRIPCIÓN" dataDxfId="110"/>
    <tableColumn id="6" xr3:uid="{A07F8DE6-1D66-4D7D-B442-0428536F1396}" name="FORMA DE PAGO" dataDxfId="109"/>
    <tableColumn id="7" xr3:uid="{4A00D7D1-51F9-442A-9406-6B6E1818109A}" name="N° SERVICIO" dataDxfId="108"/>
    <tableColumn id="8" xr3:uid="{B769F2F2-5E82-4833-BC7A-1901270B1A68}" name="N° FACTURA" dataDxfId="107"/>
    <tableColumn id="9" xr3:uid="{72119D5E-A22D-4C85-B692-6D5E23BF7EBC}" name="N° CONTRATO " dataDxfId="106"/>
    <tableColumn id="10" xr3:uid="{6460F7A8-CC8B-472B-BEDC-C9BF49B0A485}" name="N° MANIFIESTO" dataDxfId="105"/>
    <tableColumn id="11" xr3:uid="{C428E0FE-60EC-469A-9C12-C1B789C1CE59}" name="GUIA " dataDxfId="104"/>
    <tableColumn id="12" xr3:uid="{8E8BF5F8-A0B1-4070-94FB-C959899CF7C4}" name="OBSERVACION" dataDxfId="103"/>
    <tableColumn id="13" xr3:uid="{EB5C6423-5222-47DD-8266-63B33663DA88}" name="PESO" dataDxfId="102"/>
  </tableColumns>
  <tableStyleInfo name="TableStyleMedium1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A3E004D1-D215-4090-BE7B-E854CD7DB581}" name="Tabla232528293027323335161718211922232425262728293031363738394041424344454647484950515253545556575859606162636465666768697071747576777879808281838485878891929394959697989910010110210310410510610710810911011111211311411511611711811912012112212312212412121" displayName="Tabla232528293027323335161718211922232425262728293031363738394041424344454647484950515253545556575859606162636465666768697071747576777879808281838485878891929394959697989910010110210310410510610710810911011111211311411511611711811912012112212312212412121" ref="A9:M30" totalsRowShown="0" headerRowDxfId="101" dataDxfId="100" headerRowBorderDxfId="98" tableBorderDxfId="99">
  <autoFilter ref="A9:M30" xr:uid="{ECDBAADF-10B4-48B0-8E5C-D41947EC6452}"/>
  <tableColumns count="13">
    <tableColumn id="1" xr3:uid="{A48BEAF9-4AFC-4729-BA47-3C1EBEAF0160}" name="FECHA PAGO" dataDxfId="97"/>
    <tableColumn id="2" xr3:uid="{9BC51E67-8CF2-4BAB-8839-DCC984998A1B}" name="MONTO" dataDxfId="96"/>
    <tableColumn id="3" xr3:uid="{90322B98-2B8D-4B96-A2CD-CF274BC60F9B}" name="MES DEL SERVICIO" dataDxfId="95"/>
    <tableColumn id="4" xr3:uid="{74882E94-32DB-4D19-BD8B-F432DC4BC2F8}" name="FECHA DE SERVICIO" dataDxfId="94"/>
    <tableColumn id="5" xr3:uid="{F33CA173-9A63-44E0-AA4C-870154E8AB42}" name="DESCRIPCIÓN" dataDxfId="93"/>
    <tableColumn id="6" xr3:uid="{D2FC1C34-0882-4DA9-8158-D5BF9B1818E5}" name="FORMA DE PAGO" dataDxfId="92"/>
    <tableColumn id="7" xr3:uid="{7F2BC057-8AEF-4951-86F1-2E8B47F2DDF3}" name="N° SERVICIO" dataDxfId="91"/>
    <tableColumn id="8" xr3:uid="{B829DDDF-D3CF-4934-A23F-1422DE075C5E}" name="N° FACTURA" dataDxfId="90"/>
    <tableColumn id="9" xr3:uid="{AB1BA40F-1341-44B1-B3E9-29211C1B7B11}" name="N° CONTRATO " dataDxfId="89"/>
    <tableColumn id="10" xr3:uid="{A3B53BAF-4296-4EA1-A2EC-1D3D0BA23B4C}" name="N° MANIFIESTO" dataDxfId="88"/>
    <tableColumn id="11" xr3:uid="{5400D0E2-BE28-4015-8C19-C7E3F34641D5}" name="GUIA " dataDxfId="87"/>
    <tableColumn id="12" xr3:uid="{D2DF6D23-0CD1-4959-B11D-E5B70770B8AF}" name="OBSERVACION" dataDxfId="86"/>
    <tableColumn id="13" xr3:uid="{A5D368B0-4686-4C40-88CE-5B2C3BCF8F68}" name="PESO" dataDxfId="85"/>
  </tableColumns>
  <tableStyleInfo name="TableStyleMedium1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1EC1BE93-B1FC-41D1-B159-B230ADCABF27}" name="Tabla232528293027323335161718211922232425262728293031363738394041424344454647484950515253545556575859606162636465666768697071747576777879808281838485878891929394959697989910010110210310410510610710810911011111211311411511611711811912012112212312212412122" displayName="Tabla232528293027323335161718211922232425262728293031363738394041424344454647484950515253545556575859606162636465666768697071747576777879808281838485878891929394959697989910010110210310410510610710810911011111211311411511611711811912012112212312212412122" ref="A9:M30" totalsRowShown="0" headerRowDxfId="84" dataDxfId="83" headerRowBorderDxfId="81" tableBorderDxfId="82">
  <autoFilter ref="A9:M30" xr:uid="{ECDBAADF-10B4-48B0-8E5C-D41947EC6452}"/>
  <tableColumns count="13">
    <tableColumn id="1" xr3:uid="{BBA69AC1-DEF1-4B41-A07E-7D9139AEEAF4}" name="FECHA PAGO" dataDxfId="80"/>
    <tableColumn id="2" xr3:uid="{BA3EA5D0-FAF7-4E66-936C-3BECD222F3B9}" name="MONTO" dataDxfId="79"/>
    <tableColumn id="3" xr3:uid="{722FC766-397B-4B52-911E-2183D4256F0F}" name="MES DEL SERVICIO" dataDxfId="78"/>
    <tableColumn id="4" xr3:uid="{D6E42F80-CD81-4293-9CE8-3D7116186450}" name="FECHA DE SERVICIO" dataDxfId="77"/>
    <tableColumn id="5" xr3:uid="{5E39DB34-B21F-423B-9CCD-AF9DC75186AF}" name="DESCRIPCIÓN" dataDxfId="76"/>
    <tableColumn id="6" xr3:uid="{727D5F91-BF35-47E3-B7FD-0C05076BCF6E}" name="FORMA DE PAGO" dataDxfId="75"/>
    <tableColumn id="7" xr3:uid="{62E78ADD-E352-43F7-981E-CE9B26C0BBF8}" name="N° SERVICIO" dataDxfId="74"/>
    <tableColumn id="8" xr3:uid="{D4D230CC-E17F-40F7-B783-DA8F388B2C9D}" name="N° FACTURA" dataDxfId="73"/>
    <tableColumn id="9" xr3:uid="{39B15A0A-9325-4B32-A588-A135AF040720}" name="N° CONTRATO " dataDxfId="72"/>
    <tableColumn id="10" xr3:uid="{9E0F5521-08B9-4126-861C-4555A1F2AD73}" name="N° MANIFIESTO" dataDxfId="71"/>
    <tableColumn id="11" xr3:uid="{14B594B9-C2E8-4CE4-AB6C-E6EFEC64501D}" name="GUIA " dataDxfId="70"/>
    <tableColumn id="12" xr3:uid="{72DDC5B6-B5DF-4C4A-BA56-EC1B57BD1D80}" name="OBSERVACION" dataDxfId="69"/>
    <tableColumn id="13" xr3:uid="{6AC8EC39-E7C2-4F36-86ED-7DFE35EF0CFF}" name="PESO" dataDxfId="68"/>
  </tableColumns>
  <tableStyleInfo name="TableStyleMedium1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553E4523-2C29-40A6-9401-E5EAD920BCEF}" name="Tabla232528293027323335161718211922232425262728293031363738394041424344454647484950515253545556575859606162636465666768697071747576777879808281838485878891929394959697989910010110210310410510610710810911011111211311411511611711811912012112212312212412123" displayName="Tabla232528293027323335161718211922232425262728293031363738394041424344454647484950515253545556575859606162636465666768697071747576777879808281838485878891929394959697989910010110210310410510610710810911011111211311411511611711811912012112212312212412123" ref="A9:M30" totalsRowShown="0" headerRowDxfId="67" dataDxfId="66" headerRowBorderDxfId="64" tableBorderDxfId="65">
  <autoFilter ref="A9:M30" xr:uid="{ECDBAADF-10B4-48B0-8E5C-D41947EC6452}"/>
  <tableColumns count="13">
    <tableColumn id="1" xr3:uid="{2F02825D-DEF3-41AC-BF56-FEE3FA3950E7}" name="FECHA PAGO" dataDxfId="63"/>
    <tableColumn id="2" xr3:uid="{81259FEA-B1FC-41B1-861E-CCF0E0BDB62D}" name="MONTO" dataDxfId="62"/>
    <tableColumn id="3" xr3:uid="{D6313736-8E47-4FD2-A452-AFA69A868CF3}" name="MES DEL SERVICIO" dataDxfId="61"/>
    <tableColumn id="4" xr3:uid="{D3EA3939-7582-4332-AD62-DAD16D596AEF}" name="FECHA DE SERVICIO" dataDxfId="60"/>
    <tableColumn id="5" xr3:uid="{386D5FDE-4FE6-43EB-9F5D-C16B5FE299C6}" name="DESCRIPCIÓN" dataDxfId="59"/>
    <tableColumn id="6" xr3:uid="{A6889EC1-8A50-4767-B10C-1D42A35BD3C6}" name="FORMA DE PAGO" dataDxfId="58"/>
    <tableColumn id="7" xr3:uid="{FB61A58D-235D-473E-9D59-3FCB08BE9739}" name="N° SERVICIO" dataDxfId="57"/>
    <tableColumn id="8" xr3:uid="{5B4EC406-6547-43E9-A20D-4A68BC13E38C}" name="N° FACTURA" dataDxfId="56"/>
    <tableColumn id="9" xr3:uid="{D71158A2-52F3-40D5-BD07-179D1BC25A0A}" name="N° CONTRATO " dataDxfId="55"/>
    <tableColumn id="10" xr3:uid="{09AAB7A2-F641-4A11-80F9-26FDDCE05F58}" name="N° MANIFIESTO" dataDxfId="54"/>
    <tableColumn id="11" xr3:uid="{CA287294-9A3D-4BC8-9A0C-AAAD53918776}" name="GUIA " dataDxfId="53"/>
    <tableColumn id="12" xr3:uid="{FF162C0A-3CE1-4442-B0AC-D4ADC8600CAB}" name="OBSERVACION" dataDxfId="52"/>
    <tableColumn id="13" xr3:uid="{6D59CDCB-CA96-4360-B1CE-A1A5C86E0BB9}" name="PESO" dataDxfId="51"/>
  </tableColumns>
  <tableStyleInfo name="TableStyleMedium1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52B3E0AB-F24D-4243-9F1B-B959B0889C46}" name="Tabla232528293027323335161718211922232425262728293031363738394041424344454647484950515253545556575859606162636465666768697071747576777879808281838485878891929394959697989910010110210310410510610710810911011111211311411511611711811912012112212312212412124" displayName="Tabla232528293027323335161718211922232425262728293031363738394041424344454647484950515253545556575859606162636465666768697071747576777879808281838485878891929394959697989910010110210310410510610710810911011111211311411511611711811912012112212312212412124" ref="A9:M30" totalsRowShown="0" headerRowDxfId="50" dataDxfId="49" headerRowBorderDxfId="47" tableBorderDxfId="48">
  <autoFilter ref="A9:M30" xr:uid="{ECDBAADF-10B4-48B0-8E5C-D41947EC6452}"/>
  <tableColumns count="13">
    <tableColumn id="1" xr3:uid="{C37C0869-2A25-4838-B0F9-584831C2BD02}" name="FECHA PAGO" dataDxfId="46"/>
    <tableColumn id="2" xr3:uid="{E8A84B3E-B357-4120-9450-E49584201EC4}" name="MONTO" dataDxfId="45"/>
    <tableColumn id="3" xr3:uid="{80BE7AF6-36F2-46F0-BD03-829288BF5F4E}" name="MES DEL SERVICIO" dataDxfId="44"/>
    <tableColumn id="4" xr3:uid="{D802C516-90C9-4F98-941B-D2BF9079BEA6}" name="FECHA DE SERVICIO" dataDxfId="43"/>
    <tableColumn id="5" xr3:uid="{0B286696-AF91-4EDA-9252-201EE68AEB1E}" name="DESCRIPCIÓN" dataDxfId="42"/>
    <tableColumn id="6" xr3:uid="{B1649690-9690-4A78-BA04-6EBDDB498310}" name="FORMA DE PAGO" dataDxfId="41"/>
    <tableColumn id="7" xr3:uid="{AE454472-5C25-4CA4-B40A-B760A8476099}" name="N° SERVICIO" dataDxfId="40"/>
    <tableColumn id="8" xr3:uid="{A29536CA-55BF-4075-8644-957A13679BF6}" name="N° FACTURA" dataDxfId="39"/>
    <tableColumn id="9" xr3:uid="{75086FC4-F21F-4ED3-9EA8-0C07DE565329}" name="N° CONTRATO " dataDxfId="38"/>
    <tableColumn id="10" xr3:uid="{09A468DA-3EF9-483D-9A8A-250F7C96F83C}" name="N° MANIFIESTO" dataDxfId="37"/>
    <tableColumn id="11" xr3:uid="{3D257532-876A-490E-BFC3-9FF3B9E69E43}" name="GUIA " dataDxfId="36"/>
    <tableColumn id="12" xr3:uid="{8326BE3E-BDC6-4696-BF91-7CB2A1693546}" name="OBSERVACION" dataDxfId="35"/>
    <tableColumn id="13" xr3:uid="{B14938DA-21EA-4BD9-9EAD-8DE476C55FDD}" name="PESO" dataDxfId="34"/>
  </tableColumns>
  <tableStyleInfo name="TableStyleMedium1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1AAE3363-9A2D-47CD-BE17-2F8698CAA3CD}" name="Tabla232528293027323335161718211922232425262728293031363738394041424344454647484950515253545556575859606162636465666768697071747576777879808281838485878891929394959697989910010110210310410510610710810911011111211311411511611711811912012112212312212412125" displayName="Tabla232528293027323335161718211922232425262728293031363738394041424344454647484950515253545556575859606162636465666768697071747576777879808281838485878891929394959697989910010110210310410510610710810911011111211311411511611711811912012112212312212412125" ref="A9:M30" totalsRowShown="0" headerRowDxfId="33" dataDxfId="32" headerRowBorderDxfId="30" tableBorderDxfId="31">
  <autoFilter ref="A9:M30" xr:uid="{ECDBAADF-10B4-48B0-8E5C-D41947EC6452}"/>
  <tableColumns count="13">
    <tableColumn id="1" xr3:uid="{29B345DC-A78F-4F6F-8C07-CFD2C81B5818}" name="FECHA PAGO" dataDxfId="29"/>
    <tableColumn id="2" xr3:uid="{BF14A7E6-EAED-4691-BCAD-ED5FAE6E4FF9}" name="MONTO" dataDxfId="28"/>
    <tableColumn id="3" xr3:uid="{30A7D538-31D1-4597-94E8-10B22BBB1A9B}" name="MES DEL SERVICIO" dataDxfId="27"/>
    <tableColumn id="4" xr3:uid="{E871F5BC-1D7E-4612-8B41-691BD23D4193}" name="FECHA DE SERVICIO" dataDxfId="26"/>
    <tableColumn id="5" xr3:uid="{F108D212-233D-44E3-B7C5-EDC18DA43D5D}" name="DESCRIPCIÓN" dataDxfId="25"/>
    <tableColumn id="6" xr3:uid="{FDBF1281-C0C5-4132-AFB5-2AAB446B2F00}" name="FORMA DE PAGO" dataDxfId="24"/>
    <tableColumn id="7" xr3:uid="{D0082315-5947-4C03-A0A3-7EF595B12550}" name="N° SERVICIO" dataDxfId="23"/>
    <tableColumn id="8" xr3:uid="{BCEF8AB7-A8EA-4AEB-A73D-F6134D060A45}" name="N° FACTURA" dataDxfId="22"/>
    <tableColumn id="9" xr3:uid="{17067B4A-386C-47FD-9A31-1FB7A0E2CE4D}" name="N° CONTRATO " dataDxfId="21"/>
    <tableColumn id="10" xr3:uid="{B36FACB0-B0AE-4C0C-8D93-215B79C786C8}" name="N° MANIFIESTO" dataDxfId="20"/>
    <tableColumn id="11" xr3:uid="{E6291549-B161-4AE0-B618-814561E27029}" name="GUIA " dataDxfId="19"/>
    <tableColumn id="12" xr3:uid="{27A2971D-E545-4307-BB0B-B0CE36F495C0}" name="OBSERVACION" dataDxfId="18"/>
    <tableColumn id="13" xr3:uid="{DD0F8115-F721-461D-8B25-01056CE878CB}" name="PESO" dataDxfId="17"/>
  </tableColumns>
  <tableStyleInfo name="TableStyleMedium1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B9D80047-866A-4241-90B5-46198BAFEC7A}" name="Tabla232528293027323335161718211922232425262728293031363738394041424344454647484950515253545556575859606162636465666768697071747576777879808281838485878891929394959697989910010110210310410510610710810911011111211311411511611711811912012112212312212412749" displayName="Tabla232528293027323335161718211922232425262728293031363738394041424344454647484950515253545556575859606162636465666768697071747576777879808281838485878891929394959697989910010110210310410510610710810911011111211311411511611711811912012112212312212412749" ref="A9:M30" totalsRowShown="0" headerRowDxfId="16" dataDxfId="15" headerRowBorderDxfId="13" tableBorderDxfId="14">
  <autoFilter ref="A9:M30" xr:uid="{ECDBAADF-10B4-48B0-8E5C-D41947EC6452}"/>
  <tableColumns count="13">
    <tableColumn id="1" xr3:uid="{A1B6B185-A106-4574-937D-D917871A0731}" name="FECHA PAGO" dataDxfId="12"/>
    <tableColumn id="2" xr3:uid="{5A56C230-7D75-496F-BF0D-957856C1897C}" name="MONTO" dataDxfId="11"/>
    <tableColumn id="3" xr3:uid="{1E8FDA3F-E270-4CF3-A570-D73AC4D1FDA9}" name="MES DEL SERVICIO" dataDxfId="10"/>
    <tableColumn id="4" xr3:uid="{0369DD4B-D55E-453E-8A4F-374B8F11A7E1}" name="FECHA DE SERVICIO" dataDxfId="9"/>
    <tableColumn id="5" xr3:uid="{B1FF3DD3-0E6F-4ABC-AAC1-5634AC97F6F0}" name="DESCRIPCIÓN" dataDxfId="8"/>
    <tableColumn id="6" xr3:uid="{41370F3D-9C05-4EC3-BDFD-20FA565E2CAB}" name="FORMA DE PAGO" dataDxfId="7"/>
    <tableColumn id="7" xr3:uid="{F4964A3B-097F-48AB-AEF5-5FAB90CF407D}" name="N° SERVICIO" dataDxfId="6"/>
    <tableColumn id="8" xr3:uid="{7493F48E-0DD1-4BC7-8379-EC5BFB17FAD9}" name="N° FACTURA" dataDxfId="5"/>
    <tableColumn id="9" xr3:uid="{7710E9F0-CAF7-4D4F-9B97-95661250B205}" name="N° CONTRATO " dataDxfId="4"/>
    <tableColumn id="10" xr3:uid="{E6CD91CD-900B-4D24-972B-C81261ADA367}" name="N° MANIFIESTO" dataDxfId="3"/>
    <tableColumn id="11" xr3:uid="{167384D8-0B9E-44B6-A8BB-5AD889A3CE24}" name="GUIA " dataDxfId="2"/>
    <tableColumn id="12" xr3:uid="{7B495A36-E8AA-495A-9231-843B4A0AC6E2}" name="OBSERVACION" dataDxfId="1"/>
    <tableColumn id="13" xr3:uid="{07BCA4F5-40A2-4729-A360-671A30DD8FDA}" name="PESO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IANI010381@GMAIL.COM" TargetMode="External"/><Relationship Id="rId1" Type="http://schemas.openxmlformats.org/officeDocument/2006/relationships/hyperlink" Target="mailto:GIANI010381@GMAIL.COM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Neyva_1087@hotmail.com" TargetMode="External"/><Relationship Id="rId1" Type="http://schemas.openxmlformats.org/officeDocument/2006/relationships/hyperlink" Target="mailto:carmenpatclin@hotmail.com" TargetMode="Externa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Johanadesantos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hyperlink" Target="mailto:belman_14_82@hotmail.com" TargetMode="External"/><Relationship Id="rId1" Type="http://schemas.openxmlformats.org/officeDocument/2006/relationships/hyperlink" Target="mailto:lablumar-17@hot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admision1.chincha@famisalud.com.pe" TargetMode="External"/><Relationship Id="rId1" Type="http://schemas.openxmlformats.org/officeDocument/2006/relationships/hyperlink" Target="mailto:secretaria.chincha@famisalud.com.pe" TargetMode="Externa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CONTABILIDAD.CHINCHA@FAMISALUD.COM.PE%20," TargetMode="External"/><Relationship Id="rId1" Type="http://schemas.openxmlformats.org/officeDocument/2006/relationships/hyperlink" Target="mailto:CONTABILIDAD.CHINCHA@FAMISALUD.COM.PE" TargetMode="Externa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edeica.grupvald2015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saludocupacional@clinicaluren.com.pe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hyperlink" Target="mailto:Clinicasanmartin598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hyperlink" Target="mailto:donayree@g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hyperlink" Target="mailto:icamedic.sac@gmail.com" TargetMode="External"/><Relationship Id="rId1" Type="http://schemas.openxmlformats.org/officeDocument/2006/relationships/hyperlink" Target="mailto:gerencia@icamedic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cristina_princess1@hot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hyperlink" Target="mailto:rosapblgo@hotmail.com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hyperlink" Target="mailto:sanjosepoliclinico27@gmail.com" TargetMode="External"/><Relationship Id="rId1" Type="http://schemas.openxmlformats.org/officeDocument/2006/relationships/hyperlink" Target="mailto:Josevcmedico@hotmail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b_161092vica@hotmail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hyperlink" Target="mailto:consultoriosfernimedic@gmail.com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hyperlink" Target="mailto:cd.lsaravia@outlook.es" TargetMode="External"/><Relationship Id="rId1" Type="http://schemas.openxmlformats.org/officeDocument/2006/relationships/hyperlink" Target="mailto:cd.lsaravia@outlook.es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hyperlink" Target="mailto:dayzidiaz88@gmail.com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2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hyperlink" Target="mailto:OSMARVET25@GMAIL.COM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OSMARVET25@GMAIL.COM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ANIMAL.CENTER.GUERRERO@GMAIL.COM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hyperlink" Target="mailto:zoivet@hotmail.com" TargetMode="External"/><Relationship Id="rId1" Type="http://schemas.openxmlformats.org/officeDocument/2006/relationships/hyperlink" Target="mailto:zoivet@hotmail.com" TargetMode="External"/><Relationship Id="rId4" Type="http://schemas.openxmlformats.org/officeDocument/2006/relationships/table" Target="../tables/table32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fernandapc17@hotmail.com" TargetMode="External"/><Relationship Id="rId1" Type="http://schemas.openxmlformats.org/officeDocument/2006/relationships/hyperlink" Target="mailto:fernandapc17@hotmail.com" TargetMode="Externa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hyperlink" Target="mailto:praxi84@gmail.com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hyperlink" Target="mailto:yobervetsanisidro@hotmail.com" TargetMode="External"/><Relationship Id="rId1" Type="http://schemas.openxmlformats.org/officeDocument/2006/relationships/hyperlink" Target="mailto:yobervetsanisidro@hotmail.com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mailto:mvzcinthiacabezas@gmail.com" TargetMode="External"/><Relationship Id="rId1" Type="http://schemas.openxmlformats.org/officeDocument/2006/relationships/hyperlink" Target="mailto:mvzcinthiacabezas@gmail.com" TargetMode="External"/><Relationship Id="rId4" Type="http://schemas.openxmlformats.org/officeDocument/2006/relationships/table" Target="../tables/table41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hyperlink" Target="mailto:mvzcinthiacabezas@gmail.com" TargetMode="External"/><Relationship Id="rId1" Type="http://schemas.openxmlformats.org/officeDocument/2006/relationships/hyperlink" Target="mailto:mvzcinthiacabezas@gmail.com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hyperlink" Target="mailto:mvzcinthiacabezas@gmail.com" TargetMode="External"/><Relationship Id="rId1" Type="http://schemas.openxmlformats.org/officeDocument/2006/relationships/hyperlink" Target="mailto:mvzcinthiacabezas@gmail.com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hyperlink" Target="mailto:mvzcinthiacabezas@gmail.com" TargetMode="External"/><Relationship Id="rId1" Type="http://schemas.openxmlformats.org/officeDocument/2006/relationships/hyperlink" Target="mailto:mvzcinthiacabezas@gmail.com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hyperlink" Target="mailto:mvzcinthiacabezas@gmail.com" TargetMode="External"/><Relationship Id="rId1" Type="http://schemas.openxmlformats.org/officeDocument/2006/relationships/hyperlink" Target="mailto:mvzcinthiacabezas@gmail.com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hyperlink" Target="mailto:midentistakids.sac@gmail.com" TargetMode="External"/><Relationship Id="rId1" Type="http://schemas.openxmlformats.org/officeDocument/2006/relationships/hyperlink" Target="mailto:mvzcinthiacabezas@gmail.com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16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hyperlink" Target="mailto:clifarveteirl@hotmail.com%20/%20gotardo_55k@hotmail.com/%20vetpuenteblanco@gmail.com" TargetMode="Externa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hyperlink" Target="mailto:jaimecapunaycruz@gmail.com" TargetMode="External"/><Relationship Id="rId1" Type="http://schemas.openxmlformats.org/officeDocument/2006/relationships/hyperlink" Target="mailto:jaimecapunaycruz@gmail.com" TargetMode="Externa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hyperlink" Target="mailto:clinicaevaleti@gmail.com" TargetMode="Externa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hyperlink" Target="mailto:rayalaroxy@gmail.com" TargetMode="External"/><Relationship Id="rId1" Type="http://schemas.openxmlformats.org/officeDocument/2006/relationships/hyperlink" Target="mailto:contabilidad@resodunas.com" TargetMode="Externa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hyperlink" Target="mailto:Jr_2080@hotmail.com" TargetMode="Externa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hyperlink" Target="mailto:xarorenalcare@outlook.es/%20daizaq@hotmail.com" TargetMode="External"/><Relationship Id="rId1" Type="http://schemas.openxmlformats.org/officeDocument/2006/relationships/hyperlink" Target="mailto:xarorenalcare@outlook.es/%20daizaq@hotmail.com" TargetMode="Externa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hyperlink" Target="mailto:JOEL.1981@GMAIL.COM" TargetMode="Externa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hyperlink" Target="mailto:pathy9@gmail.com" TargetMode="Externa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hyperlink" Target="mailto:Segurapardolauraraquel@gmail.com" TargetMode="Externa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hyperlink" Target="mailto:Jr_2080@hotmail.com" TargetMode="Externa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hyperlink" Target="mailto:Jr_2080@hotmail.com" TargetMode="Externa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1.xml"/><Relationship Id="rId1" Type="http://schemas.openxmlformats.org/officeDocument/2006/relationships/hyperlink" Target="mailto:Jr_2080@hotmail.com" TargetMode="Externa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2.xml"/><Relationship Id="rId1" Type="http://schemas.openxmlformats.org/officeDocument/2006/relationships/hyperlink" Target="mailto:Jr_2080@hotmail.com" TargetMode="Externa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3.xml"/><Relationship Id="rId1" Type="http://schemas.openxmlformats.org/officeDocument/2006/relationships/hyperlink" Target="mailto:Jr_2080@hotmail.com" TargetMode="Externa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hyperlink" Target="mailto:Jr_2080@hotmail.com" TargetMode="Externa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5.xml"/><Relationship Id="rId1" Type="http://schemas.openxmlformats.org/officeDocument/2006/relationships/hyperlink" Target="mailto:Jr_2080@hotmail.com" TargetMode="Externa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hyperlink" Target="mailto:Jr_2080@hotmail.com" TargetMode="Externa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7.xml"/><Relationship Id="rId1" Type="http://schemas.openxmlformats.org/officeDocument/2006/relationships/hyperlink" Target="mailto:Jr_2080@hotmail.com" TargetMode="Externa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8.xml"/><Relationship Id="rId1" Type="http://schemas.openxmlformats.org/officeDocument/2006/relationships/hyperlink" Target="mailto:Jr_2080@hotmail.com" TargetMode="Externa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9.xml"/><Relationship Id="rId1" Type="http://schemas.openxmlformats.org/officeDocument/2006/relationships/hyperlink" Target="mailto:Jr_2080@hotmail.com" TargetMode="Externa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0.xml"/><Relationship Id="rId1" Type="http://schemas.openxmlformats.org/officeDocument/2006/relationships/hyperlink" Target="mailto:Jr_2080@hotmail.com" TargetMode="Externa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1.xml"/><Relationship Id="rId1" Type="http://schemas.openxmlformats.org/officeDocument/2006/relationships/hyperlink" Target="mailto:Jr_2080@hotmail.com" TargetMode="Externa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2.xml"/><Relationship Id="rId1" Type="http://schemas.openxmlformats.org/officeDocument/2006/relationships/hyperlink" Target="mailto:Jr_2080@hotmail.com" TargetMode="Externa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3.xml"/><Relationship Id="rId1" Type="http://schemas.openxmlformats.org/officeDocument/2006/relationships/hyperlink" Target="mailto:Jr_2080@hotmail.com" TargetMode="Externa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4.xml"/><Relationship Id="rId1" Type="http://schemas.openxmlformats.org/officeDocument/2006/relationships/hyperlink" Target="mailto:Jr_2080@hotmail.com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5.xml"/><Relationship Id="rId1" Type="http://schemas.openxmlformats.org/officeDocument/2006/relationships/hyperlink" Target="mailto:Jr_2080@hotmail.com" TargetMode="Externa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6.xml"/><Relationship Id="rId1" Type="http://schemas.openxmlformats.org/officeDocument/2006/relationships/hyperlink" Target="mailto:Jr_2080@hotmail.com" TargetMode="Externa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7.xml"/><Relationship Id="rId1" Type="http://schemas.openxmlformats.org/officeDocument/2006/relationships/hyperlink" Target="mailto:Jr_2080@hotmail.com" TargetMode="Externa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8.xml"/><Relationship Id="rId2" Type="http://schemas.openxmlformats.org/officeDocument/2006/relationships/hyperlink" Target="mailto:clinicavrica@gmail.com" TargetMode="External"/><Relationship Id="rId1" Type="http://schemas.openxmlformats.org/officeDocument/2006/relationships/hyperlink" Target="mailto:clivirosa@speedy.com.pe" TargetMode="Externa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9.xml"/><Relationship Id="rId1" Type="http://schemas.openxmlformats.org/officeDocument/2006/relationships/hyperlink" Target="mailto:juanaccolccamitma@gmail.com" TargetMode="Externa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0.xml"/><Relationship Id="rId1" Type="http://schemas.openxmlformats.org/officeDocument/2006/relationships/hyperlink" Target="mailto:cd.integralab@gmail.com" TargetMode="Externa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2.xml"/><Relationship Id="rId1" Type="http://schemas.openxmlformats.org/officeDocument/2006/relationships/hyperlink" Target="mailto:info@corporacionluren.com" TargetMode="Externa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3.xml"/><Relationship Id="rId1" Type="http://schemas.openxmlformats.org/officeDocument/2006/relationships/hyperlink" Target="mailto:zoemed.labs@gmail.com" TargetMode="Externa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4.xml"/><Relationship Id="rId1" Type="http://schemas.openxmlformats.org/officeDocument/2006/relationships/hyperlink" Target="mailto:beatriz.quenta@saluslaboris.pe%20,%20Maria.emma@saluslaboris.pe" TargetMode="Externa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5.xml"/><Relationship Id="rId1" Type="http://schemas.openxmlformats.org/officeDocument/2006/relationships/hyperlink" Target="mailto:jaimarsarmiento77@gmail.com" TargetMode="Externa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6.xml"/><Relationship Id="rId1" Type="http://schemas.openxmlformats.org/officeDocument/2006/relationships/hyperlink" Target="mailto:mirianlujan12@gmail.com%20/%20mimi.veterinaria12@gmail.com" TargetMode="Externa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7.xml"/><Relationship Id="rId1" Type="http://schemas.openxmlformats.org/officeDocument/2006/relationships/hyperlink" Target="mailto:Jr_2080@hotmail.com" TargetMode="Externa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8.xml"/><Relationship Id="rId1" Type="http://schemas.openxmlformats.org/officeDocument/2006/relationships/hyperlink" Target="mailto:dariovillagaray@hotmail.com" TargetMode="Externa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9.xml"/><Relationship Id="rId1" Type="http://schemas.openxmlformats.org/officeDocument/2006/relationships/hyperlink" Target="mailto:zodontocentro@gmail.com" TargetMode="Externa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0.xml"/><Relationship Id="rId1" Type="http://schemas.openxmlformats.org/officeDocument/2006/relationships/hyperlink" Target="mailto:alexandervirgo171717@gmail.com" TargetMode="Externa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2.xml"/><Relationship Id="rId1" Type="http://schemas.openxmlformats.org/officeDocument/2006/relationships/hyperlink" Target="mailto:luviasaraviahernandez@gmail.com" TargetMode="Externa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3.xml"/><Relationship Id="rId1" Type="http://schemas.openxmlformats.org/officeDocument/2006/relationships/hyperlink" Target="mailto:administracion@dentalfamilychilca.com" TargetMode="Externa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5.xml"/><Relationship Id="rId1" Type="http://schemas.openxmlformats.org/officeDocument/2006/relationships/hyperlink" Target="mailto:Vanessatr_19@hotmail.com" TargetMode="Externa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6.xml"/><Relationship Id="rId1" Type="http://schemas.openxmlformats.org/officeDocument/2006/relationships/hyperlink" Target="mailto:rdonayrecayo@gmail.com" TargetMode="Externa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7.xml"/><Relationship Id="rId1" Type="http://schemas.openxmlformats.org/officeDocument/2006/relationships/hyperlink" Target="mailto:Jr_2080@hotmail.com" TargetMode="Externa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8.xml"/><Relationship Id="rId1" Type="http://schemas.openxmlformats.org/officeDocument/2006/relationships/hyperlink" Target="mailto:Jr_2080@hotmail.com" TargetMode="Externa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9.xml"/><Relationship Id="rId1" Type="http://schemas.openxmlformats.org/officeDocument/2006/relationships/hyperlink" Target="mailto:OKYGIOVANNI@HOTMAIL.COM" TargetMode="Externa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0.xml"/><Relationship Id="rId1" Type="http://schemas.openxmlformats.org/officeDocument/2006/relationships/hyperlink" Target="mailto:Jr_2080@hotmail.com" TargetMode="Externa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1.xml"/><Relationship Id="rId1" Type="http://schemas.openxmlformats.org/officeDocument/2006/relationships/hyperlink" Target="mailto:Jr_2080@hotmail.com" TargetMode="Externa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2.xml"/><Relationship Id="rId1" Type="http://schemas.openxmlformats.org/officeDocument/2006/relationships/hyperlink" Target="mailto:Jr_2080@hotmail.com" TargetMode="Externa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3.xml"/><Relationship Id="rId1" Type="http://schemas.openxmlformats.org/officeDocument/2006/relationships/hyperlink" Target="mailto:Jr_2080@hotmail.com" TargetMode="Externa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5.xml"/><Relationship Id="rId1" Type="http://schemas.openxmlformats.org/officeDocument/2006/relationships/hyperlink" Target="mailto:Hernandezdonayremariafernanda@gmail.com" TargetMode="Externa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6.xml"/><Relationship Id="rId1" Type="http://schemas.openxmlformats.org/officeDocument/2006/relationships/hyperlink" Target="mailto:ksotelo@clinicanuevasalud.pe%20,%20mmeza@clinicanuevasalud.pe" TargetMode="Externa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7.xml"/><Relationship Id="rId1" Type="http://schemas.openxmlformats.org/officeDocument/2006/relationships/hyperlink" Target="mailto:Jr_2080@hotmail.com" TargetMode="Externa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8.xml"/><Relationship Id="rId1" Type="http://schemas.openxmlformats.org/officeDocument/2006/relationships/hyperlink" Target="mailto:Jr_2080@hotmail.com" TargetMode="Externa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9.xml"/><Relationship Id="rId1" Type="http://schemas.openxmlformats.org/officeDocument/2006/relationships/hyperlink" Target="mailto:franroman39@hotmail.com" TargetMode="Externa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0.xml"/><Relationship Id="rId1" Type="http://schemas.openxmlformats.org/officeDocument/2006/relationships/hyperlink" Target="mailto:alonzovet25@gmail.com" TargetMode="External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1.xml"/><Relationship Id="rId1" Type="http://schemas.openxmlformats.org/officeDocument/2006/relationships/hyperlink" Target="mailto:zayoncayo@gmail.com" TargetMode="Externa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2.xml"/><Relationship Id="rId1" Type="http://schemas.openxmlformats.org/officeDocument/2006/relationships/hyperlink" Target="mailto:yulyjm18af@gmail.com" TargetMode="Externa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3.xml"/><Relationship Id="rId1" Type="http://schemas.openxmlformats.org/officeDocument/2006/relationships/hyperlink" Target="mailto:Jr_2080@hotmail.com" TargetMode="External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4.xml"/><Relationship Id="rId1" Type="http://schemas.openxmlformats.org/officeDocument/2006/relationships/hyperlink" Target="mailto:emersonescribapalomino@gmail.com" TargetMode="Externa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5.xml"/><Relationship Id="rId1" Type="http://schemas.openxmlformats.org/officeDocument/2006/relationships/hyperlink" Target="mailto:Jr_2080@hotmail.com" TargetMode="Externa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6.xml"/><Relationship Id="rId1" Type="http://schemas.openxmlformats.org/officeDocument/2006/relationships/hyperlink" Target="mailto:Cvfaccevet@gmail.com." TargetMode="External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7.xml"/><Relationship Id="rId1" Type="http://schemas.openxmlformats.org/officeDocument/2006/relationships/hyperlink" Target="mailto:roxana.ig@hotmail.com" TargetMode="Externa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8.xml"/><Relationship Id="rId1" Type="http://schemas.openxmlformats.org/officeDocument/2006/relationships/hyperlink" Target="mailto:Jr_2080@hotmail.com" TargetMode="Externa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9.xml"/><Relationship Id="rId1" Type="http://schemas.openxmlformats.org/officeDocument/2006/relationships/hyperlink" Target="mailto:Jr_2080@hotmail.com" TargetMode="External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0.xml"/><Relationship Id="rId1" Type="http://schemas.openxmlformats.org/officeDocument/2006/relationships/hyperlink" Target="mailto:Jr_2080@hotmail.com" TargetMode="Externa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1.xml"/><Relationship Id="rId1" Type="http://schemas.openxmlformats.org/officeDocument/2006/relationships/hyperlink" Target="mailto:Jr_2080@hotmail.com" TargetMode="External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2.xml"/><Relationship Id="rId1" Type="http://schemas.openxmlformats.org/officeDocument/2006/relationships/hyperlink" Target="mailto:Jr_2080@hotmail.com" TargetMode="External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3.xml"/><Relationship Id="rId1" Type="http://schemas.openxmlformats.org/officeDocument/2006/relationships/hyperlink" Target="mailto:Jr_2080@hotmail.com" TargetMode="Externa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4.xml"/><Relationship Id="rId1" Type="http://schemas.openxmlformats.org/officeDocument/2006/relationships/hyperlink" Target="mailto:Jr_2080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5B85-A021-4C91-B9CA-35E245913DA9}">
  <dimension ref="A1:O107"/>
  <sheetViews>
    <sheetView topLeftCell="A61" workbookViewId="0">
      <selection activeCell="M80" sqref="M80"/>
    </sheetView>
  </sheetViews>
  <sheetFormatPr defaultColWidth="11.42578125" defaultRowHeight="15"/>
  <cols>
    <col min="2" max="2" width="15.28515625" bestFit="1" customWidth="1"/>
    <col min="13" max="13" width="16" customWidth="1"/>
  </cols>
  <sheetData>
    <row r="1" spans="1:15" ht="23.25">
      <c r="A1" s="642" t="s">
        <v>0</v>
      </c>
      <c r="B1" s="642"/>
      <c r="C1" s="642"/>
      <c r="D1" s="642"/>
      <c r="E1" s="642"/>
      <c r="F1" s="642"/>
      <c r="G1" s="642"/>
      <c r="H1" s="642"/>
      <c r="I1" s="642"/>
    </row>
    <row r="2" spans="1:15">
      <c r="A2" s="2"/>
      <c r="B2" s="2"/>
    </row>
    <row r="3" spans="1:15">
      <c r="A3" s="2" t="s">
        <v>1</v>
      </c>
      <c r="B3" s="3">
        <v>20604975736</v>
      </c>
    </row>
    <row r="4" spans="1:15" ht="30.75">
      <c r="A4" s="4" t="s">
        <v>2</v>
      </c>
      <c r="B4" s="5" t="s">
        <v>3</v>
      </c>
    </row>
    <row r="5" spans="1:15" ht="83.25" customHeight="1">
      <c r="A5" s="68" t="s">
        <v>4</v>
      </c>
      <c r="B5" s="69">
        <v>45693</v>
      </c>
      <c r="D5" s="643" t="s">
        <v>5</v>
      </c>
      <c r="E5" s="643"/>
      <c r="F5" s="6"/>
      <c r="G5" s="6"/>
      <c r="H5" s="646" t="s">
        <v>6</v>
      </c>
      <c r="I5" s="646"/>
      <c r="J5" s="646"/>
    </row>
    <row r="6" spans="1:15" ht="57">
      <c r="A6" s="70" t="s">
        <v>7</v>
      </c>
      <c r="B6" s="70" t="s">
        <v>8</v>
      </c>
      <c r="C6" s="70" t="s">
        <v>9</v>
      </c>
      <c r="D6" s="70" t="s">
        <v>10</v>
      </c>
      <c r="E6" s="70" t="s">
        <v>11</v>
      </c>
      <c r="F6" s="70" t="s">
        <v>12</v>
      </c>
      <c r="G6" s="70" t="s">
        <v>13</v>
      </c>
      <c r="H6" s="70" t="s">
        <v>14</v>
      </c>
      <c r="I6" s="70" t="s">
        <v>15</v>
      </c>
      <c r="J6" s="70" t="s">
        <v>16</v>
      </c>
      <c r="K6" s="70" t="s">
        <v>17</v>
      </c>
      <c r="L6" s="70" t="s">
        <v>18</v>
      </c>
      <c r="M6" s="483" t="s">
        <v>19</v>
      </c>
      <c r="N6" s="483" t="s">
        <v>20</v>
      </c>
      <c r="O6" s="483" t="s">
        <v>21</v>
      </c>
    </row>
    <row r="7" spans="1:15" ht="30.75">
      <c r="A7" s="7">
        <v>44135</v>
      </c>
      <c r="B7" s="8">
        <v>350</v>
      </c>
      <c r="C7" s="2" t="s">
        <v>22</v>
      </c>
      <c r="D7" s="7">
        <v>44135</v>
      </c>
      <c r="E7" s="2" t="s">
        <v>23</v>
      </c>
      <c r="F7" s="2" t="s">
        <v>24</v>
      </c>
      <c r="G7" s="2">
        <v>1</v>
      </c>
      <c r="H7" s="2">
        <v>1147</v>
      </c>
      <c r="I7" s="9"/>
      <c r="J7" s="9" t="s">
        <v>25</v>
      </c>
      <c r="K7" s="9"/>
      <c r="L7" s="2" t="s">
        <v>26</v>
      </c>
      <c r="M7" s="2"/>
      <c r="N7" s="2"/>
      <c r="O7" s="2"/>
    </row>
    <row r="8" spans="1:15" ht="30.75">
      <c r="A8" s="7">
        <v>44163</v>
      </c>
      <c r="B8" s="8">
        <v>350</v>
      </c>
      <c r="C8" s="2" t="s">
        <v>27</v>
      </c>
      <c r="D8" s="7">
        <v>44163</v>
      </c>
      <c r="E8" s="2" t="s">
        <v>23</v>
      </c>
      <c r="F8" s="2" t="s">
        <v>28</v>
      </c>
      <c r="G8" s="2">
        <v>2</v>
      </c>
      <c r="H8" s="2">
        <v>1332</v>
      </c>
      <c r="I8" s="9"/>
      <c r="J8" s="9" t="s">
        <v>29</v>
      </c>
      <c r="K8" s="9"/>
      <c r="L8" s="2" t="s">
        <v>26</v>
      </c>
      <c r="M8" s="2"/>
      <c r="N8" s="2"/>
      <c r="O8" s="2"/>
    </row>
    <row r="9" spans="1:15" ht="30.75">
      <c r="A9" s="7">
        <v>44196</v>
      </c>
      <c r="B9" s="8">
        <v>350</v>
      </c>
      <c r="C9" s="2" t="s">
        <v>30</v>
      </c>
      <c r="D9" s="7">
        <v>44196</v>
      </c>
      <c r="E9" s="2" t="s">
        <v>23</v>
      </c>
      <c r="F9" s="2" t="s">
        <v>28</v>
      </c>
      <c r="G9" s="2">
        <v>3</v>
      </c>
      <c r="H9" s="2">
        <v>1573</v>
      </c>
      <c r="I9" s="9"/>
      <c r="J9" s="9" t="s">
        <v>31</v>
      </c>
      <c r="K9" s="9"/>
      <c r="L9" s="2" t="s">
        <v>26</v>
      </c>
      <c r="M9" s="2"/>
      <c r="N9" s="2"/>
      <c r="O9" s="2"/>
    </row>
    <row r="10" spans="1:15" ht="30.75">
      <c r="A10" s="7">
        <v>44226</v>
      </c>
      <c r="B10" s="8">
        <v>350</v>
      </c>
      <c r="C10" s="2" t="s">
        <v>32</v>
      </c>
      <c r="D10" s="7">
        <v>44226</v>
      </c>
      <c r="E10" s="2" t="s">
        <v>23</v>
      </c>
      <c r="F10" s="2" t="s">
        <v>28</v>
      </c>
      <c r="G10" s="2">
        <v>4</v>
      </c>
      <c r="H10" s="2">
        <v>1825</v>
      </c>
      <c r="I10" s="9"/>
      <c r="J10" s="9" t="s">
        <v>33</v>
      </c>
      <c r="K10" s="9"/>
      <c r="L10" s="2" t="s">
        <v>26</v>
      </c>
      <c r="M10" s="2"/>
      <c r="N10" s="2"/>
      <c r="O10" s="2"/>
    </row>
    <row r="11" spans="1:15" ht="30.75">
      <c r="A11" s="7">
        <v>44254</v>
      </c>
      <c r="B11" s="8">
        <v>350</v>
      </c>
      <c r="C11" s="2" t="s">
        <v>34</v>
      </c>
      <c r="D11" s="7">
        <v>44254</v>
      </c>
      <c r="E11" s="2" t="s">
        <v>23</v>
      </c>
      <c r="F11" s="2" t="s">
        <v>28</v>
      </c>
      <c r="G11" s="2">
        <v>5</v>
      </c>
      <c r="H11" s="9" t="s">
        <v>35</v>
      </c>
      <c r="I11" s="9" t="s">
        <v>36</v>
      </c>
      <c r="J11" s="9" t="s">
        <v>37</v>
      </c>
      <c r="K11" s="9"/>
      <c r="L11" s="2" t="s">
        <v>26</v>
      </c>
      <c r="M11" s="2"/>
      <c r="N11" s="2"/>
      <c r="O11" s="2"/>
    </row>
    <row r="12" spans="1:15" ht="30.75">
      <c r="A12" s="7">
        <v>44282</v>
      </c>
      <c r="B12" s="8">
        <v>350</v>
      </c>
      <c r="C12" s="2" t="s">
        <v>38</v>
      </c>
      <c r="D12" s="7">
        <v>44282</v>
      </c>
      <c r="E12" s="2" t="s">
        <v>23</v>
      </c>
      <c r="F12" s="2" t="s">
        <v>28</v>
      </c>
      <c r="G12" s="2">
        <v>6</v>
      </c>
      <c r="H12" s="9" t="s">
        <v>39</v>
      </c>
      <c r="I12" s="9"/>
      <c r="J12" s="9" t="s">
        <v>40</v>
      </c>
      <c r="K12" s="9"/>
      <c r="L12" s="2" t="s">
        <v>26</v>
      </c>
      <c r="M12" s="2"/>
      <c r="N12" s="2"/>
      <c r="O12" s="2"/>
    </row>
    <row r="13" spans="1:15" ht="30.75">
      <c r="A13" s="7">
        <v>44315</v>
      </c>
      <c r="B13" s="8">
        <v>350</v>
      </c>
      <c r="C13" s="2" t="s">
        <v>41</v>
      </c>
      <c r="D13" s="7">
        <v>44315</v>
      </c>
      <c r="E13" s="2" t="s">
        <v>23</v>
      </c>
      <c r="F13" s="2" t="s">
        <v>28</v>
      </c>
      <c r="G13" s="2">
        <v>7</v>
      </c>
      <c r="H13" s="9" t="s">
        <v>42</v>
      </c>
      <c r="I13" s="9"/>
      <c r="J13" s="9" t="s">
        <v>43</v>
      </c>
      <c r="K13" s="9"/>
      <c r="L13" s="2" t="s">
        <v>26</v>
      </c>
      <c r="M13" s="2"/>
      <c r="N13" s="2"/>
      <c r="O13" s="2"/>
    </row>
    <row r="14" spans="1:15" ht="30.75">
      <c r="A14" s="7">
        <v>44345</v>
      </c>
      <c r="B14" s="8">
        <v>350</v>
      </c>
      <c r="C14" s="2" t="s">
        <v>44</v>
      </c>
      <c r="D14" s="7">
        <v>44345</v>
      </c>
      <c r="E14" s="2" t="s">
        <v>23</v>
      </c>
      <c r="F14" s="2" t="s">
        <v>28</v>
      </c>
      <c r="G14" s="2">
        <v>8</v>
      </c>
      <c r="H14" s="9" t="s">
        <v>45</v>
      </c>
      <c r="I14" s="9"/>
      <c r="J14" s="9" t="s">
        <v>46</v>
      </c>
      <c r="K14" s="9"/>
      <c r="L14" s="2" t="s">
        <v>26</v>
      </c>
      <c r="M14" s="2"/>
      <c r="N14" s="2"/>
      <c r="O14" s="2"/>
    </row>
    <row r="15" spans="1:15" ht="30.75">
      <c r="A15" s="7">
        <v>44408</v>
      </c>
      <c r="B15" s="8">
        <v>350</v>
      </c>
      <c r="C15" s="2" t="s">
        <v>47</v>
      </c>
      <c r="D15" s="7">
        <v>44408</v>
      </c>
      <c r="E15" s="2" t="s">
        <v>23</v>
      </c>
      <c r="F15" s="2" t="s">
        <v>28</v>
      </c>
      <c r="G15" s="2">
        <v>9</v>
      </c>
      <c r="H15" s="9" t="s">
        <v>48</v>
      </c>
      <c r="I15" s="9"/>
      <c r="J15" s="9" t="s">
        <v>49</v>
      </c>
      <c r="K15" s="9"/>
      <c r="L15" s="2" t="s">
        <v>26</v>
      </c>
      <c r="M15" s="2"/>
      <c r="N15" s="2"/>
      <c r="O15" s="2"/>
    </row>
    <row r="16" spans="1:15" ht="30.75">
      <c r="A16" s="7">
        <v>44436</v>
      </c>
      <c r="B16" s="8">
        <v>350</v>
      </c>
      <c r="C16" s="2" t="s">
        <v>50</v>
      </c>
      <c r="D16" s="7">
        <v>44436</v>
      </c>
      <c r="E16" s="2" t="s">
        <v>23</v>
      </c>
      <c r="F16" s="2" t="s">
        <v>28</v>
      </c>
      <c r="G16" s="2">
        <v>10</v>
      </c>
      <c r="H16" s="9"/>
      <c r="I16" s="9"/>
      <c r="J16" s="9" t="s">
        <v>51</v>
      </c>
      <c r="K16" s="9"/>
      <c r="L16" s="2" t="s">
        <v>26</v>
      </c>
      <c r="M16" s="2"/>
      <c r="N16" s="2"/>
      <c r="O16" s="2"/>
    </row>
    <row r="17" spans="1:15" ht="30.75">
      <c r="A17" s="7">
        <v>44469</v>
      </c>
      <c r="B17" s="8">
        <v>350</v>
      </c>
      <c r="C17" s="2" t="s">
        <v>22</v>
      </c>
      <c r="D17" s="7">
        <v>44469</v>
      </c>
      <c r="E17" s="2" t="s">
        <v>23</v>
      </c>
      <c r="F17" s="2" t="s">
        <v>28</v>
      </c>
      <c r="G17" s="2">
        <v>11</v>
      </c>
      <c r="H17" s="2">
        <v>2805</v>
      </c>
      <c r="I17" s="9"/>
      <c r="J17" s="9" t="s">
        <v>52</v>
      </c>
      <c r="K17" s="9"/>
      <c r="L17" s="2" t="s">
        <v>26</v>
      </c>
      <c r="M17" s="2"/>
      <c r="N17" s="2"/>
      <c r="O17" s="2"/>
    </row>
    <row r="18" spans="1:15" ht="30.75">
      <c r="A18" s="7">
        <v>44499</v>
      </c>
      <c r="B18" s="8" t="s">
        <v>53</v>
      </c>
      <c r="C18" s="2" t="s">
        <v>54</v>
      </c>
      <c r="D18" s="7">
        <v>44499</v>
      </c>
      <c r="E18" s="2" t="s">
        <v>23</v>
      </c>
      <c r="F18" s="2" t="s">
        <v>28</v>
      </c>
      <c r="G18" s="2">
        <v>12</v>
      </c>
      <c r="H18" s="2">
        <v>3411</v>
      </c>
      <c r="I18" s="9"/>
      <c r="J18" s="9" t="s">
        <v>55</v>
      </c>
      <c r="K18" s="9"/>
      <c r="L18" s="2" t="s">
        <v>56</v>
      </c>
      <c r="M18" s="2"/>
      <c r="N18" s="2"/>
      <c r="O18" s="2"/>
    </row>
    <row r="19" spans="1:15" ht="30.75">
      <c r="A19" s="7">
        <v>44527</v>
      </c>
      <c r="B19" s="8">
        <v>350</v>
      </c>
      <c r="C19" s="2" t="s">
        <v>27</v>
      </c>
      <c r="D19" s="7">
        <v>44527</v>
      </c>
      <c r="E19" s="2" t="s">
        <v>23</v>
      </c>
      <c r="F19" s="2" t="s">
        <v>28</v>
      </c>
      <c r="G19" s="2">
        <v>13</v>
      </c>
      <c r="H19" s="2">
        <v>3987</v>
      </c>
      <c r="I19" s="2"/>
      <c r="J19" s="2">
        <v>7876</v>
      </c>
      <c r="K19" s="2"/>
      <c r="L19" s="2" t="s">
        <v>56</v>
      </c>
      <c r="M19" s="2"/>
      <c r="N19" s="2"/>
      <c r="O19" s="2"/>
    </row>
    <row r="20" spans="1:15" ht="30.75">
      <c r="A20" s="7">
        <v>44558</v>
      </c>
      <c r="B20" s="8">
        <v>350</v>
      </c>
      <c r="C20" s="2" t="s">
        <v>30</v>
      </c>
      <c r="D20" s="7">
        <v>44558</v>
      </c>
      <c r="E20" s="2" t="s">
        <v>23</v>
      </c>
      <c r="F20" s="2" t="s">
        <v>28</v>
      </c>
      <c r="G20" s="2">
        <v>14</v>
      </c>
      <c r="H20" s="2">
        <v>4530</v>
      </c>
      <c r="I20" s="2"/>
      <c r="J20" s="2">
        <v>8682</v>
      </c>
      <c r="K20" s="2"/>
      <c r="L20" s="2" t="s">
        <v>56</v>
      </c>
      <c r="M20" s="2"/>
      <c r="N20" s="2"/>
      <c r="O20" s="2"/>
    </row>
    <row r="21" spans="1:15" ht="30.75">
      <c r="A21" s="7">
        <v>44590</v>
      </c>
      <c r="B21" s="8">
        <v>350</v>
      </c>
      <c r="C21" s="2" t="s">
        <v>32</v>
      </c>
      <c r="D21" s="7">
        <v>44590</v>
      </c>
      <c r="E21" s="2" t="s">
        <v>23</v>
      </c>
      <c r="F21" s="2" t="s">
        <v>28</v>
      </c>
      <c r="G21" s="2">
        <v>15</v>
      </c>
      <c r="H21" s="2">
        <v>4886</v>
      </c>
      <c r="I21" s="2"/>
      <c r="J21" s="2">
        <v>9909</v>
      </c>
      <c r="K21" s="2"/>
      <c r="L21" s="2" t="s">
        <v>56</v>
      </c>
      <c r="M21" s="2"/>
      <c r="N21" s="2"/>
      <c r="O21" s="2"/>
    </row>
    <row r="22" spans="1:15" ht="30.75">
      <c r="A22" s="7">
        <v>44622</v>
      </c>
      <c r="B22" s="8">
        <v>350</v>
      </c>
      <c r="C22" s="2" t="s">
        <v>34</v>
      </c>
      <c r="D22" s="7">
        <v>44622</v>
      </c>
      <c r="E22" s="2" t="s">
        <v>23</v>
      </c>
      <c r="F22" s="2" t="s">
        <v>28</v>
      </c>
      <c r="G22" s="2">
        <v>16</v>
      </c>
      <c r="H22" s="2">
        <v>7184</v>
      </c>
      <c r="I22" s="2"/>
      <c r="J22" s="2">
        <v>11178</v>
      </c>
      <c r="K22" s="2"/>
      <c r="L22" s="2" t="s">
        <v>56</v>
      </c>
      <c r="M22" s="2"/>
      <c r="N22" s="2"/>
      <c r="O22" s="2"/>
    </row>
    <row r="23" spans="1:15" ht="30.75">
      <c r="A23" s="7">
        <v>44650</v>
      </c>
      <c r="B23" s="8">
        <v>350</v>
      </c>
      <c r="C23" s="2" t="s">
        <v>38</v>
      </c>
      <c r="D23" s="7">
        <v>44650</v>
      </c>
      <c r="E23" s="2" t="s">
        <v>23</v>
      </c>
      <c r="F23" s="2" t="s">
        <v>28</v>
      </c>
      <c r="G23" s="2">
        <v>17</v>
      </c>
      <c r="H23" s="2">
        <v>7184</v>
      </c>
      <c r="I23" s="2"/>
      <c r="J23" s="2">
        <v>12001</v>
      </c>
      <c r="K23" s="2"/>
      <c r="L23" s="2" t="s">
        <v>56</v>
      </c>
      <c r="M23" s="2"/>
      <c r="N23" s="2"/>
      <c r="O23" s="2"/>
    </row>
    <row r="24" spans="1:15" ht="30.75">
      <c r="A24" s="7">
        <v>44681</v>
      </c>
      <c r="B24" s="8">
        <v>350</v>
      </c>
      <c r="C24" s="2" t="s">
        <v>41</v>
      </c>
      <c r="D24" s="7">
        <v>44681</v>
      </c>
      <c r="E24" s="2" t="s">
        <v>23</v>
      </c>
      <c r="F24" s="2" t="s">
        <v>28</v>
      </c>
      <c r="G24" s="2">
        <v>18</v>
      </c>
      <c r="H24" s="2">
        <v>7184</v>
      </c>
      <c r="I24" s="2"/>
      <c r="J24" s="2">
        <v>12875</v>
      </c>
      <c r="K24" s="2"/>
      <c r="L24" s="2" t="s">
        <v>56</v>
      </c>
      <c r="M24" s="2"/>
      <c r="N24" s="2"/>
      <c r="O24" s="2"/>
    </row>
    <row r="25" spans="1:15" ht="30.75">
      <c r="A25" s="7">
        <v>44712</v>
      </c>
      <c r="B25" s="8">
        <v>350</v>
      </c>
      <c r="C25" s="2" t="s">
        <v>44</v>
      </c>
      <c r="D25" s="7">
        <v>44712</v>
      </c>
      <c r="E25" s="2" t="s">
        <v>23</v>
      </c>
      <c r="F25" s="2" t="s">
        <v>28</v>
      </c>
      <c r="G25" s="2">
        <v>19</v>
      </c>
      <c r="H25" s="2">
        <v>8555</v>
      </c>
      <c r="I25" s="2"/>
      <c r="J25" s="2">
        <v>13994</v>
      </c>
      <c r="K25" s="2"/>
      <c r="L25" s="2" t="s">
        <v>26</v>
      </c>
      <c r="M25" s="2"/>
      <c r="N25" s="2"/>
      <c r="O25" s="2"/>
    </row>
    <row r="26" spans="1:15" ht="30.75">
      <c r="A26" s="7">
        <v>44743</v>
      </c>
      <c r="B26" s="8">
        <v>350</v>
      </c>
      <c r="C26" s="2" t="s">
        <v>57</v>
      </c>
      <c r="D26" s="7">
        <v>44743</v>
      </c>
      <c r="E26" s="2" t="s">
        <v>23</v>
      </c>
      <c r="F26" s="2" t="s">
        <v>28</v>
      </c>
      <c r="G26" s="2">
        <v>20</v>
      </c>
      <c r="H26" s="2">
        <v>8670</v>
      </c>
      <c r="I26" s="2"/>
      <c r="J26" s="2">
        <v>14832</v>
      </c>
      <c r="K26" s="2"/>
      <c r="L26" s="2" t="s">
        <v>26</v>
      </c>
      <c r="M26" s="2"/>
      <c r="N26" s="2"/>
      <c r="O26" s="2"/>
    </row>
    <row r="27" spans="1:15" ht="30.75">
      <c r="A27" s="7">
        <v>44772</v>
      </c>
      <c r="B27" s="8">
        <v>350</v>
      </c>
      <c r="C27" s="2" t="s">
        <v>47</v>
      </c>
      <c r="D27" s="7">
        <v>44772</v>
      </c>
      <c r="E27" s="2" t="s">
        <v>23</v>
      </c>
      <c r="F27" s="2" t="s">
        <v>28</v>
      </c>
      <c r="G27" s="2">
        <v>21</v>
      </c>
      <c r="H27" s="2">
        <v>9801</v>
      </c>
      <c r="I27" s="2"/>
      <c r="J27" s="2">
        <v>15735</v>
      </c>
      <c r="K27" s="2"/>
      <c r="L27" s="2" t="s">
        <v>26</v>
      </c>
      <c r="M27" s="2"/>
      <c r="N27" s="2"/>
      <c r="O27" s="2"/>
    </row>
    <row r="28" spans="1:15" ht="30.75">
      <c r="A28" s="7">
        <v>44806</v>
      </c>
      <c r="B28" s="8">
        <v>350</v>
      </c>
      <c r="C28" s="2" t="s">
        <v>50</v>
      </c>
      <c r="D28" s="7">
        <v>44806</v>
      </c>
      <c r="E28" s="2" t="s">
        <v>23</v>
      </c>
      <c r="F28" s="2" t="s">
        <v>28</v>
      </c>
      <c r="G28" s="2">
        <v>22</v>
      </c>
      <c r="H28" s="2">
        <v>10369</v>
      </c>
      <c r="I28" s="2"/>
      <c r="J28" s="2">
        <v>16771</v>
      </c>
      <c r="K28" s="2"/>
      <c r="L28" s="2" t="s">
        <v>26</v>
      </c>
      <c r="M28" s="2"/>
      <c r="N28" s="2"/>
      <c r="O28" s="2"/>
    </row>
    <row r="29" spans="1:15" ht="30.75">
      <c r="A29" s="2" t="s">
        <v>58</v>
      </c>
      <c r="B29" s="8">
        <v>350</v>
      </c>
      <c r="C29" s="2" t="s">
        <v>22</v>
      </c>
      <c r="D29" s="7">
        <v>44834</v>
      </c>
      <c r="E29" s="2" t="s">
        <v>23</v>
      </c>
      <c r="F29" s="2" t="s">
        <v>28</v>
      </c>
      <c r="G29" s="2">
        <v>23</v>
      </c>
      <c r="H29" s="2">
        <v>11183</v>
      </c>
      <c r="I29" s="2"/>
      <c r="J29" s="2">
        <v>17696</v>
      </c>
      <c r="K29" s="2"/>
      <c r="L29" s="2" t="s">
        <v>26</v>
      </c>
      <c r="M29" s="2"/>
      <c r="N29" s="2"/>
      <c r="O29" s="2"/>
    </row>
    <row r="30" spans="1:15" ht="30.75">
      <c r="A30" s="2" t="s">
        <v>59</v>
      </c>
      <c r="B30" s="8">
        <v>350</v>
      </c>
      <c r="C30" s="2" t="s">
        <v>54</v>
      </c>
      <c r="D30" s="2" t="s">
        <v>60</v>
      </c>
      <c r="E30" s="2" t="s">
        <v>23</v>
      </c>
      <c r="F30" s="2" t="s">
        <v>28</v>
      </c>
      <c r="G30" s="2">
        <v>24</v>
      </c>
      <c r="H30" s="2">
        <v>11663</v>
      </c>
      <c r="I30" s="2"/>
      <c r="J30" s="2">
        <v>18237</v>
      </c>
      <c r="K30" s="2"/>
      <c r="L30" s="2" t="s">
        <v>26</v>
      </c>
      <c r="M30" s="2"/>
      <c r="N30" s="2"/>
      <c r="O30" s="2"/>
    </row>
    <row r="31" spans="1:15" ht="30.75">
      <c r="A31" s="2" t="s">
        <v>61</v>
      </c>
      <c r="B31" s="8">
        <v>350</v>
      </c>
      <c r="C31" s="2" t="s">
        <v>27</v>
      </c>
      <c r="D31" s="2" t="s">
        <v>61</v>
      </c>
      <c r="E31" s="2" t="s">
        <v>23</v>
      </c>
      <c r="F31" s="2" t="s">
        <v>24</v>
      </c>
      <c r="G31" s="2">
        <v>25</v>
      </c>
      <c r="H31" s="2">
        <v>12329</v>
      </c>
      <c r="I31" s="2"/>
      <c r="J31" s="2">
        <v>19457</v>
      </c>
      <c r="K31" s="2"/>
      <c r="L31" s="2" t="s">
        <v>26</v>
      </c>
      <c r="M31" s="2"/>
      <c r="N31" s="2"/>
      <c r="O31" s="2"/>
    </row>
    <row r="32" spans="1:15" ht="30.75">
      <c r="A32" s="2" t="s">
        <v>62</v>
      </c>
      <c r="B32" s="8">
        <v>350</v>
      </c>
      <c r="C32" s="2" t="s">
        <v>30</v>
      </c>
      <c r="D32" s="2" t="s">
        <v>62</v>
      </c>
      <c r="E32" s="2" t="s">
        <v>23</v>
      </c>
      <c r="F32" s="2" t="s">
        <v>28</v>
      </c>
      <c r="G32" s="2">
        <v>26</v>
      </c>
      <c r="H32" s="2">
        <v>13129</v>
      </c>
      <c r="I32" s="2"/>
      <c r="J32" s="2">
        <v>20441</v>
      </c>
      <c r="K32" s="2"/>
      <c r="L32" s="2" t="s">
        <v>26</v>
      </c>
      <c r="M32" s="2"/>
      <c r="N32" s="2"/>
      <c r="O32" s="2"/>
    </row>
    <row r="33" spans="1:15" ht="30.75">
      <c r="A33" s="2" t="s">
        <v>63</v>
      </c>
      <c r="B33" s="8">
        <v>350</v>
      </c>
      <c r="C33" s="2" t="s">
        <v>32</v>
      </c>
      <c r="D33" s="2" t="s">
        <v>64</v>
      </c>
      <c r="E33" s="2" t="s">
        <v>23</v>
      </c>
      <c r="F33" s="2" t="s">
        <v>28</v>
      </c>
      <c r="G33" s="2">
        <v>27</v>
      </c>
      <c r="H33" s="2">
        <v>14130</v>
      </c>
      <c r="I33" s="2"/>
      <c r="J33" s="2">
        <v>21276</v>
      </c>
      <c r="K33" s="2"/>
      <c r="L33" s="2" t="s">
        <v>26</v>
      </c>
      <c r="M33" s="2"/>
      <c r="N33" s="2"/>
      <c r="O33" s="2"/>
    </row>
    <row r="34" spans="1:15" ht="30.75">
      <c r="A34" s="2" t="s">
        <v>65</v>
      </c>
      <c r="B34" s="8">
        <v>350</v>
      </c>
      <c r="C34" s="2" t="s">
        <v>34</v>
      </c>
      <c r="D34" s="2" t="s">
        <v>66</v>
      </c>
      <c r="E34" s="2" t="s">
        <v>23</v>
      </c>
      <c r="F34" s="2" t="s">
        <v>28</v>
      </c>
      <c r="G34" s="2">
        <v>28</v>
      </c>
      <c r="H34" s="2">
        <v>14720</v>
      </c>
      <c r="I34" s="2"/>
      <c r="J34" s="2">
        <v>21801</v>
      </c>
      <c r="K34" s="2"/>
      <c r="L34" s="2" t="s">
        <v>26</v>
      </c>
      <c r="M34" s="2"/>
      <c r="N34" s="2"/>
      <c r="O34" s="2"/>
    </row>
    <row r="35" spans="1:15" ht="30.75">
      <c r="A35" s="2" t="s">
        <v>67</v>
      </c>
      <c r="B35" s="8">
        <v>350</v>
      </c>
      <c r="C35" s="2" t="s">
        <v>38</v>
      </c>
      <c r="D35" s="2" t="s">
        <v>68</v>
      </c>
      <c r="E35" s="2" t="s">
        <v>23</v>
      </c>
      <c r="F35" s="2" t="s">
        <v>28</v>
      </c>
      <c r="G35" s="2">
        <v>29</v>
      </c>
      <c r="H35" s="2">
        <v>15697</v>
      </c>
      <c r="I35" s="2"/>
      <c r="J35" s="2"/>
      <c r="K35" s="2"/>
      <c r="L35" s="2" t="s">
        <v>26</v>
      </c>
      <c r="M35" s="2"/>
      <c r="N35" s="2"/>
      <c r="O35" s="2"/>
    </row>
    <row r="36" spans="1:15" ht="30.75">
      <c r="A36" s="2" t="s">
        <v>69</v>
      </c>
      <c r="B36" s="8">
        <v>350</v>
      </c>
      <c r="C36" s="2" t="s">
        <v>41</v>
      </c>
      <c r="D36" s="2" t="s">
        <v>69</v>
      </c>
      <c r="E36" s="2" t="s">
        <v>23</v>
      </c>
      <c r="F36" s="2" t="s">
        <v>28</v>
      </c>
      <c r="G36" s="2">
        <v>30</v>
      </c>
      <c r="H36" s="2">
        <v>15863</v>
      </c>
      <c r="I36" s="2"/>
      <c r="J36" s="2">
        <v>23425</v>
      </c>
      <c r="K36" s="2"/>
      <c r="L36" s="2" t="s">
        <v>26</v>
      </c>
      <c r="M36" s="2">
        <v>50</v>
      </c>
      <c r="N36" s="2"/>
      <c r="O36" s="2"/>
    </row>
    <row r="37" spans="1:15" ht="30.75">
      <c r="A37" s="7">
        <v>44932</v>
      </c>
      <c r="B37" s="8">
        <v>350</v>
      </c>
      <c r="C37" s="2" t="s">
        <v>44</v>
      </c>
      <c r="D37" s="2" t="s">
        <v>70</v>
      </c>
      <c r="E37" s="2" t="s">
        <v>23</v>
      </c>
      <c r="F37" s="2" t="s">
        <v>24</v>
      </c>
      <c r="G37" s="2">
        <v>31</v>
      </c>
      <c r="H37" s="2">
        <v>16534</v>
      </c>
      <c r="I37" s="2"/>
      <c r="J37" s="2">
        <v>24939</v>
      </c>
      <c r="K37" s="2"/>
      <c r="L37" s="2" t="s">
        <v>26</v>
      </c>
      <c r="M37" s="2">
        <v>45</v>
      </c>
      <c r="N37" s="2"/>
      <c r="O37" s="2"/>
    </row>
    <row r="38" spans="1:15" ht="30.75">
      <c r="A38" s="7">
        <v>45104</v>
      </c>
      <c r="B38" s="8">
        <v>350</v>
      </c>
      <c r="C38" s="2" t="s">
        <v>57</v>
      </c>
      <c r="D38" s="7">
        <v>45104</v>
      </c>
      <c r="E38" s="2" t="s">
        <v>23</v>
      </c>
      <c r="F38" s="2" t="s">
        <v>28</v>
      </c>
      <c r="G38" s="2">
        <v>32</v>
      </c>
      <c r="H38" s="2">
        <v>17151</v>
      </c>
      <c r="I38" s="2"/>
      <c r="J38" s="2">
        <v>25644</v>
      </c>
      <c r="K38" s="2"/>
      <c r="L38" s="2" t="s">
        <v>26</v>
      </c>
      <c r="M38" s="2">
        <v>12.8</v>
      </c>
      <c r="N38" s="2"/>
      <c r="O38" s="2"/>
    </row>
    <row r="39" spans="1:15" ht="30.75">
      <c r="A39" s="7">
        <v>45134</v>
      </c>
      <c r="B39" s="8">
        <v>350</v>
      </c>
      <c r="C39" s="2" t="s">
        <v>47</v>
      </c>
      <c r="D39" s="7">
        <v>45134</v>
      </c>
      <c r="E39" s="2" t="s">
        <v>23</v>
      </c>
      <c r="F39" s="2" t="s">
        <v>28</v>
      </c>
      <c r="G39" s="2">
        <v>33</v>
      </c>
      <c r="H39" s="2">
        <v>17969</v>
      </c>
      <c r="I39" s="2"/>
      <c r="J39" s="2">
        <v>26626</v>
      </c>
      <c r="K39" s="2"/>
      <c r="L39" s="2" t="s">
        <v>26</v>
      </c>
      <c r="M39" s="2">
        <v>22.4</v>
      </c>
      <c r="N39" s="2"/>
      <c r="O39" s="2"/>
    </row>
    <row r="40" spans="1:15" ht="30.75">
      <c r="A40" s="7">
        <v>45166</v>
      </c>
      <c r="B40" s="8">
        <v>350</v>
      </c>
      <c r="C40" s="2" t="s">
        <v>50</v>
      </c>
      <c r="D40" s="7">
        <v>45166</v>
      </c>
      <c r="E40" s="2" t="s">
        <v>23</v>
      </c>
      <c r="F40" s="2" t="s">
        <v>28</v>
      </c>
      <c r="G40" s="2">
        <v>34</v>
      </c>
      <c r="H40" s="2">
        <v>18691</v>
      </c>
      <c r="I40" s="2"/>
      <c r="J40" s="2">
        <v>27941</v>
      </c>
      <c r="K40" s="2"/>
      <c r="L40" s="2" t="s">
        <v>26</v>
      </c>
      <c r="M40" s="2">
        <v>10.1</v>
      </c>
      <c r="N40" s="2"/>
      <c r="O40" s="2"/>
    </row>
    <row r="41" spans="1:15" ht="30.75">
      <c r="A41" s="7">
        <v>45198</v>
      </c>
      <c r="B41" s="8">
        <v>350</v>
      </c>
      <c r="C41" s="2" t="s">
        <v>22</v>
      </c>
      <c r="D41" s="7">
        <v>45198</v>
      </c>
      <c r="E41" s="2" t="s">
        <v>23</v>
      </c>
      <c r="F41" s="2" t="s">
        <v>28</v>
      </c>
      <c r="G41" s="2">
        <v>35</v>
      </c>
      <c r="H41" s="2">
        <v>19419</v>
      </c>
      <c r="I41" s="2"/>
      <c r="J41" s="2">
        <v>28908</v>
      </c>
      <c r="K41" s="2"/>
      <c r="L41" s="2" t="s">
        <v>26</v>
      </c>
      <c r="M41" s="2">
        <v>12</v>
      </c>
      <c r="N41" s="2"/>
      <c r="O41" s="2"/>
    </row>
    <row r="42" spans="1:15" ht="30.75">
      <c r="A42" s="7">
        <v>45230</v>
      </c>
      <c r="B42" s="8">
        <v>350</v>
      </c>
      <c r="C42" s="2" t="s">
        <v>54</v>
      </c>
      <c r="D42" s="7">
        <v>45230</v>
      </c>
      <c r="E42" s="2" t="s">
        <v>23</v>
      </c>
      <c r="F42" s="2" t="s">
        <v>28</v>
      </c>
      <c r="G42" s="2">
        <v>36</v>
      </c>
      <c r="H42" s="2">
        <v>20159</v>
      </c>
      <c r="I42" s="2"/>
      <c r="J42" s="2">
        <v>29761</v>
      </c>
      <c r="K42" s="2">
        <v>31861</v>
      </c>
      <c r="L42" s="2" t="s">
        <v>26</v>
      </c>
      <c r="M42" s="2">
        <v>14</v>
      </c>
      <c r="N42" s="2"/>
      <c r="O42" s="2"/>
    </row>
    <row r="43" spans="1:15" ht="30.75">
      <c r="A43" s="7">
        <v>45260</v>
      </c>
      <c r="B43" s="8">
        <v>350</v>
      </c>
      <c r="C43" s="2" t="s">
        <v>27</v>
      </c>
      <c r="D43" s="7">
        <v>45260</v>
      </c>
      <c r="E43" s="2" t="s">
        <v>23</v>
      </c>
      <c r="F43" s="2" t="s">
        <v>28</v>
      </c>
      <c r="G43" s="2">
        <v>37</v>
      </c>
      <c r="H43" s="2">
        <v>20862</v>
      </c>
      <c r="I43" s="2"/>
      <c r="J43" s="2">
        <v>30692</v>
      </c>
      <c r="K43" s="2">
        <v>32806</v>
      </c>
      <c r="L43" s="2" t="s">
        <v>26</v>
      </c>
      <c r="M43" s="2">
        <v>10</v>
      </c>
      <c r="N43" s="2"/>
      <c r="O43" s="2"/>
    </row>
    <row r="44" spans="1:15" ht="30.75">
      <c r="A44" s="7">
        <v>45260</v>
      </c>
      <c r="B44" s="8">
        <v>350</v>
      </c>
      <c r="C44" s="2" t="s">
        <v>30</v>
      </c>
      <c r="D44" s="7">
        <v>45289</v>
      </c>
      <c r="E44" s="2" t="s">
        <v>23</v>
      </c>
      <c r="F44" s="2" t="s">
        <v>28</v>
      </c>
      <c r="G44" s="2">
        <v>38</v>
      </c>
      <c r="H44" s="2">
        <v>21482</v>
      </c>
      <c r="I44" s="2"/>
      <c r="J44" s="2">
        <v>31527</v>
      </c>
      <c r="K44" s="2">
        <v>33666</v>
      </c>
      <c r="L44" s="2" t="s">
        <v>26</v>
      </c>
      <c r="M44" s="2">
        <v>8</v>
      </c>
      <c r="N44" s="2"/>
      <c r="O44" s="2"/>
    </row>
    <row r="45" spans="1:15" ht="30.75">
      <c r="A45" s="7">
        <v>45322</v>
      </c>
      <c r="B45" s="8">
        <v>350</v>
      </c>
      <c r="C45" s="2" t="s">
        <v>32</v>
      </c>
      <c r="D45" s="7">
        <v>45322</v>
      </c>
      <c r="E45" s="2" t="s">
        <v>23</v>
      </c>
      <c r="F45" s="2" t="s">
        <v>28</v>
      </c>
      <c r="G45" s="2">
        <v>39</v>
      </c>
      <c r="H45" s="2">
        <v>22195</v>
      </c>
      <c r="I45" s="2"/>
      <c r="J45" s="2">
        <v>32491</v>
      </c>
      <c r="K45" s="2">
        <v>34566</v>
      </c>
      <c r="L45" s="2" t="s">
        <v>26</v>
      </c>
      <c r="M45" s="2">
        <v>11</v>
      </c>
      <c r="N45" s="100" t="s">
        <v>71</v>
      </c>
      <c r="O45" s="2"/>
    </row>
    <row r="46" spans="1:15" ht="30.75">
      <c r="A46" s="7">
        <v>45351</v>
      </c>
      <c r="B46" s="8">
        <v>350</v>
      </c>
      <c r="C46" s="2" t="s">
        <v>34</v>
      </c>
      <c r="D46" s="7">
        <v>45351</v>
      </c>
      <c r="E46" s="2" t="s">
        <v>23</v>
      </c>
      <c r="F46" s="2" t="s">
        <v>28</v>
      </c>
      <c r="G46" s="2">
        <v>40</v>
      </c>
      <c r="H46" s="2">
        <v>22854</v>
      </c>
      <c r="I46" s="2"/>
      <c r="J46" s="2">
        <v>33372</v>
      </c>
      <c r="K46" s="2">
        <v>35463</v>
      </c>
      <c r="L46" s="2" t="s">
        <v>26</v>
      </c>
      <c r="M46" s="2">
        <v>10</v>
      </c>
      <c r="N46" s="2"/>
      <c r="O46" s="2"/>
    </row>
    <row r="47" spans="1:15" ht="30.75">
      <c r="A47" s="7">
        <v>45377</v>
      </c>
      <c r="B47" s="8">
        <v>350</v>
      </c>
      <c r="C47" s="2" t="s">
        <v>38</v>
      </c>
      <c r="D47" s="7">
        <v>45377</v>
      </c>
      <c r="E47" s="2" t="s">
        <v>23</v>
      </c>
      <c r="F47" s="2" t="s">
        <v>28</v>
      </c>
      <c r="G47" s="2">
        <v>41</v>
      </c>
      <c r="H47" s="2">
        <v>23457</v>
      </c>
      <c r="I47" s="2"/>
      <c r="J47" s="2">
        <v>34360</v>
      </c>
      <c r="K47" s="2">
        <v>36296</v>
      </c>
      <c r="L47" s="2" t="s">
        <v>26</v>
      </c>
      <c r="M47" s="2">
        <v>15.6</v>
      </c>
      <c r="N47" s="2"/>
      <c r="O47" s="2"/>
    </row>
    <row r="48" spans="1:15" ht="30.75">
      <c r="A48" s="7">
        <v>45412</v>
      </c>
      <c r="B48" s="8">
        <v>350</v>
      </c>
      <c r="C48" s="2" t="s">
        <v>41</v>
      </c>
      <c r="D48" s="7">
        <v>45412</v>
      </c>
      <c r="E48" s="2" t="s">
        <v>23</v>
      </c>
      <c r="F48" s="2" t="s">
        <v>28</v>
      </c>
      <c r="G48" s="2">
        <v>42</v>
      </c>
      <c r="H48" s="2">
        <v>24334</v>
      </c>
      <c r="I48" s="2"/>
      <c r="J48" s="2">
        <v>35363</v>
      </c>
      <c r="K48" s="2">
        <v>37340</v>
      </c>
      <c r="L48" s="2" t="s">
        <v>26</v>
      </c>
      <c r="M48" s="2">
        <v>9.3000000000000007</v>
      </c>
      <c r="N48" s="2"/>
      <c r="O48" s="2"/>
    </row>
    <row r="49" spans="1:15" ht="30.75">
      <c r="A49" s="7">
        <v>45443</v>
      </c>
      <c r="B49" s="8">
        <v>350</v>
      </c>
      <c r="C49" s="2" t="s">
        <v>44</v>
      </c>
      <c r="D49" s="7">
        <v>45443</v>
      </c>
      <c r="E49" s="2" t="s">
        <v>23</v>
      </c>
      <c r="F49" s="2" t="s">
        <v>28</v>
      </c>
      <c r="G49" s="2">
        <v>43</v>
      </c>
      <c r="H49" s="2">
        <v>25074</v>
      </c>
      <c r="I49" s="2"/>
      <c r="J49" s="2">
        <v>36267</v>
      </c>
      <c r="K49" s="2">
        <v>38279</v>
      </c>
      <c r="L49" s="2" t="s">
        <v>26</v>
      </c>
      <c r="M49" s="2">
        <v>15.1</v>
      </c>
      <c r="N49" s="2"/>
      <c r="O49" s="2"/>
    </row>
    <row r="50" spans="1:15" ht="30.75">
      <c r="A50" s="7">
        <v>45471</v>
      </c>
      <c r="B50" s="8">
        <v>350</v>
      </c>
      <c r="C50" s="2" t="s">
        <v>57</v>
      </c>
      <c r="D50" s="7">
        <v>45471</v>
      </c>
      <c r="E50" s="2" t="s">
        <v>23</v>
      </c>
      <c r="F50" s="2" t="s">
        <v>28</v>
      </c>
      <c r="G50" s="2">
        <v>44</v>
      </c>
      <c r="H50" s="2">
        <v>25905.333333333299</v>
      </c>
      <c r="I50" s="2"/>
      <c r="J50" s="2">
        <v>37191</v>
      </c>
      <c r="K50" s="2">
        <v>38985</v>
      </c>
      <c r="L50" s="2" t="s">
        <v>26</v>
      </c>
      <c r="M50" s="2">
        <v>8.3000000000000007</v>
      </c>
      <c r="N50" s="2"/>
      <c r="O50" s="2"/>
    </row>
    <row r="51" spans="1:15" ht="30.75">
      <c r="A51" s="7">
        <v>45504</v>
      </c>
      <c r="B51" s="8">
        <v>350</v>
      </c>
      <c r="C51" s="2" t="s">
        <v>47</v>
      </c>
      <c r="D51" s="7">
        <v>45504</v>
      </c>
      <c r="E51" s="2" t="s">
        <v>23</v>
      </c>
      <c r="F51" s="2" t="s">
        <v>24</v>
      </c>
      <c r="G51" s="2">
        <v>45</v>
      </c>
      <c r="H51" s="2">
        <v>26651</v>
      </c>
      <c r="I51" s="2"/>
      <c r="J51" s="2">
        <v>38168</v>
      </c>
      <c r="K51" s="2">
        <v>40306</v>
      </c>
      <c r="L51" s="2" t="s">
        <v>26</v>
      </c>
      <c r="M51" s="2">
        <v>9.4</v>
      </c>
      <c r="N51" s="2"/>
      <c r="O51" s="2"/>
    </row>
    <row r="52" spans="1:15" ht="30.75">
      <c r="A52" s="7">
        <v>45535</v>
      </c>
      <c r="B52" s="8">
        <v>350</v>
      </c>
      <c r="C52" s="2" t="s">
        <v>50</v>
      </c>
      <c r="D52" s="7">
        <v>45535</v>
      </c>
      <c r="E52" s="2" t="s">
        <v>23</v>
      </c>
      <c r="F52" s="2" t="s">
        <v>24</v>
      </c>
      <c r="G52" s="2">
        <v>46</v>
      </c>
      <c r="H52" s="2">
        <v>27341</v>
      </c>
      <c r="I52" s="2"/>
      <c r="J52" s="2">
        <v>39208</v>
      </c>
      <c r="K52" s="2">
        <v>41357</v>
      </c>
      <c r="L52" s="2" t="s">
        <v>72</v>
      </c>
      <c r="M52" s="2">
        <v>40</v>
      </c>
      <c r="N52" s="2"/>
      <c r="O52" s="2"/>
    </row>
    <row r="53" spans="1:15" ht="30.75">
      <c r="A53" s="7">
        <v>45563</v>
      </c>
      <c r="B53" s="8">
        <v>350</v>
      </c>
      <c r="C53" s="2" t="s">
        <v>22</v>
      </c>
      <c r="D53" s="7">
        <v>45563</v>
      </c>
      <c r="E53" s="2" t="s">
        <v>23</v>
      </c>
      <c r="F53" s="2" t="s">
        <v>24</v>
      </c>
      <c r="G53" s="2">
        <v>47</v>
      </c>
      <c r="H53" s="2">
        <v>28256</v>
      </c>
      <c r="I53" s="2"/>
      <c r="J53" s="2">
        <v>40225</v>
      </c>
      <c r="K53" s="2">
        <v>42406</v>
      </c>
      <c r="L53" s="2" t="s">
        <v>73</v>
      </c>
      <c r="M53" s="2">
        <v>30</v>
      </c>
      <c r="N53" s="2"/>
      <c r="O53" s="2"/>
    </row>
    <row r="54" spans="1:15" ht="30.75">
      <c r="A54" s="7">
        <v>45596</v>
      </c>
      <c r="B54" s="8">
        <v>350</v>
      </c>
      <c r="C54" s="2" t="s">
        <v>54</v>
      </c>
      <c r="D54" s="7">
        <v>45596</v>
      </c>
      <c r="E54" s="2" t="s">
        <v>23</v>
      </c>
      <c r="F54" s="2" t="s">
        <v>24</v>
      </c>
      <c r="G54" s="2">
        <v>48</v>
      </c>
      <c r="H54" s="2">
        <v>29066</v>
      </c>
      <c r="I54" s="2"/>
      <c r="J54" s="2">
        <v>41306</v>
      </c>
      <c r="K54" s="2">
        <v>43460</v>
      </c>
      <c r="L54" s="2" t="s">
        <v>72</v>
      </c>
      <c r="M54" s="2">
        <v>20.5</v>
      </c>
      <c r="N54" s="2"/>
      <c r="O54" s="2"/>
    </row>
    <row r="55" spans="1:15" ht="30.75">
      <c r="A55" s="7">
        <v>45624</v>
      </c>
      <c r="B55" s="8">
        <v>350</v>
      </c>
      <c r="C55" s="2" t="s">
        <v>27</v>
      </c>
      <c r="D55" s="7">
        <v>45625</v>
      </c>
      <c r="E55" s="2" t="s">
        <v>23</v>
      </c>
      <c r="F55" s="2" t="s">
        <v>24</v>
      </c>
      <c r="G55" s="2">
        <v>49</v>
      </c>
      <c r="H55" s="2">
        <v>29851</v>
      </c>
      <c r="I55" s="2"/>
      <c r="J55" s="2">
        <v>42242</v>
      </c>
      <c r="K55" s="2">
        <v>44287</v>
      </c>
      <c r="L55" s="2" t="s">
        <v>74</v>
      </c>
      <c r="M55" s="2">
        <v>30.5</v>
      </c>
      <c r="N55" s="2"/>
      <c r="O55" s="2"/>
    </row>
    <row r="56" spans="1:15" ht="30.75">
      <c r="A56" s="7">
        <v>45654</v>
      </c>
      <c r="B56" s="8">
        <v>350</v>
      </c>
      <c r="C56" s="2" t="s">
        <v>30</v>
      </c>
      <c r="D56" s="7">
        <v>45654</v>
      </c>
      <c r="E56" s="2" t="s">
        <v>23</v>
      </c>
      <c r="F56" s="2" t="s">
        <v>24</v>
      </c>
      <c r="G56" s="2">
        <v>50</v>
      </c>
      <c r="H56" s="2">
        <v>30326</v>
      </c>
      <c r="I56" s="2"/>
      <c r="J56" s="2">
        <v>43215</v>
      </c>
      <c r="K56" s="2">
        <v>45443</v>
      </c>
      <c r="L56" s="2" t="s">
        <v>26</v>
      </c>
      <c r="M56" s="2">
        <v>40.5</v>
      </c>
      <c r="N56" s="2"/>
      <c r="O56" s="2"/>
    </row>
    <row r="57" spans="1:15" ht="30.75">
      <c r="A57" s="2" t="s">
        <v>75</v>
      </c>
      <c r="B57" s="8">
        <v>350</v>
      </c>
      <c r="C57" s="2" t="s">
        <v>32</v>
      </c>
      <c r="D57" s="7">
        <v>45686</v>
      </c>
      <c r="E57" s="2" t="s">
        <v>23</v>
      </c>
      <c r="F57" s="2" t="s">
        <v>24</v>
      </c>
      <c r="G57" s="2">
        <v>51</v>
      </c>
      <c r="H57" s="2">
        <v>31489</v>
      </c>
      <c r="I57" s="100">
        <v>923</v>
      </c>
      <c r="J57" s="2">
        <v>44419</v>
      </c>
      <c r="K57" s="2"/>
      <c r="L57" s="2" t="s">
        <v>72</v>
      </c>
      <c r="M57" s="2">
        <v>16.7</v>
      </c>
      <c r="N57" s="2"/>
      <c r="O57" s="100" t="s">
        <v>76</v>
      </c>
    </row>
    <row r="58" spans="1:15" ht="30.75">
      <c r="A58" s="7">
        <v>45716</v>
      </c>
      <c r="B58" s="8">
        <v>350</v>
      </c>
      <c r="C58" s="2" t="s">
        <v>34</v>
      </c>
      <c r="D58" s="7">
        <v>45716</v>
      </c>
      <c r="E58" s="2" t="s">
        <v>23</v>
      </c>
      <c r="F58" s="2" t="s">
        <v>28</v>
      </c>
      <c r="G58" s="2">
        <v>52</v>
      </c>
      <c r="H58" s="2">
        <v>32349</v>
      </c>
      <c r="I58" s="2"/>
      <c r="J58" s="2">
        <v>45465</v>
      </c>
      <c r="K58" s="2"/>
      <c r="L58" s="2" t="s">
        <v>26</v>
      </c>
      <c r="M58" s="2">
        <v>17.5</v>
      </c>
      <c r="N58" s="2"/>
      <c r="O58" s="2"/>
    </row>
    <row r="59" spans="1:15" ht="30.75">
      <c r="A59" s="7">
        <v>45744</v>
      </c>
      <c r="B59" s="8">
        <v>350</v>
      </c>
      <c r="C59" s="2" t="s">
        <v>38</v>
      </c>
      <c r="D59" s="7">
        <v>45744</v>
      </c>
      <c r="E59" s="2" t="s">
        <v>23</v>
      </c>
      <c r="F59" s="2" t="s">
        <v>28</v>
      </c>
      <c r="G59" s="2">
        <v>53</v>
      </c>
      <c r="H59" s="2">
        <v>33216</v>
      </c>
      <c r="I59" s="2"/>
      <c r="J59" s="2">
        <v>46573</v>
      </c>
      <c r="K59" s="2"/>
      <c r="L59" s="2" t="s">
        <v>26</v>
      </c>
      <c r="M59" s="2">
        <v>17.5</v>
      </c>
      <c r="N59" s="2"/>
      <c r="O59" s="2"/>
    </row>
    <row r="60" spans="1:15" ht="30.75">
      <c r="A60" s="7">
        <v>45776</v>
      </c>
      <c r="B60" s="8">
        <v>350</v>
      </c>
      <c r="C60" s="2" t="s">
        <v>41</v>
      </c>
      <c r="D60" s="7">
        <v>45776</v>
      </c>
      <c r="E60" s="2" t="s">
        <v>23</v>
      </c>
      <c r="F60" s="2" t="s">
        <v>28</v>
      </c>
      <c r="G60" s="2">
        <v>54</v>
      </c>
      <c r="H60" s="2">
        <v>34013</v>
      </c>
      <c r="I60" s="2"/>
      <c r="J60" s="2">
        <v>47622</v>
      </c>
      <c r="K60" s="2"/>
      <c r="L60" s="2" t="s">
        <v>26</v>
      </c>
      <c r="M60" s="2">
        <v>65.3</v>
      </c>
      <c r="N60" s="2"/>
      <c r="O60" s="2"/>
    </row>
    <row r="61" spans="1:15" ht="30.75">
      <c r="A61" s="7">
        <v>45805</v>
      </c>
      <c r="B61" s="8">
        <v>350</v>
      </c>
      <c r="C61" s="2" t="s">
        <v>44</v>
      </c>
      <c r="D61" s="7">
        <v>45805</v>
      </c>
      <c r="E61" s="2" t="s">
        <v>23</v>
      </c>
      <c r="F61" s="2" t="s">
        <v>28</v>
      </c>
      <c r="G61" s="2">
        <v>55</v>
      </c>
      <c r="H61" s="2">
        <v>34855</v>
      </c>
      <c r="I61" s="2"/>
      <c r="J61" s="2">
        <v>49986</v>
      </c>
      <c r="K61" s="2"/>
      <c r="L61" s="2" t="s">
        <v>26</v>
      </c>
      <c r="M61" s="2">
        <v>46.5</v>
      </c>
      <c r="N61" s="2"/>
      <c r="O61" s="2"/>
    </row>
    <row r="62" spans="1:15" ht="30.75">
      <c r="A62" s="7">
        <v>45836</v>
      </c>
      <c r="B62" s="8">
        <v>350</v>
      </c>
      <c r="C62" s="2" t="s">
        <v>57</v>
      </c>
      <c r="D62" s="7">
        <v>45836</v>
      </c>
      <c r="E62" s="2" t="s">
        <v>23</v>
      </c>
      <c r="F62" s="2" t="s">
        <v>28</v>
      </c>
      <c r="G62" s="2">
        <v>56</v>
      </c>
      <c r="H62" s="2">
        <v>35700</v>
      </c>
      <c r="I62" s="2"/>
      <c r="J62" s="2">
        <v>49998</v>
      </c>
      <c r="K62" s="2"/>
      <c r="L62" s="2" t="s">
        <v>26</v>
      </c>
      <c r="M62" s="2">
        <v>39</v>
      </c>
      <c r="N62" s="2"/>
      <c r="O62" s="2"/>
    </row>
    <row r="63" spans="1:15" ht="30.75">
      <c r="A63" s="7">
        <v>45864</v>
      </c>
      <c r="B63" s="8">
        <v>350</v>
      </c>
      <c r="C63" s="2" t="s">
        <v>47</v>
      </c>
      <c r="D63" s="7">
        <v>45864</v>
      </c>
      <c r="E63" s="2" t="s">
        <v>23</v>
      </c>
      <c r="F63" s="2" t="s">
        <v>28</v>
      </c>
      <c r="G63" s="2">
        <v>57</v>
      </c>
      <c r="H63" s="2">
        <v>36485</v>
      </c>
      <c r="I63" s="2"/>
      <c r="J63" s="2">
        <v>49999</v>
      </c>
      <c r="K63" s="2"/>
      <c r="L63" s="2" t="s">
        <v>26</v>
      </c>
      <c r="M63" s="2">
        <v>47</v>
      </c>
      <c r="N63" s="2"/>
      <c r="O63" s="2"/>
    </row>
    <row r="64" spans="1:15" ht="30.75">
      <c r="A64" s="7">
        <v>45897</v>
      </c>
      <c r="B64" s="8">
        <v>350</v>
      </c>
      <c r="C64" s="2" t="s">
        <v>50</v>
      </c>
      <c r="D64" s="7">
        <v>45897</v>
      </c>
      <c r="E64" s="2" t="s">
        <v>23</v>
      </c>
      <c r="F64" s="2" t="s">
        <v>24</v>
      </c>
      <c r="G64" s="2">
        <v>58</v>
      </c>
      <c r="H64" s="2">
        <v>37241</v>
      </c>
      <c r="I64" s="2"/>
      <c r="J64" s="2">
        <v>51332</v>
      </c>
      <c r="K64" s="2"/>
      <c r="L64" s="2" t="s">
        <v>72</v>
      </c>
      <c r="M64" s="2">
        <v>55.4</v>
      </c>
      <c r="N64" s="2"/>
      <c r="O64" s="2"/>
    </row>
    <row r="65" spans="1:15" ht="30.75">
      <c r="A65" s="7">
        <v>45929</v>
      </c>
      <c r="B65" s="8">
        <v>350</v>
      </c>
      <c r="C65" s="2" t="s">
        <v>22</v>
      </c>
      <c r="D65" s="7">
        <v>45929</v>
      </c>
      <c r="E65" s="2" t="s">
        <v>23</v>
      </c>
      <c r="F65" s="2" t="s">
        <v>28</v>
      </c>
      <c r="G65" s="2">
        <v>59</v>
      </c>
      <c r="H65" s="2">
        <v>38131</v>
      </c>
      <c r="I65" s="2"/>
      <c r="J65" s="2">
        <v>52117</v>
      </c>
      <c r="K65" s="2"/>
      <c r="L65" s="2" t="s">
        <v>26</v>
      </c>
      <c r="M65" s="2">
        <v>35</v>
      </c>
      <c r="N65" s="2"/>
      <c r="O65" s="2"/>
    </row>
    <row r="66" spans="1:15" ht="30.75">
      <c r="A66" s="7">
        <v>45960</v>
      </c>
      <c r="B66" s="8">
        <v>350</v>
      </c>
      <c r="C66" s="2" t="s">
        <v>54</v>
      </c>
      <c r="D66" s="7">
        <v>45960</v>
      </c>
      <c r="E66" s="2" t="s">
        <v>23</v>
      </c>
      <c r="F66" s="2" t="s">
        <v>28</v>
      </c>
      <c r="G66" s="2">
        <v>60</v>
      </c>
      <c r="H66" s="2">
        <v>38993</v>
      </c>
      <c r="I66" s="2"/>
      <c r="J66" s="2">
        <v>53318</v>
      </c>
      <c r="K66" s="2"/>
      <c r="L66" s="2" t="s">
        <v>26</v>
      </c>
      <c r="M66" s="2">
        <v>18</v>
      </c>
      <c r="N66" s="2"/>
      <c r="O66" s="2"/>
    </row>
    <row r="67" spans="1:15" ht="30.75">
      <c r="A67" s="7">
        <v>45988</v>
      </c>
      <c r="B67" s="8">
        <v>350</v>
      </c>
      <c r="C67" s="2" t="s">
        <v>27</v>
      </c>
      <c r="D67" s="7">
        <v>45988</v>
      </c>
      <c r="E67" s="2" t="s">
        <v>23</v>
      </c>
      <c r="F67" s="2" t="s">
        <v>28</v>
      </c>
      <c r="G67" s="2">
        <v>61</v>
      </c>
      <c r="H67" s="2">
        <v>39723</v>
      </c>
      <c r="I67" s="2"/>
      <c r="J67" s="2">
        <v>54610</v>
      </c>
      <c r="K67" s="2"/>
      <c r="L67" s="2" t="s">
        <v>26</v>
      </c>
      <c r="M67" s="2">
        <v>30</v>
      </c>
      <c r="N67" s="2"/>
      <c r="O67" s="2"/>
    </row>
    <row r="68" spans="1:15" ht="30.75">
      <c r="A68" s="7">
        <v>46018</v>
      </c>
      <c r="B68" s="8">
        <v>350</v>
      </c>
      <c r="C68" s="2" t="s">
        <v>30</v>
      </c>
      <c r="D68" s="7">
        <v>46018</v>
      </c>
      <c r="E68" s="2" t="s">
        <v>23</v>
      </c>
      <c r="F68" s="2" t="s">
        <v>28</v>
      </c>
      <c r="G68" s="2">
        <v>62</v>
      </c>
      <c r="H68" s="2">
        <v>40629</v>
      </c>
      <c r="I68" s="2"/>
      <c r="J68" s="2">
        <v>55635</v>
      </c>
      <c r="K68" s="2"/>
      <c r="L68" s="2" t="s">
        <v>26</v>
      </c>
      <c r="M68" s="2">
        <v>7.5</v>
      </c>
      <c r="N68" s="2"/>
      <c r="O68" s="2"/>
    </row>
    <row r="69" spans="1:15" ht="30.75">
      <c r="A69" s="7">
        <v>46052</v>
      </c>
      <c r="B69" s="8" t="s">
        <v>77</v>
      </c>
      <c r="C69" s="2" t="s">
        <v>32</v>
      </c>
      <c r="D69" s="7">
        <v>46052</v>
      </c>
      <c r="E69" s="2" t="s">
        <v>23</v>
      </c>
      <c r="F69" s="2" t="s">
        <v>28</v>
      </c>
      <c r="G69" s="2">
        <v>63</v>
      </c>
      <c r="H69" s="2">
        <v>41621</v>
      </c>
      <c r="I69" s="2"/>
      <c r="J69" s="2">
        <v>56460</v>
      </c>
      <c r="K69" s="2"/>
      <c r="L69" s="2" t="s">
        <v>26</v>
      </c>
      <c r="M69" s="2">
        <v>26.3</v>
      </c>
      <c r="N69" s="2"/>
      <c r="O69" s="2"/>
    </row>
    <row r="70" spans="1:15" ht="30.75">
      <c r="A70" s="7">
        <v>46081</v>
      </c>
      <c r="B70" s="8">
        <v>350</v>
      </c>
      <c r="C70" s="2" t="s">
        <v>34</v>
      </c>
      <c r="D70" s="7">
        <v>46081</v>
      </c>
      <c r="E70" s="2" t="s">
        <v>23</v>
      </c>
      <c r="F70" s="2" t="s">
        <v>28</v>
      </c>
      <c r="G70" s="2">
        <v>64</v>
      </c>
      <c r="H70" s="2">
        <v>42440</v>
      </c>
      <c r="I70" s="2"/>
      <c r="J70" s="2">
        <v>58373</v>
      </c>
      <c r="K70" s="2"/>
      <c r="L70" s="2" t="s">
        <v>26</v>
      </c>
      <c r="M70" s="2">
        <v>1</v>
      </c>
      <c r="N70" s="2"/>
      <c r="O70" s="2"/>
    </row>
    <row r="71" spans="1:15" ht="30.75">
      <c r="A71" s="7">
        <v>46112</v>
      </c>
      <c r="B71" s="8">
        <v>350</v>
      </c>
      <c r="C71" s="2" t="s">
        <v>38</v>
      </c>
      <c r="D71" s="7">
        <v>46112</v>
      </c>
      <c r="E71" s="2" t="s">
        <v>23</v>
      </c>
      <c r="F71" s="2" t="s">
        <v>28</v>
      </c>
      <c r="G71" s="2">
        <v>65</v>
      </c>
      <c r="H71" s="2">
        <v>43281</v>
      </c>
      <c r="I71" s="2"/>
      <c r="J71" s="2">
        <v>59604</v>
      </c>
      <c r="K71" s="2"/>
      <c r="L71" s="2" t="s">
        <v>26</v>
      </c>
      <c r="M71" s="2">
        <v>16.8</v>
      </c>
      <c r="N71" s="2"/>
      <c r="O71" s="2"/>
    </row>
    <row r="72" spans="1:15" ht="30.75">
      <c r="A72" s="7">
        <v>46142</v>
      </c>
      <c r="B72" s="8">
        <v>350</v>
      </c>
      <c r="C72" s="2" t="s">
        <v>41</v>
      </c>
      <c r="D72" s="7">
        <v>46142</v>
      </c>
      <c r="E72" s="2" t="s">
        <v>23</v>
      </c>
      <c r="F72" s="2" t="s">
        <v>28</v>
      </c>
      <c r="G72" s="2">
        <v>66</v>
      </c>
      <c r="H72" s="2">
        <v>44101</v>
      </c>
      <c r="I72" s="2"/>
      <c r="J72" s="2">
        <v>60971</v>
      </c>
      <c r="K72" s="2"/>
      <c r="L72" s="2" t="s">
        <v>26</v>
      </c>
      <c r="M72" s="2">
        <v>18.3</v>
      </c>
      <c r="N72" s="2"/>
      <c r="O72" s="2"/>
    </row>
    <row r="73" spans="1:15" ht="30.75">
      <c r="A73" s="2"/>
      <c r="B73" s="2"/>
      <c r="C73" s="2"/>
      <c r="D73" s="2"/>
      <c r="E73" s="2" t="s">
        <v>23</v>
      </c>
      <c r="F73" s="2"/>
      <c r="G73" s="2">
        <v>67</v>
      </c>
      <c r="H73" s="2"/>
      <c r="I73" s="2"/>
      <c r="J73" s="2"/>
      <c r="K73" s="2"/>
      <c r="L73" s="2"/>
      <c r="M73" s="2"/>
      <c r="N73" s="2"/>
      <c r="O73" s="2"/>
    </row>
    <row r="74" spans="1:15" ht="30.75">
      <c r="A74" s="2"/>
      <c r="B74" s="2"/>
      <c r="C74" s="2"/>
      <c r="D74" s="2"/>
      <c r="E74" s="2" t="s">
        <v>23</v>
      </c>
      <c r="F74" s="2"/>
      <c r="G74" s="2">
        <v>68</v>
      </c>
      <c r="H74" s="2"/>
      <c r="I74" s="2"/>
      <c r="J74" s="2"/>
      <c r="K74" s="2"/>
      <c r="L74" s="2"/>
      <c r="M74" s="2"/>
      <c r="N74" s="2"/>
      <c r="O74" s="2"/>
    </row>
    <row r="75" spans="1:15" ht="30.75">
      <c r="A75" s="2"/>
      <c r="B75" s="2"/>
      <c r="C75" s="2"/>
      <c r="D75" s="2"/>
      <c r="E75" s="2" t="s">
        <v>23</v>
      </c>
      <c r="F75" s="2"/>
      <c r="G75" s="2">
        <v>69</v>
      </c>
      <c r="H75" s="2"/>
      <c r="I75" s="2"/>
      <c r="J75" s="2"/>
      <c r="K75" s="2"/>
      <c r="L75" s="2"/>
      <c r="M75" s="2"/>
      <c r="N75" s="2"/>
      <c r="O75" s="2"/>
    </row>
    <row r="91" spans="1:12" ht="23.25">
      <c r="A91" s="644" t="s">
        <v>78</v>
      </c>
      <c r="B91" s="644"/>
      <c r="C91" s="644"/>
      <c r="D91" s="644"/>
      <c r="E91" s="644"/>
      <c r="F91" s="644"/>
      <c r="G91" s="644"/>
      <c r="H91" s="644"/>
      <c r="I91" s="644"/>
    </row>
    <row r="92" spans="1:12">
      <c r="A92" s="2"/>
      <c r="B92" s="2"/>
    </row>
    <row r="93" spans="1:12">
      <c r="A93" s="2" t="s">
        <v>1</v>
      </c>
      <c r="B93" s="3">
        <v>20604975736</v>
      </c>
    </row>
    <row r="94" spans="1:12" ht="30.75">
      <c r="A94" s="4" t="s">
        <v>2</v>
      </c>
      <c r="B94" s="5" t="s">
        <v>3</v>
      </c>
    </row>
    <row r="95" spans="1:12" ht="47.25">
      <c r="A95" s="10" t="s">
        <v>4</v>
      </c>
      <c r="B95" s="11">
        <v>43719</v>
      </c>
      <c r="D95" s="645" t="s">
        <v>5</v>
      </c>
      <c r="E95" s="645"/>
      <c r="F95" s="6"/>
      <c r="G95" s="6"/>
    </row>
    <row r="96" spans="1:12" ht="57">
      <c r="A96" s="12" t="s">
        <v>7</v>
      </c>
      <c r="B96" s="12" t="s">
        <v>8</v>
      </c>
      <c r="C96" s="12" t="s">
        <v>9</v>
      </c>
      <c r="D96" s="12" t="s">
        <v>10</v>
      </c>
      <c r="E96" s="12" t="s">
        <v>11</v>
      </c>
      <c r="F96" s="12" t="s">
        <v>12</v>
      </c>
      <c r="G96" s="12" t="s">
        <v>13</v>
      </c>
      <c r="H96" s="12" t="s">
        <v>14</v>
      </c>
      <c r="I96" s="12" t="s">
        <v>15</v>
      </c>
      <c r="J96" s="12" t="s">
        <v>16</v>
      </c>
      <c r="K96" s="12"/>
      <c r="L96" s="12" t="s">
        <v>18</v>
      </c>
    </row>
    <row r="97" spans="1:12" ht="30.75">
      <c r="A97" s="7">
        <v>43718</v>
      </c>
      <c r="B97" s="8">
        <v>350</v>
      </c>
      <c r="C97" s="2" t="s">
        <v>22</v>
      </c>
      <c r="D97" s="7">
        <v>43761</v>
      </c>
      <c r="E97" s="2" t="s">
        <v>23</v>
      </c>
      <c r="F97" s="2" t="s">
        <v>24</v>
      </c>
      <c r="G97" s="2">
        <v>1</v>
      </c>
      <c r="H97" s="2">
        <v>27</v>
      </c>
      <c r="I97" s="9" t="s">
        <v>79</v>
      </c>
      <c r="J97" s="9" t="s">
        <v>80</v>
      </c>
      <c r="K97" s="9"/>
      <c r="L97" s="2" t="s">
        <v>26</v>
      </c>
    </row>
    <row r="98" spans="1:12" ht="30.75">
      <c r="A98" s="7">
        <v>43798</v>
      </c>
      <c r="B98" s="8">
        <v>350</v>
      </c>
      <c r="C98" s="2" t="s">
        <v>54</v>
      </c>
      <c r="D98" s="7">
        <v>43798</v>
      </c>
      <c r="E98" s="2" t="s">
        <v>23</v>
      </c>
      <c r="F98" s="2" t="s">
        <v>28</v>
      </c>
      <c r="G98" s="2">
        <v>2</v>
      </c>
      <c r="H98" s="2">
        <v>106</v>
      </c>
      <c r="I98" s="9" t="s">
        <v>79</v>
      </c>
      <c r="J98" s="9" t="s">
        <v>81</v>
      </c>
      <c r="K98" s="9"/>
      <c r="L98" s="2" t="s">
        <v>26</v>
      </c>
    </row>
    <row r="99" spans="1:12" ht="30.75">
      <c r="A99" s="7">
        <v>43827</v>
      </c>
      <c r="B99" s="8">
        <v>350</v>
      </c>
      <c r="C99" s="2" t="s">
        <v>27</v>
      </c>
      <c r="D99" s="7">
        <v>43827</v>
      </c>
      <c r="E99" s="2" t="s">
        <v>23</v>
      </c>
      <c r="F99" s="2" t="s">
        <v>28</v>
      </c>
      <c r="G99" s="2">
        <v>3</v>
      </c>
      <c r="H99" s="2">
        <v>155</v>
      </c>
      <c r="I99" s="9" t="s">
        <v>79</v>
      </c>
      <c r="J99" s="9" t="s">
        <v>82</v>
      </c>
      <c r="K99" s="9"/>
      <c r="L99" s="2" t="s">
        <v>26</v>
      </c>
    </row>
    <row r="100" spans="1:12" ht="30.75">
      <c r="A100" s="7">
        <v>43860</v>
      </c>
      <c r="B100" s="8">
        <v>350</v>
      </c>
      <c r="C100" s="2" t="s">
        <v>30</v>
      </c>
      <c r="D100" s="7">
        <v>43860</v>
      </c>
      <c r="E100" s="2" t="s">
        <v>23</v>
      </c>
      <c r="F100" s="2" t="s">
        <v>28</v>
      </c>
      <c r="G100" s="2">
        <v>4</v>
      </c>
      <c r="H100" s="2">
        <v>200</v>
      </c>
      <c r="I100" s="9" t="s">
        <v>79</v>
      </c>
      <c r="J100" s="9" t="s">
        <v>83</v>
      </c>
      <c r="K100" s="9"/>
      <c r="L100" s="2" t="s">
        <v>26</v>
      </c>
    </row>
    <row r="101" spans="1:12" ht="30.75">
      <c r="A101" s="7">
        <v>43890</v>
      </c>
      <c r="B101" s="8">
        <v>350</v>
      </c>
      <c r="C101" s="2" t="s">
        <v>32</v>
      </c>
      <c r="D101" s="7">
        <v>43890</v>
      </c>
      <c r="E101" s="2" t="s">
        <v>23</v>
      </c>
      <c r="F101" s="2" t="s">
        <v>28</v>
      </c>
      <c r="G101" s="2">
        <v>5</v>
      </c>
      <c r="H101" s="2">
        <v>260</v>
      </c>
      <c r="I101" s="9" t="s">
        <v>79</v>
      </c>
      <c r="J101" s="9" t="s">
        <v>84</v>
      </c>
      <c r="K101" s="9"/>
      <c r="L101" s="2" t="s">
        <v>26</v>
      </c>
    </row>
    <row r="102" spans="1:12" ht="30.75">
      <c r="A102" s="7">
        <v>43949</v>
      </c>
      <c r="B102" s="8">
        <v>350</v>
      </c>
      <c r="C102" s="2" t="s">
        <v>34</v>
      </c>
      <c r="D102" s="7">
        <v>43949</v>
      </c>
      <c r="E102" s="2" t="s">
        <v>23</v>
      </c>
      <c r="F102" s="2" t="s">
        <v>28</v>
      </c>
      <c r="G102" s="2">
        <v>6</v>
      </c>
      <c r="H102" s="2">
        <v>333</v>
      </c>
      <c r="I102" s="9" t="s">
        <v>79</v>
      </c>
      <c r="J102" s="9" t="s">
        <v>85</v>
      </c>
      <c r="K102" s="9"/>
      <c r="L102" s="2" t="s">
        <v>26</v>
      </c>
    </row>
    <row r="103" spans="1:12" ht="30.75">
      <c r="A103" s="7">
        <v>43981</v>
      </c>
      <c r="B103" s="8">
        <v>350</v>
      </c>
      <c r="C103" s="2" t="s">
        <v>38</v>
      </c>
      <c r="D103" s="7">
        <v>43981</v>
      </c>
      <c r="E103" s="2" t="s">
        <v>23</v>
      </c>
      <c r="F103" s="2" t="s">
        <v>28</v>
      </c>
      <c r="G103" s="2">
        <v>7</v>
      </c>
      <c r="H103" s="2">
        <v>381</v>
      </c>
      <c r="I103" s="9" t="s">
        <v>79</v>
      </c>
      <c r="J103" s="9" t="s">
        <v>86</v>
      </c>
      <c r="K103" s="9"/>
      <c r="L103" s="2" t="s">
        <v>26</v>
      </c>
    </row>
    <row r="104" spans="1:12" ht="30.75">
      <c r="A104" s="7">
        <v>44012</v>
      </c>
      <c r="B104" s="8">
        <v>350</v>
      </c>
      <c r="C104" s="2" t="s">
        <v>41</v>
      </c>
      <c r="D104" s="7">
        <v>44012</v>
      </c>
      <c r="E104" s="2" t="s">
        <v>23</v>
      </c>
      <c r="F104" s="2" t="s">
        <v>28</v>
      </c>
      <c r="G104" s="2">
        <v>8</v>
      </c>
      <c r="H104" s="2">
        <v>476</v>
      </c>
      <c r="I104" s="9" t="s">
        <v>79</v>
      </c>
      <c r="J104" s="9" t="s">
        <v>87</v>
      </c>
      <c r="K104" s="9"/>
      <c r="L104" s="2" t="s">
        <v>26</v>
      </c>
    </row>
    <row r="105" spans="1:12" ht="30.75">
      <c r="A105" s="7">
        <v>44043</v>
      </c>
      <c r="B105" s="8">
        <v>350</v>
      </c>
      <c r="C105" s="2" t="s">
        <v>44</v>
      </c>
      <c r="D105" s="2" t="s">
        <v>88</v>
      </c>
      <c r="E105" s="2" t="s">
        <v>23</v>
      </c>
      <c r="F105" s="2" t="s">
        <v>28</v>
      </c>
      <c r="G105" s="2">
        <v>9</v>
      </c>
      <c r="H105" s="2">
        <v>638</v>
      </c>
      <c r="I105" s="9" t="s">
        <v>79</v>
      </c>
      <c r="J105" s="9" t="s">
        <v>89</v>
      </c>
      <c r="K105" s="9"/>
      <c r="L105" s="2" t="s">
        <v>26</v>
      </c>
    </row>
    <row r="106" spans="1:12" ht="30.75">
      <c r="A106" s="7">
        <v>44072</v>
      </c>
      <c r="B106" s="8">
        <v>350</v>
      </c>
      <c r="C106" s="2" t="s">
        <v>57</v>
      </c>
      <c r="D106" s="7">
        <v>44072</v>
      </c>
      <c r="E106" s="2" t="s">
        <v>23</v>
      </c>
      <c r="F106" s="2" t="s">
        <v>28</v>
      </c>
      <c r="G106" s="2">
        <v>10</v>
      </c>
      <c r="H106" s="2">
        <v>750</v>
      </c>
      <c r="I106" s="9" t="s">
        <v>79</v>
      </c>
      <c r="J106" s="9" t="s">
        <v>90</v>
      </c>
      <c r="K106" s="9"/>
      <c r="L106" s="2" t="s">
        <v>26</v>
      </c>
    </row>
    <row r="107" spans="1:12" ht="30.75">
      <c r="A107" s="7">
        <v>44103</v>
      </c>
      <c r="B107" s="8">
        <v>350</v>
      </c>
      <c r="C107" s="2" t="s">
        <v>47</v>
      </c>
      <c r="D107" s="7">
        <v>44103</v>
      </c>
      <c r="E107" s="2" t="s">
        <v>23</v>
      </c>
      <c r="F107" s="2" t="s">
        <v>28</v>
      </c>
      <c r="G107" s="2">
        <v>11</v>
      </c>
      <c r="H107" s="2">
        <v>1031</v>
      </c>
      <c r="I107" s="9" t="s">
        <v>79</v>
      </c>
      <c r="J107" s="9" t="s">
        <v>91</v>
      </c>
      <c r="K107" s="9"/>
      <c r="L107" s="2" t="s">
        <v>26</v>
      </c>
    </row>
  </sheetData>
  <mergeCells count="5">
    <mergeCell ref="A1:I1"/>
    <mergeCell ref="D5:E5"/>
    <mergeCell ref="A91:I91"/>
    <mergeCell ref="D95:E95"/>
    <mergeCell ref="H5:J5"/>
  </mergeCells>
  <dataValidations count="2">
    <dataValidation type="list" allowBlank="1" showInputMessage="1" showErrorMessage="1" sqref="C97:C107 C7:C75" xr:uid="{00000000-0002-0000-0000-000000000000}">
      <formula1>"ENERO,FEBRERO,MARZO,ABRIL,MAYO,JUNIO,JULIO,AGOSTO,SEPTIEMBRE,OCTUBRE,NOVIEMBRE,DICIEMBRE"</formula1>
    </dataValidation>
    <dataValidation type="list" allowBlank="1" showInputMessage="1" showErrorMessage="1" sqref="F97:F107 F7:F75" xr:uid="{00000000-0002-0000-0000-000001000000}">
      <formula1>"EFECTIVO, CHEQUE, TRANSFERENCIA,DEPOSITO"</formula1>
    </dataValidation>
  </dataValidations>
  <hyperlinks>
    <hyperlink ref="B4" r:id="rId1" xr:uid="{00000000-0004-0000-0000-000000000000}"/>
    <hyperlink ref="B94" r:id="rId2" xr:uid="{00000000-0004-0000-0000-000001000000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3C96-FCD6-438F-8A89-29881231A2FF}">
  <dimension ref="A1:P126"/>
  <sheetViews>
    <sheetView topLeftCell="A109" workbookViewId="0">
      <selection activeCell="M123" sqref="M123"/>
    </sheetView>
  </sheetViews>
  <sheetFormatPr defaultColWidth="11.42578125" defaultRowHeight="15"/>
  <cols>
    <col min="2" max="2" width="20" customWidth="1"/>
    <col min="4" max="4" width="12" bestFit="1" customWidth="1"/>
    <col min="10" max="10" width="28" customWidth="1"/>
    <col min="13" max="13" width="15.140625" customWidth="1"/>
    <col min="14" max="14" width="22.42578125" bestFit="1" customWidth="1"/>
  </cols>
  <sheetData>
    <row r="1" spans="1:16" ht="23.25">
      <c r="A1" s="647" t="s">
        <v>92</v>
      </c>
      <c r="B1" s="647"/>
      <c r="C1" s="647"/>
      <c r="D1" s="647"/>
      <c r="E1" s="647"/>
      <c r="F1" s="647"/>
      <c r="G1" s="647"/>
      <c r="H1" s="647"/>
      <c r="I1" s="647"/>
    </row>
    <row r="2" spans="1:16" ht="30.75">
      <c r="A2" s="2" t="s">
        <v>93</v>
      </c>
      <c r="B2" s="2"/>
    </row>
    <row r="3" spans="1:16" ht="60" customHeight="1">
      <c r="A3" s="2" t="s">
        <v>1</v>
      </c>
      <c r="B3" s="485">
        <v>20607975087</v>
      </c>
      <c r="D3" s="638" t="s">
        <v>94</v>
      </c>
      <c r="E3" s="638"/>
      <c r="F3" s="638"/>
      <c r="H3" s="649" t="s">
        <v>95</v>
      </c>
      <c r="I3" s="649"/>
      <c r="J3" s="649"/>
      <c r="K3" s="649"/>
      <c r="L3" s="649"/>
    </row>
    <row r="4" spans="1:16" ht="30" customHeight="1">
      <c r="A4" s="4" t="s">
        <v>2</v>
      </c>
      <c r="B4" s="5" t="s">
        <v>96</v>
      </c>
      <c r="D4" s="639" t="s">
        <v>97</v>
      </c>
      <c r="E4" s="639"/>
      <c r="F4" s="639"/>
      <c r="H4" s="649"/>
      <c r="I4" s="649"/>
      <c r="J4" s="649"/>
      <c r="K4" s="649"/>
      <c r="L4" s="649"/>
      <c r="M4" s="650" t="s">
        <v>98</v>
      </c>
      <c r="N4" s="650"/>
      <c r="O4" s="650"/>
      <c r="P4" s="650"/>
    </row>
    <row r="5" spans="1:16" ht="47.25">
      <c r="A5" s="17" t="s">
        <v>4</v>
      </c>
      <c r="B5" s="18">
        <v>46104</v>
      </c>
      <c r="D5" s="648" t="s">
        <v>5</v>
      </c>
      <c r="E5" s="648"/>
      <c r="F5" s="6"/>
      <c r="G5" s="6"/>
    </row>
    <row r="6" spans="1:16" ht="57" thickBot="1">
      <c r="A6" s="19" t="s">
        <v>7</v>
      </c>
      <c r="B6" s="19" t="s">
        <v>8</v>
      </c>
      <c r="C6" s="19" t="s">
        <v>9</v>
      </c>
      <c r="D6" s="19" t="s">
        <v>10</v>
      </c>
      <c r="E6" s="19" t="s">
        <v>11</v>
      </c>
      <c r="F6" s="19" t="s">
        <v>12</v>
      </c>
      <c r="G6" s="19" t="s">
        <v>13</v>
      </c>
      <c r="H6" s="19" t="s">
        <v>14</v>
      </c>
      <c r="I6" s="19" t="s">
        <v>15</v>
      </c>
      <c r="J6" s="19" t="s">
        <v>16</v>
      </c>
      <c r="K6" s="19" t="s">
        <v>19</v>
      </c>
      <c r="L6" s="19" t="s">
        <v>18</v>
      </c>
      <c r="M6" s="19" t="s">
        <v>99</v>
      </c>
      <c r="N6" s="651"/>
      <c r="O6" s="651"/>
      <c r="P6" s="651"/>
    </row>
    <row r="7" spans="1:16" ht="30.75">
      <c r="A7" s="7">
        <v>44012</v>
      </c>
      <c r="B7" s="8">
        <v>250</v>
      </c>
      <c r="C7" s="2" t="s">
        <v>57</v>
      </c>
      <c r="D7" s="7">
        <v>44012</v>
      </c>
      <c r="E7" s="2" t="s">
        <v>23</v>
      </c>
      <c r="F7" s="2" t="s">
        <v>28</v>
      </c>
      <c r="G7" s="2">
        <v>1</v>
      </c>
      <c r="H7" s="2">
        <v>478</v>
      </c>
      <c r="I7" s="9"/>
      <c r="J7" s="9" t="s">
        <v>100</v>
      </c>
      <c r="K7" s="9"/>
      <c r="L7" s="2" t="s">
        <v>26</v>
      </c>
      <c r="M7" s="2" t="s">
        <v>101</v>
      </c>
      <c r="N7" s="2"/>
    </row>
    <row r="8" spans="1:16" ht="30.75">
      <c r="A8" s="7"/>
      <c r="B8" s="8">
        <v>250</v>
      </c>
      <c r="C8" s="2" t="s">
        <v>47</v>
      </c>
      <c r="D8" s="7">
        <v>44028</v>
      </c>
      <c r="E8" s="2" t="s">
        <v>23</v>
      </c>
      <c r="F8" s="2" t="s">
        <v>28</v>
      </c>
      <c r="G8" s="2">
        <v>2</v>
      </c>
      <c r="H8" s="2">
        <v>726</v>
      </c>
      <c r="I8" s="9"/>
      <c r="J8" s="9" t="s">
        <v>102</v>
      </c>
      <c r="K8" s="9"/>
      <c r="L8" s="2" t="s">
        <v>26</v>
      </c>
      <c r="M8" s="2" t="s">
        <v>101</v>
      </c>
      <c r="N8" s="2"/>
    </row>
    <row r="9" spans="1:16" ht="30.75">
      <c r="A9" s="7">
        <v>44043</v>
      </c>
      <c r="B9" s="8">
        <v>250</v>
      </c>
      <c r="C9" s="2" t="s">
        <v>47</v>
      </c>
      <c r="D9" s="7">
        <v>44043</v>
      </c>
      <c r="E9" s="2" t="s">
        <v>23</v>
      </c>
      <c r="F9" s="2" t="s">
        <v>28</v>
      </c>
      <c r="G9" s="2">
        <v>3</v>
      </c>
      <c r="H9" s="2">
        <v>726</v>
      </c>
      <c r="I9" s="9"/>
      <c r="J9" s="9" t="s">
        <v>103</v>
      </c>
      <c r="K9" s="9"/>
      <c r="L9" s="2" t="s">
        <v>104</v>
      </c>
      <c r="M9" s="2" t="s">
        <v>101</v>
      </c>
    </row>
    <row r="10" spans="1:16" ht="30.75">
      <c r="A10" s="7">
        <v>44072</v>
      </c>
      <c r="B10" s="8">
        <v>250</v>
      </c>
      <c r="C10" s="2" t="s">
        <v>50</v>
      </c>
      <c r="D10" s="7">
        <v>44058</v>
      </c>
      <c r="E10" s="2" t="s">
        <v>23</v>
      </c>
      <c r="F10" s="2" t="s">
        <v>28</v>
      </c>
      <c r="G10" s="2">
        <v>4</v>
      </c>
      <c r="H10" s="2">
        <v>727</v>
      </c>
      <c r="I10" s="9"/>
      <c r="J10" s="9" t="s">
        <v>105</v>
      </c>
      <c r="K10" s="9"/>
      <c r="L10" s="2" t="s">
        <v>104</v>
      </c>
      <c r="M10" s="2" t="s">
        <v>101</v>
      </c>
    </row>
    <row r="11" spans="1:16" ht="30.75">
      <c r="A11" s="7">
        <v>44072</v>
      </c>
      <c r="B11" s="8">
        <v>250</v>
      </c>
      <c r="C11" s="2" t="s">
        <v>50</v>
      </c>
      <c r="D11" s="7">
        <v>44072</v>
      </c>
      <c r="E11" s="2" t="s">
        <v>23</v>
      </c>
      <c r="F11" s="2" t="s">
        <v>28</v>
      </c>
      <c r="G11" s="2">
        <v>5</v>
      </c>
      <c r="H11" s="2">
        <v>727</v>
      </c>
      <c r="I11" s="9"/>
      <c r="J11" s="9" t="s">
        <v>106</v>
      </c>
      <c r="K11" s="9"/>
      <c r="L11" s="2" t="s">
        <v>104</v>
      </c>
      <c r="M11" s="2" t="s">
        <v>101</v>
      </c>
    </row>
    <row r="12" spans="1:16" ht="30.75">
      <c r="A12" s="7">
        <v>44093</v>
      </c>
      <c r="B12" s="8">
        <v>250</v>
      </c>
      <c r="C12" s="2" t="s">
        <v>22</v>
      </c>
      <c r="D12" s="7">
        <v>44093</v>
      </c>
      <c r="E12" s="2" t="s">
        <v>23</v>
      </c>
      <c r="F12" s="2" t="s">
        <v>28</v>
      </c>
      <c r="G12" s="2">
        <v>6</v>
      </c>
      <c r="H12" s="2">
        <v>908</v>
      </c>
      <c r="I12" s="9"/>
      <c r="J12" s="9"/>
      <c r="K12" s="9"/>
      <c r="L12" s="2" t="s">
        <v>26</v>
      </c>
      <c r="M12" s="2" t="s">
        <v>101</v>
      </c>
    </row>
    <row r="13" spans="1:16" ht="30.75">
      <c r="A13" s="7">
        <v>44104</v>
      </c>
      <c r="B13" s="8">
        <v>250</v>
      </c>
      <c r="C13" s="2" t="s">
        <v>22</v>
      </c>
      <c r="D13" s="7">
        <v>44104</v>
      </c>
      <c r="E13" s="2" t="s">
        <v>23</v>
      </c>
      <c r="F13" s="2" t="s">
        <v>28</v>
      </c>
      <c r="G13" s="2">
        <v>7</v>
      </c>
      <c r="H13" s="2">
        <v>908</v>
      </c>
      <c r="I13" s="9"/>
      <c r="J13" s="9" t="s">
        <v>107</v>
      </c>
      <c r="K13" s="9"/>
      <c r="L13" s="2" t="s">
        <v>26</v>
      </c>
      <c r="M13" s="2" t="s">
        <v>101</v>
      </c>
    </row>
    <row r="14" spans="1:16" ht="30.75">
      <c r="A14" s="7">
        <v>44135</v>
      </c>
      <c r="B14" s="8">
        <v>250</v>
      </c>
      <c r="C14" s="2" t="s">
        <v>54</v>
      </c>
      <c r="D14" s="7">
        <v>44121</v>
      </c>
      <c r="E14" s="2" t="s">
        <v>23</v>
      </c>
      <c r="F14" s="2" t="s">
        <v>28</v>
      </c>
      <c r="G14" s="2">
        <v>8</v>
      </c>
      <c r="H14" s="2">
        <v>1143</v>
      </c>
      <c r="I14" s="9"/>
      <c r="J14" s="9" t="s">
        <v>108</v>
      </c>
      <c r="K14" s="9"/>
      <c r="L14" s="2" t="s">
        <v>26</v>
      </c>
      <c r="M14" s="2" t="s">
        <v>101</v>
      </c>
    </row>
    <row r="15" spans="1:16" ht="30.75">
      <c r="A15" s="7">
        <v>44135</v>
      </c>
      <c r="B15" s="8">
        <v>250</v>
      </c>
      <c r="C15" s="2" t="s">
        <v>54</v>
      </c>
      <c r="D15" s="7">
        <v>44135</v>
      </c>
      <c r="E15" s="2" t="s">
        <v>23</v>
      </c>
      <c r="F15" s="2" t="s">
        <v>28</v>
      </c>
      <c r="G15" s="2">
        <v>9</v>
      </c>
      <c r="H15" s="2">
        <v>1143</v>
      </c>
      <c r="I15" s="9"/>
      <c r="J15" s="9" t="s">
        <v>109</v>
      </c>
      <c r="K15" s="9"/>
      <c r="L15" s="2" t="s">
        <v>26</v>
      </c>
      <c r="M15" s="2" t="s">
        <v>101</v>
      </c>
    </row>
    <row r="16" spans="1:16" ht="30.75">
      <c r="A16" s="7">
        <v>44163</v>
      </c>
      <c r="B16" s="8">
        <v>250</v>
      </c>
      <c r="C16" s="2" t="s">
        <v>27</v>
      </c>
      <c r="D16" s="7">
        <v>44149</v>
      </c>
      <c r="E16" s="2" t="s">
        <v>23</v>
      </c>
      <c r="F16" s="2" t="s">
        <v>28</v>
      </c>
      <c r="G16" s="2">
        <v>10</v>
      </c>
      <c r="H16" s="2">
        <v>1333</v>
      </c>
      <c r="I16" s="9"/>
      <c r="J16" s="9" t="s">
        <v>110</v>
      </c>
      <c r="K16" s="9"/>
      <c r="L16" s="2" t="s">
        <v>26</v>
      </c>
      <c r="M16" s="2" t="s">
        <v>101</v>
      </c>
    </row>
    <row r="17" spans="1:14" ht="30.75">
      <c r="A17" s="7">
        <v>44163</v>
      </c>
      <c r="B17" s="8">
        <v>250</v>
      </c>
      <c r="C17" s="2" t="s">
        <v>27</v>
      </c>
      <c r="D17" s="7">
        <v>44163</v>
      </c>
      <c r="E17" s="2" t="s">
        <v>23</v>
      </c>
      <c r="F17" s="2" t="s">
        <v>28</v>
      </c>
      <c r="G17" s="2">
        <v>11</v>
      </c>
      <c r="H17" s="2">
        <v>1333</v>
      </c>
      <c r="I17" s="9"/>
      <c r="J17" s="9" t="s">
        <v>111</v>
      </c>
      <c r="K17" s="9"/>
      <c r="L17" s="2" t="s">
        <v>26</v>
      </c>
      <c r="M17" s="2" t="s">
        <v>101</v>
      </c>
    </row>
    <row r="18" spans="1:14" ht="30.75">
      <c r="A18" s="7">
        <v>44196</v>
      </c>
      <c r="B18" s="8">
        <v>250</v>
      </c>
      <c r="C18" s="2" t="s">
        <v>30</v>
      </c>
      <c r="D18" s="7">
        <v>44182</v>
      </c>
      <c r="E18" s="2" t="s">
        <v>23</v>
      </c>
      <c r="F18" s="2" t="s">
        <v>28</v>
      </c>
      <c r="G18" s="2">
        <v>12</v>
      </c>
      <c r="H18" s="2">
        <v>1574</v>
      </c>
      <c r="I18" s="9"/>
      <c r="J18" s="9" t="s">
        <v>112</v>
      </c>
      <c r="K18" s="9"/>
      <c r="L18" s="2" t="s">
        <v>26</v>
      </c>
      <c r="M18" s="2" t="s">
        <v>101</v>
      </c>
    </row>
    <row r="19" spans="1:14" ht="30.75">
      <c r="A19" s="7">
        <v>44196</v>
      </c>
      <c r="B19" s="8">
        <v>250</v>
      </c>
      <c r="C19" s="2" t="s">
        <v>30</v>
      </c>
      <c r="D19" s="7">
        <v>44196</v>
      </c>
      <c r="E19" s="2" t="s">
        <v>23</v>
      </c>
      <c r="F19" s="2" t="s">
        <v>28</v>
      </c>
      <c r="G19" s="2">
        <v>13</v>
      </c>
      <c r="H19" s="2">
        <v>1574</v>
      </c>
      <c r="I19" s="9"/>
      <c r="J19" s="9" t="s">
        <v>113</v>
      </c>
      <c r="K19" s="9"/>
      <c r="L19" s="2" t="s">
        <v>26</v>
      </c>
      <c r="M19" s="2" t="s">
        <v>101</v>
      </c>
    </row>
    <row r="20" spans="1:14" ht="30.75">
      <c r="A20" s="7">
        <v>44226</v>
      </c>
      <c r="B20" s="8">
        <v>250</v>
      </c>
      <c r="C20" s="2" t="s">
        <v>32</v>
      </c>
      <c r="D20" s="7">
        <v>44212</v>
      </c>
      <c r="E20" s="2" t="s">
        <v>23</v>
      </c>
      <c r="F20" s="2" t="s">
        <v>28</v>
      </c>
      <c r="G20" s="2">
        <v>14</v>
      </c>
      <c r="H20" s="2">
        <v>1771</v>
      </c>
      <c r="I20" s="9"/>
      <c r="J20" s="9" t="s">
        <v>114</v>
      </c>
      <c r="K20" s="9"/>
      <c r="L20" s="2" t="s">
        <v>26</v>
      </c>
      <c r="M20" s="2" t="s">
        <v>101</v>
      </c>
    </row>
    <row r="21" spans="1:14" ht="30.75">
      <c r="A21" s="7">
        <v>44226</v>
      </c>
      <c r="B21" s="8">
        <v>250</v>
      </c>
      <c r="C21" s="2" t="s">
        <v>32</v>
      </c>
      <c r="D21" s="7">
        <v>44226</v>
      </c>
      <c r="E21" s="2" t="s">
        <v>23</v>
      </c>
      <c r="F21" s="2" t="s">
        <v>28</v>
      </c>
      <c r="G21" s="2">
        <v>15</v>
      </c>
      <c r="H21" s="2">
        <v>1771</v>
      </c>
      <c r="I21" s="9"/>
      <c r="J21" s="9" t="s">
        <v>115</v>
      </c>
      <c r="K21" s="9"/>
      <c r="L21" s="2" t="s">
        <v>26</v>
      </c>
      <c r="M21" s="2" t="s">
        <v>101</v>
      </c>
    </row>
    <row r="22" spans="1:14" ht="30.75">
      <c r="A22" s="7">
        <v>44254</v>
      </c>
      <c r="B22" s="8">
        <v>250</v>
      </c>
      <c r="C22" s="2" t="s">
        <v>34</v>
      </c>
      <c r="D22" s="7">
        <v>44240</v>
      </c>
      <c r="E22" s="2" t="s">
        <v>23</v>
      </c>
      <c r="F22" s="2" t="s">
        <v>28</v>
      </c>
      <c r="G22" s="2">
        <v>16</v>
      </c>
      <c r="H22" s="9" t="s">
        <v>116</v>
      </c>
      <c r="I22" s="9"/>
      <c r="J22" s="9" t="s">
        <v>117</v>
      </c>
      <c r="K22" s="9"/>
      <c r="L22" s="2" t="s">
        <v>26</v>
      </c>
      <c r="M22" s="2" t="s">
        <v>101</v>
      </c>
    </row>
    <row r="23" spans="1:14" ht="30.75">
      <c r="A23" s="7">
        <v>44254</v>
      </c>
      <c r="B23" s="8">
        <v>250</v>
      </c>
      <c r="C23" s="2" t="s">
        <v>34</v>
      </c>
      <c r="D23" s="7">
        <v>44254</v>
      </c>
      <c r="E23" s="2" t="s">
        <v>23</v>
      </c>
      <c r="F23" s="2" t="s">
        <v>28</v>
      </c>
      <c r="G23" s="2">
        <v>17</v>
      </c>
      <c r="H23" s="9" t="s">
        <v>116</v>
      </c>
      <c r="I23" s="9"/>
      <c r="J23" s="9" t="s">
        <v>118</v>
      </c>
      <c r="K23" s="9"/>
      <c r="L23" s="2" t="s">
        <v>26</v>
      </c>
      <c r="M23" s="2" t="s">
        <v>101</v>
      </c>
    </row>
    <row r="24" spans="1:14" ht="30.75">
      <c r="A24" s="7">
        <v>44282</v>
      </c>
      <c r="B24" s="8">
        <v>250</v>
      </c>
      <c r="C24" s="2" t="s">
        <v>38</v>
      </c>
      <c r="D24" s="2"/>
      <c r="E24" s="2" t="s">
        <v>23</v>
      </c>
      <c r="F24" s="2" t="s">
        <v>28</v>
      </c>
      <c r="G24" s="2">
        <v>18</v>
      </c>
      <c r="H24" s="9" t="s">
        <v>119</v>
      </c>
      <c r="I24" s="9"/>
      <c r="J24" s="9"/>
      <c r="K24" s="9"/>
      <c r="L24" s="2" t="s">
        <v>26</v>
      </c>
      <c r="M24" s="2" t="s">
        <v>101</v>
      </c>
      <c r="N24" s="491"/>
    </row>
    <row r="25" spans="1:14" ht="30.75">
      <c r="A25" s="7">
        <v>44282</v>
      </c>
      <c r="B25" s="8">
        <v>250</v>
      </c>
      <c r="C25" s="2" t="s">
        <v>38</v>
      </c>
      <c r="D25" s="7">
        <v>44282</v>
      </c>
      <c r="E25" s="2" t="s">
        <v>23</v>
      </c>
      <c r="F25" s="2" t="s">
        <v>28</v>
      </c>
      <c r="G25" s="2">
        <v>19</v>
      </c>
      <c r="H25" s="9" t="s">
        <v>119</v>
      </c>
      <c r="I25" s="9"/>
      <c r="J25" s="9" t="s">
        <v>120</v>
      </c>
      <c r="K25" s="9"/>
      <c r="L25" s="2" t="s">
        <v>26</v>
      </c>
      <c r="M25" s="2" t="s">
        <v>101</v>
      </c>
    </row>
    <row r="26" spans="1:14" ht="30.75">
      <c r="A26" s="7">
        <v>44302</v>
      </c>
      <c r="B26" s="8">
        <v>250</v>
      </c>
      <c r="C26" s="2" t="s">
        <v>41</v>
      </c>
      <c r="D26" s="7">
        <v>44301</v>
      </c>
      <c r="E26" s="2" t="s">
        <v>23</v>
      </c>
      <c r="F26" s="2" t="s">
        <v>24</v>
      </c>
      <c r="G26" s="2">
        <v>20</v>
      </c>
      <c r="H26" s="9" t="s">
        <v>121</v>
      </c>
      <c r="I26" s="9"/>
      <c r="J26" s="9" t="s">
        <v>122</v>
      </c>
      <c r="K26" s="9"/>
      <c r="L26" s="2" t="s">
        <v>26</v>
      </c>
      <c r="M26" s="2" t="s">
        <v>101</v>
      </c>
    </row>
    <row r="27" spans="1:14" ht="30.75">
      <c r="A27" s="7">
        <v>44315</v>
      </c>
      <c r="B27" s="8">
        <v>250</v>
      </c>
      <c r="C27" s="2" t="s">
        <v>41</v>
      </c>
      <c r="D27" s="7">
        <v>44315</v>
      </c>
      <c r="E27" s="2" t="s">
        <v>23</v>
      </c>
      <c r="F27" s="2" t="s">
        <v>28</v>
      </c>
      <c r="G27" s="2">
        <v>21</v>
      </c>
      <c r="H27" s="9" t="s">
        <v>121</v>
      </c>
      <c r="I27" s="9"/>
      <c r="J27" s="9" t="s">
        <v>123</v>
      </c>
      <c r="K27" s="9"/>
      <c r="L27" s="2" t="s">
        <v>26</v>
      </c>
      <c r="M27" s="2" t="s">
        <v>101</v>
      </c>
    </row>
    <row r="28" spans="1:14" ht="30.75">
      <c r="A28" s="7">
        <v>44345</v>
      </c>
      <c r="B28" s="8">
        <v>250</v>
      </c>
      <c r="C28" s="2" t="s">
        <v>44</v>
      </c>
      <c r="D28" s="7">
        <v>44331</v>
      </c>
      <c r="E28" s="2" t="s">
        <v>23</v>
      </c>
      <c r="F28" s="2" t="s">
        <v>28</v>
      </c>
      <c r="G28" s="2">
        <v>22</v>
      </c>
      <c r="H28" s="9" t="s">
        <v>124</v>
      </c>
      <c r="I28" s="9"/>
      <c r="J28" s="9" t="s">
        <v>125</v>
      </c>
      <c r="K28" s="9"/>
      <c r="L28" s="2" t="s">
        <v>26</v>
      </c>
      <c r="M28" s="2" t="s">
        <v>101</v>
      </c>
    </row>
    <row r="29" spans="1:14" ht="30.75">
      <c r="A29" s="7">
        <v>44345</v>
      </c>
      <c r="B29" s="8">
        <v>250</v>
      </c>
      <c r="C29" s="2" t="s">
        <v>44</v>
      </c>
      <c r="D29" s="7">
        <v>44345</v>
      </c>
      <c r="E29" s="2" t="s">
        <v>23</v>
      </c>
      <c r="F29" s="2" t="s">
        <v>28</v>
      </c>
      <c r="G29" s="2">
        <v>23</v>
      </c>
      <c r="H29" s="9" t="s">
        <v>124</v>
      </c>
      <c r="I29" s="9"/>
      <c r="J29" s="9" t="s">
        <v>126</v>
      </c>
      <c r="K29" s="9"/>
      <c r="L29" s="2" t="s">
        <v>26</v>
      </c>
      <c r="M29" s="2" t="s">
        <v>101</v>
      </c>
    </row>
    <row r="30" spans="1:14" ht="30.75">
      <c r="A30" s="7">
        <v>44373</v>
      </c>
      <c r="B30" s="8">
        <v>250</v>
      </c>
      <c r="C30" s="2" t="s">
        <v>57</v>
      </c>
      <c r="D30" s="7">
        <v>44362</v>
      </c>
      <c r="E30" s="2" t="s">
        <v>23</v>
      </c>
      <c r="F30" s="2" t="s">
        <v>28</v>
      </c>
      <c r="G30" s="2">
        <v>24</v>
      </c>
      <c r="H30" s="9" t="s">
        <v>127</v>
      </c>
      <c r="I30" s="9"/>
      <c r="J30" s="9"/>
      <c r="K30" s="9"/>
      <c r="L30" s="2" t="s">
        <v>26</v>
      </c>
      <c r="M30" s="2" t="s">
        <v>101</v>
      </c>
    </row>
    <row r="31" spans="1:14" ht="30.75">
      <c r="A31" s="7">
        <v>44373</v>
      </c>
      <c r="B31" s="8">
        <v>250</v>
      </c>
      <c r="C31" s="2" t="s">
        <v>57</v>
      </c>
      <c r="D31" s="7">
        <v>44373</v>
      </c>
      <c r="E31" s="2" t="s">
        <v>23</v>
      </c>
      <c r="F31" s="2" t="s">
        <v>28</v>
      </c>
      <c r="G31" s="2">
        <v>25</v>
      </c>
      <c r="H31" s="9" t="s">
        <v>127</v>
      </c>
      <c r="I31" s="9"/>
      <c r="J31" s="9" t="s">
        <v>128</v>
      </c>
      <c r="K31" s="9"/>
      <c r="L31" s="2" t="s">
        <v>74</v>
      </c>
      <c r="M31" s="2" t="s">
        <v>101</v>
      </c>
    </row>
    <row r="32" spans="1:14" ht="30.75">
      <c r="A32" s="7">
        <v>44408</v>
      </c>
      <c r="B32" s="8">
        <v>250</v>
      </c>
      <c r="C32" s="2" t="s">
        <v>47</v>
      </c>
      <c r="D32" s="7">
        <v>44392</v>
      </c>
      <c r="E32" s="2" t="s">
        <v>23</v>
      </c>
      <c r="F32" s="2" t="s">
        <v>28</v>
      </c>
      <c r="G32" s="2">
        <v>26</v>
      </c>
      <c r="H32" s="9" t="s">
        <v>129</v>
      </c>
      <c r="I32" s="9"/>
      <c r="J32" s="9"/>
      <c r="K32" s="9"/>
      <c r="L32" s="2" t="s">
        <v>74</v>
      </c>
      <c r="M32" s="2" t="s">
        <v>101</v>
      </c>
    </row>
    <row r="33" spans="1:13" ht="30.75">
      <c r="A33" s="7">
        <v>44408</v>
      </c>
      <c r="B33" s="8">
        <v>250</v>
      </c>
      <c r="C33" s="2" t="s">
        <v>47</v>
      </c>
      <c r="D33" s="7">
        <v>44408</v>
      </c>
      <c r="E33" s="2" t="s">
        <v>23</v>
      </c>
      <c r="F33" s="2" t="s">
        <v>28</v>
      </c>
      <c r="G33" s="2">
        <v>27</v>
      </c>
      <c r="H33" s="9" t="s">
        <v>129</v>
      </c>
      <c r="I33" s="9"/>
      <c r="J33" s="9" t="s">
        <v>130</v>
      </c>
      <c r="K33" s="9"/>
      <c r="L33" s="2" t="s">
        <v>74</v>
      </c>
      <c r="M33" s="2" t="s">
        <v>101</v>
      </c>
    </row>
    <row r="34" spans="1:13" ht="30.75">
      <c r="A34" s="7">
        <v>44436</v>
      </c>
      <c r="B34" s="8">
        <v>250</v>
      </c>
      <c r="C34" s="2" t="s">
        <v>50</v>
      </c>
      <c r="D34" s="7">
        <v>44436</v>
      </c>
      <c r="E34" s="2" t="s">
        <v>23</v>
      </c>
      <c r="F34" s="2" t="s">
        <v>28</v>
      </c>
      <c r="G34" s="2">
        <v>28</v>
      </c>
      <c r="H34" s="9"/>
      <c r="I34" s="9"/>
      <c r="J34" s="9" t="s">
        <v>131</v>
      </c>
      <c r="K34" s="9"/>
      <c r="L34" s="2" t="s">
        <v>74</v>
      </c>
      <c r="M34" s="2" t="s">
        <v>101</v>
      </c>
    </row>
    <row r="35" spans="1:13" ht="30.75">
      <c r="A35" s="7">
        <v>44469</v>
      </c>
      <c r="B35" s="8">
        <v>250</v>
      </c>
      <c r="C35" s="2" t="s">
        <v>50</v>
      </c>
      <c r="D35" s="7">
        <v>44423</v>
      </c>
      <c r="E35" s="2" t="s">
        <v>23</v>
      </c>
      <c r="F35" s="2" t="s">
        <v>28</v>
      </c>
      <c r="G35" s="2"/>
      <c r="H35" s="9"/>
      <c r="I35" s="9"/>
      <c r="J35" s="9"/>
      <c r="K35" s="9"/>
      <c r="L35" s="2" t="s">
        <v>74</v>
      </c>
      <c r="M35" s="2" t="s">
        <v>101</v>
      </c>
    </row>
    <row r="36" spans="1:13" ht="30.75">
      <c r="A36" s="7">
        <v>44469</v>
      </c>
      <c r="B36" s="8">
        <v>250</v>
      </c>
      <c r="C36" s="2" t="s">
        <v>22</v>
      </c>
      <c r="D36" s="7">
        <v>44450</v>
      </c>
      <c r="E36" s="2" t="s">
        <v>23</v>
      </c>
      <c r="F36" s="2" t="s">
        <v>28</v>
      </c>
      <c r="G36" s="2">
        <v>29</v>
      </c>
      <c r="H36" s="9" t="s">
        <v>132</v>
      </c>
      <c r="I36" s="9"/>
      <c r="J36" s="9" t="s">
        <v>133</v>
      </c>
      <c r="K36" s="9"/>
      <c r="L36" s="2" t="s">
        <v>74</v>
      </c>
      <c r="M36" s="2" t="s">
        <v>101</v>
      </c>
    </row>
    <row r="37" spans="1:13" ht="30.75">
      <c r="A37" s="7">
        <v>44469</v>
      </c>
      <c r="B37" s="8">
        <v>250</v>
      </c>
      <c r="C37" s="2" t="s">
        <v>22</v>
      </c>
      <c r="D37" s="7">
        <v>44469</v>
      </c>
      <c r="E37" s="2" t="s">
        <v>23</v>
      </c>
      <c r="F37" s="2" t="s">
        <v>28</v>
      </c>
      <c r="G37" s="2">
        <v>30</v>
      </c>
      <c r="H37" s="9" t="s">
        <v>132</v>
      </c>
      <c r="I37" s="9"/>
      <c r="J37" s="9" t="s">
        <v>134</v>
      </c>
      <c r="K37" s="9"/>
      <c r="L37" s="2" t="s">
        <v>74</v>
      </c>
      <c r="M37" s="2" t="s">
        <v>101</v>
      </c>
    </row>
    <row r="38" spans="1:13" ht="30.75">
      <c r="A38" s="7">
        <v>44487</v>
      </c>
      <c r="B38" s="8">
        <v>250</v>
      </c>
      <c r="C38" s="2" t="s">
        <v>54</v>
      </c>
      <c r="D38" s="7">
        <v>44485</v>
      </c>
      <c r="E38" s="2" t="s">
        <v>23</v>
      </c>
      <c r="F38" s="2" t="s">
        <v>24</v>
      </c>
      <c r="G38" s="2">
        <v>31</v>
      </c>
      <c r="H38" s="9" t="s">
        <v>135</v>
      </c>
      <c r="I38" s="9"/>
      <c r="J38" s="9" t="s">
        <v>136</v>
      </c>
      <c r="K38" s="9"/>
      <c r="L38" s="2" t="s">
        <v>74</v>
      </c>
      <c r="M38" s="2" t="s">
        <v>101</v>
      </c>
    </row>
    <row r="39" spans="1:13" ht="30.75">
      <c r="A39" s="7">
        <v>44487</v>
      </c>
      <c r="B39" s="8">
        <v>250</v>
      </c>
      <c r="C39" s="2" t="s">
        <v>54</v>
      </c>
      <c r="D39" s="7">
        <v>44499</v>
      </c>
      <c r="E39" s="2" t="s">
        <v>23</v>
      </c>
      <c r="F39" s="2" t="s">
        <v>24</v>
      </c>
      <c r="G39" s="2">
        <v>32</v>
      </c>
      <c r="H39" s="9" t="s">
        <v>135</v>
      </c>
      <c r="I39" s="9"/>
      <c r="J39" s="9" t="s">
        <v>137</v>
      </c>
      <c r="K39" s="9"/>
      <c r="L39" s="2" t="s">
        <v>74</v>
      </c>
      <c r="M39" s="2" t="s">
        <v>101</v>
      </c>
    </row>
    <row r="40" spans="1:13" ht="30.75">
      <c r="A40" s="7">
        <v>44527</v>
      </c>
      <c r="B40" s="8">
        <v>25</v>
      </c>
      <c r="C40" s="2" t="s">
        <v>27</v>
      </c>
      <c r="D40" s="7">
        <v>44513</v>
      </c>
      <c r="E40" s="2" t="s">
        <v>23</v>
      </c>
      <c r="F40" s="2" t="s">
        <v>28</v>
      </c>
      <c r="G40" s="2">
        <v>33</v>
      </c>
      <c r="H40" s="9" t="s">
        <v>138</v>
      </c>
      <c r="I40" s="9"/>
      <c r="J40" s="9" t="s">
        <v>139</v>
      </c>
      <c r="K40" s="9"/>
      <c r="L40" s="2" t="s">
        <v>74</v>
      </c>
      <c r="M40" s="2" t="s">
        <v>101</v>
      </c>
    </row>
    <row r="41" spans="1:13" ht="30.75">
      <c r="A41" s="7">
        <v>44527</v>
      </c>
      <c r="B41" s="8">
        <v>250</v>
      </c>
      <c r="C41" s="2" t="s">
        <v>27</v>
      </c>
      <c r="D41" s="7">
        <v>44527</v>
      </c>
      <c r="E41" s="2" t="s">
        <v>23</v>
      </c>
      <c r="F41" s="2" t="s">
        <v>28</v>
      </c>
      <c r="G41" s="2">
        <v>34</v>
      </c>
      <c r="H41" s="9" t="s">
        <v>138</v>
      </c>
      <c r="I41" s="9"/>
      <c r="J41" s="9" t="s">
        <v>140</v>
      </c>
      <c r="K41" s="9"/>
      <c r="L41" s="2" t="s">
        <v>74</v>
      </c>
      <c r="M41" s="2" t="s">
        <v>101</v>
      </c>
    </row>
    <row r="42" spans="1:13" ht="30.75">
      <c r="A42" s="7">
        <v>44558</v>
      </c>
      <c r="B42" s="8">
        <v>250</v>
      </c>
      <c r="C42" s="2" t="s">
        <v>30</v>
      </c>
      <c r="D42" s="7">
        <v>44545</v>
      </c>
      <c r="E42" s="2" t="s">
        <v>23</v>
      </c>
      <c r="F42" s="2" t="s">
        <v>28</v>
      </c>
      <c r="G42" s="2">
        <v>35</v>
      </c>
      <c r="H42" s="9" t="s">
        <v>141</v>
      </c>
      <c r="I42" s="9"/>
      <c r="J42" s="9"/>
      <c r="K42" s="9"/>
      <c r="L42" s="2" t="s">
        <v>56</v>
      </c>
      <c r="M42" s="2" t="s">
        <v>101</v>
      </c>
    </row>
    <row r="43" spans="1:13" ht="30.75">
      <c r="A43" s="7">
        <v>44565</v>
      </c>
      <c r="B43" s="8">
        <v>250</v>
      </c>
      <c r="C43" s="2" t="s">
        <v>30</v>
      </c>
      <c r="D43" s="7">
        <v>44558</v>
      </c>
      <c r="E43" s="2" t="s">
        <v>23</v>
      </c>
      <c r="F43" s="2" t="s">
        <v>24</v>
      </c>
      <c r="G43" s="2">
        <v>36</v>
      </c>
      <c r="H43" s="9" t="s">
        <v>141</v>
      </c>
      <c r="I43" s="9"/>
      <c r="J43" s="9" t="s">
        <v>142</v>
      </c>
      <c r="K43" s="9"/>
      <c r="L43" s="2" t="s">
        <v>56</v>
      </c>
      <c r="M43" s="2" t="s">
        <v>101</v>
      </c>
    </row>
    <row r="44" spans="1:13" ht="30.75">
      <c r="A44" s="7" t="s">
        <v>143</v>
      </c>
      <c r="B44" s="8">
        <v>250</v>
      </c>
      <c r="C44" s="2" t="s">
        <v>32</v>
      </c>
      <c r="D44" s="7">
        <v>44592</v>
      </c>
      <c r="E44" s="2" t="s">
        <v>23</v>
      </c>
      <c r="F44" s="2" t="s">
        <v>24</v>
      </c>
      <c r="G44" s="2">
        <v>37</v>
      </c>
      <c r="H44" s="9" t="s">
        <v>144</v>
      </c>
      <c r="I44" s="9"/>
      <c r="J44" s="9" t="s">
        <v>145</v>
      </c>
      <c r="K44" s="9"/>
      <c r="L44" s="2" t="s">
        <v>56</v>
      </c>
      <c r="M44" s="2" t="s">
        <v>101</v>
      </c>
    </row>
    <row r="45" spans="1:13" ht="30.75">
      <c r="A45" s="7">
        <v>44648</v>
      </c>
      <c r="B45" s="8">
        <v>250</v>
      </c>
      <c r="C45" s="2" t="s">
        <v>32</v>
      </c>
      <c r="D45" s="7"/>
      <c r="E45" s="2" t="s">
        <v>23</v>
      </c>
      <c r="F45" s="2" t="s">
        <v>24</v>
      </c>
      <c r="G45" s="2">
        <v>38</v>
      </c>
      <c r="H45" s="9" t="s">
        <v>144</v>
      </c>
      <c r="I45" s="9"/>
      <c r="J45" s="9"/>
      <c r="K45" s="9"/>
      <c r="L45" s="2" t="s">
        <v>56</v>
      </c>
      <c r="M45" s="2" t="s">
        <v>101</v>
      </c>
    </row>
    <row r="46" spans="1:13" ht="30.75">
      <c r="A46" s="7">
        <v>44648</v>
      </c>
      <c r="B46" s="8">
        <v>250</v>
      </c>
      <c r="C46" s="2" t="s">
        <v>34</v>
      </c>
      <c r="D46" s="7">
        <v>44610</v>
      </c>
      <c r="E46" s="2" t="s">
        <v>23</v>
      </c>
      <c r="F46" s="2" t="s">
        <v>24</v>
      </c>
      <c r="G46" s="2">
        <v>39</v>
      </c>
      <c r="H46" s="9" t="s">
        <v>146</v>
      </c>
      <c r="I46" s="9"/>
      <c r="J46" s="9" t="s">
        <v>147</v>
      </c>
      <c r="K46" s="9"/>
      <c r="L46" s="2" t="s">
        <v>56</v>
      </c>
      <c r="M46" s="2" t="s">
        <v>101</v>
      </c>
    </row>
    <row r="47" spans="1:13" ht="30.75">
      <c r="A47" s="7">
        <v>44648</v>
      </c>
      <c r="B47" s="8">
        <v>250</v>
      </c>
      <c r="C47" s="2" t="s">
        <v>34</v>
      </c>
      <c r="D47" s="7">
        <v>44622</v>
      </c>
      <c r="E47" s="2" t="s">
        <v>23</v>
      </c>
      <c r="F47" s="2" t="s">
        <v>24</v>
      </c>
      <c r="G47" s="2">
        <v>40</v>
      </c>
      <c r="H47" s="9" t="s">
        <v>146</v>
      </c>
      <c r="I47" s="9"/>
      <c r="J47" s="9" t="s">
        <v>148</v>
      </c>
      <c r="K47" s="9"/>
      <c r="L47" s="2" t="s">
        <v>56</v>
      </c>
      <c r="M47" s="2" t="s">
        <v>101</v>
      </c>
    </row>
    <row r="48" spans="1:13" ht="30.75">
      <c r="A48" s="7">
        <v>44708</v>
      </c>
      <c r="B48" s="8">
        <v>250</v>
      </c>
      <c r="C48" s="2" t="s">
        <v>38</v>
      </c>
      <c r="D48" s="7">
        <v>44681</v>
      </c>
      <c r="E48" s="2" t="s">
        <v>23</v>
      </c>
      <c r="F48" s="2" t="s">
        <v>24</v>
      </c>
      <c r="G48" s="2">
        <v>41</v>
      </c>
      <c r="H48" s="9" t="s">
        <v>149</v>
      </c>
      <c r="I48" s="9"/>
      <c r="J48" s="9" t="s">
        <v>150</v>
      </c>
      <c r="K48" s="9"/>
      <c r="L48" s="2" t="s">
        <v>26</v>
      </c>
      <c r="M48" s="2" t="s">
        <v>101</v>
      </c>
    </row>
    <row r="49" spans="1:14" ht="30.75">
      <c r="A49" s="7">
        <v>44673</v>
      </c>
      <c r="B49" s="8">
        <v>250</v>
      </c>
      <c r="C49" s="2" t="s">
        <v>41</v>
      </c>
      <c r="D49" s="7">
        <v>44666</v>
      </c>
      <c r="E49" s="2" t="s">
        <v>23</v>
      </c>
      <c r="F49" s="2" t="s">
        <v>24</v>
      </c>
      <c r="G49" s="2">
        <v>42</v>
      </c>
      <c r="H49" s="9" t="s">
        <v>151</v>
      </c>
      <c r="I49" s="9"/>
      <c r="J49" s="9" t="s">
        <v>152</v>
      </c>
      <c r="K49" s="9"/>
      <c r="L49" s="2" t="s">
        <v>26</v>
      </c>
      <c r="M49" s="2" t="s">
        <v>101</v>
      </c>
    </row>
    <row r="50" spans="1:14" ht="30.75">
      <c r="A50" s="7">
        <v>44747</v>
      </c>
      <c r="B50" s="8">
        <v>250</v>
      </c>
      <c r="C50" s="2" t="s">
        <v>44</v>
      </c>
      <c r="D50" s="7">
        <v>44701</v>
      </c>
      <c r="E50" s="2" t="s">
        <v>23</v>
      </c>
      <c r="F50" s="2" t="s">
        <v>24</v>
      </c>
      <c r="G50" s="2">
        <v>43</v>
      </c>
      <c r="H50" s="9" t="s">
        <v>153</v>
      </c>
      <c r="I50" s="9"/>
      <c r="J50" s="9" t="s">
        <v>154</v>
      </c>
      <c r="K50" s="9"/>
      <c r="L50" s="2" t="s">
        <v>26</v>
      </c>
      <c r="M50" s="2" t="s">
        <v>101</v>
      </c>
      <c r="N50" t="s">
        <v>73</v>
      </c>
    </row>
    <row r="51" spans="1:14" ht="30.75">
      <c r="A51" s="7">
        <v>44747</v>
      </c>
      <c r="B51" s="8">
        <v>250</v>
      </c>
      <c r="C51" s="2" t="s">
        <v>44</v>
      </c>
      <c r="D51" s="7">
        <v>44711</v>
      </c>
      <c r="E51" s="2" t="s">
        <v>23</v>
      </c>
      <c r="F51" s="2" t="s">
        <v>24</v>
      </c>
      <c r="G51" s="2">
        <v>44</v>
      </c>
      <c r="H51" s="9" t="s">
        <v>153</v>
      </c>
      <c r="I51" s="9"/>
      <c r="J51" s="9" t="s">
        <v>155</v>
      </c>
      <c r="K51" s="9"/>
      <c r="L51" s="2" t="s">
        <v>26</v>
      </c>
      <c r="M51" s="2" t="s">
        <v>101</v>
      </c>
      <c r="N51" t="s">
        <v>73</v>
      </c>
    </row>
    <row r="52" spans="1:14" ht="30.75">
      <c r="A52" s="7">
        <v>44747</v>
      </c>
      <c r="B52" s="8">
        <v>250</v>
      </c>
      <c r="C52" s="2" t="s">
        <v>57</v>
      </c>
      <c r="D52" s="7">
        <v>44726</v>
      </c>
      <c r="E52" s="2" t="s">
        <v>23</v>
      </c>
      <c r="F52" s="2" t="s">
        <v>24</v>
      </c>
      <c r="G52" s="2">
        <v>45</v>
      </c>
      <c r="H52" s="9" t="s">
        <v>156</v>
      </c>
      <c r="I52" s="9"/>
      <c r="J52" s="9" t="s">
        <v>157</v>
      </c>
      <c r="K52" s="9"/>
      <c r="L52" s="2" t="s">
        <v>26</v>
      </c>
      <c r="M52" s="2" t="s">
        <v>101</v>
      </c>
      <c r="N52" t="s">
        <v>73</v>
      </c>
    </row>
    <row r="53" spans="1:14" ht="30.75">
      <c r="A53" s="7">
        <v>44747</v>
      </c>
      <c r="B53" s="8">
        <v>250</v>
      </c>
      <c r="C53" s="2" t="s">
        <v>57</v>
      </c>
      <c r="D53" s="7">
        <v>44743</v>
      </c>
      <c r="E53" s="2" t="s">
        <v>23</v>
      </c>
      <c r="F53" s="2" t="s">
        <v>24</v>
      </c>
      <c r="G53" s="2">
        <v>46</v>
      </c>
      <c r="H53" s="9" t="s">
        <v>158</v>
      </c>
      <c r="I53" s="9"/>
      <c r="J53" s="9" t="s">
        <v>159</v>
      </c>
      <c r="K53" s="9"/>
      <c r="L53" s="2" t="s">
        <v>26</v>
      </c>
      <c r="M53" s="2" t="s">
        <v>101</v>
      </c>
      <c r="N53" t="s">
        <v>73</v>
      </c>
    </row>
    <row r="54" spans="1:14" ht="30.75">
      <c r="A54" s="7">
        <v>44824</v>
      </c>
      <c r="B54" s="8">
        <v>250</v>
      </c>
      <c r="C54" s="2" t="s">
        <v>47</v>
      </c>
      <c r="D54" s="7">
        <v>44772</v>
      </c>
      <c r="E54" s="2" t="s">
        <v>23</v>
      </c>
      <c r="F54" s="2" t="s">
        <v>24</v>
      </c>
      <c r="G54" s="2">
        <v>47</v>
      </c>
      <c r="H54" s="9" t="s">
        <v>160</v>
      </c>
      <c r="I54" s="9"/>
      <c r="J54" s="9" t="s">
        <v>161</v>
      </c>
      <c r="K54" s="9"/>
      <c r="L54" s="2" t="s">
        <v>26</v>
      </c>
      <c r="M54" s="2" t="s">
        <v>101</v>
      </c>
      <c r="N54" t="s">
        <v>73</v>
      </c>
    </row>
    <row r="55" spans="1:14" ht="30.75">
      <c r="A55" s="7">
        <v>44824</v>
      </c>
      <c r="B55" s="8">
        <v>250</v>
      </c>
      <c r="C55" s="2" t="s">
        <v>47</v>
      </c>
      <c r="D55" s="7">
        <v>44758</v>
      </c>
      <c r="E55" s="2" t="s">
        <v>23</v>
      </c>
      <c r="F55" s="2" t="s">
        <v>24</v>
      </c>
      <c r="G55" s="2">
        <v>48</v>
      </c>
      <c r="H55" s="9" t="s">
        <v>162</v>
      </c>
      <c r="I55" s="9"/>
      <c r="J55" s="9" t="s">
        <v>163</v>
      </c>
      <c r="K55" s="9"/>
      <c r="L55" s="2" t="s">
        <v>26</v>
      </c>
      <c r="M55" s="2" t="s">
        <v>101</v>
      </c>
      <c r="N55" t="s">
        <v>73</v>
      </c>
    </row>
    <row r="56" spans="1:14" ht="30.75">
      <c r="A56" s="7">
        <v>44824</v>
      </c>
      <c r="B56" s="8">
        <v>250</v>
      </c>
      <c r="C56" s="2" t="s">
        <v>50</v>
      </c>
      <c r="D56" s="7">
        <v>44788</v>
      </c>
      <c r="E56" s="2" t="s">
        <v>23</v>
      </c>
      <c r="F56" s="2" t="s">
        <v>24</v>
      </c>
      <c r="G56" s="2">
        <v>49</v>
      </c>
      <c r="H56" s="9" t="s">
        <v>164</v>
      </c>
      <c r="I56" s="9"/>
      <c r="J56" s="9" t="s">
        <v>165</v>
      </c>
      <c r="K56" s="9"/>
      <c r="L56" s="2" t="s">
        <v>26</v>
      </c>
      <c r="M56" s="2" t="s">
        <v>101</v>
      </c>
      <c r="N56" t="s">
        <v>73</v>
      </c>
    </row>
    <row r="57" spans="1:14" ht="30.75">
      <c r="A57" s="7">
        <v>44824</v>
      </c>
      <c r="B57" s="8">
        <v>250</v>
      </c>
      <c r="C57" s="2" t="s">
        <v>50</v>
      </c>
      <c r="D57" s="7">
        <v>44806</v>
      </c>
      <c r="E57" s="2" t="s">
        <v>23</v>
      </c>
      <c r="F57" s="2" t="s">
        <v>24</v>
      </c>
      <c r="G57" s="2">
        <v>50</v>
      </c>
      <c r="H57" s="9" t="s">
        <v>164</v>
      </c>
      <c r="I57" s="9"/>
      <c r="J57" s="9" t="s">
        <v>166</v>
      </c>
      <c r="K57" s="9"/>
      <c r="L57" s="2" t="s">
        <v>26</v>
      </c>
      <c r="M57" s="2" t="s">
        <v>101</v>
      </c>
      <c r="N57" t="s">
        <v>73</v>
      </c>
    </row>
    <row r="58" spans="1:14" ht="30.75">
      <c r="A58" s="7" t="s">
        <v>167</v>
      </c>
      <c r="B58" s="8">
        <v>250</v>
      </c>
      <c r="C58" s="2" t="s">
        <v>22</v>
      </c>
      <c r="D58" s="7">
        <v>44834</v>
      </c>
      <c r="E58" s="2" t="s">
        <v>23</v>
      </c>
      <c r="F58" s="2" t="s">
        <v>24</v>
      </c>
      <c r="G58" s="2">
        <v>51</v>
      </c>
      <c r="H58" s="9" t="s">
        <v>168</v>
      </c>
      <c r="I58" s="9"/>
      <c r="J58" s="9" t="s">
        <v>169</v>
      </c>
      <c r="K58" s="9"/>
      <c r="L58" s="2" t="s">
        <v>26</v>
      </c>
      <c r="M58" s="2" t="s">
        <v>101</v>
      </c>
      <c r="N58" t="s">
        <v>170</v>
      </c>
    </row>
    <row r="59" spans="1:14" ht="30.75">
      <c r="A59" s="7" t="s">
        <v>167</v>
      </c>
      <c r="B59" s="8">
        <v>250</v>
      </c>
      <c r="C59" s="2" t="s">
        <v>22</v>
      </c>
      <c r="D59" s="7">
        <v>44819</v>
      </c>
      <c r="E59" s="2" t="s">
        <v>23</v>
      </c>
      <c r="F59" s="2" t="s">
        <v>24</v>
      </c>
      <c r="G59" s="2">
        <v>52</v>
      </c>
      <c r="H59" s="9" t="s">
        <v>168</v>
      </c>
      <c r="I59" s="9"/>
      <c r="J59" s="9" t="s">
        <v>171</v>
      </c>
      <c r="K59" s="9"/>
      <c r="L59" s="2" t="s">
        <v>26</v>
      </c>
      <c r="M59" s="2" t="s">
        <v>101</v>
      </c>
      <c r="N59" t="s">
        <v>170</v>
      </c>
    </row>
    <row r="60" spans="1:14" ht="30.75">
      <c r="A60" s="7">
        <v>44907</v>
      </c>
      <c r="B60" s="8">
        <v>250</v>
      </c>
      <c r="C60" s="2" t="s">
        <v>54</v>
      </c>
      <c r="D60" s="7" t="s">
        <v>172</v>
      </c>
      <c r="E60" s="2" t="s">
        <v>23</v>
      </c>
      <c r="F60" s="2" t="s">
        <v>24</v>
      </c>
      <c r="G60" s="2">
        <v>53</v>
      </c>
      <c r="H60" s="9" t="s">
        <v>173</v>
      </c>
      <c r="I60" s="9"/>
      <c r="J60" s="9" t="s">
        <v>174</v>
      </c>
      <c r="K60" s="9"/>
      <c r="L60" s="2" t="s">
        <v>26</v>
      </c>
      <c r="M60" s="2" t="s">
        <v>101</v>
      </c>
      <c r="N60" t="s">
        <v>170</v>
      </c>
    </row>
    <row r="61" spans="1:14" ht="30.75">
      <c r="A61" s="7">
        <v>44907</v>
      </c>
      <c r="B61" s="8">
        <v>250</v>
      </c>
      <c r="C61" s="2" t="s">
        <v>54</v>
      </c>
      <c r="D61" s="7" t="s">
        <v>60</v>
      </c>
      <c r="E61" s="2" t="s">
        <v>23</v>
      </c>
      <c r="F61" s="2" t="s">
        <v>24</v>
      </c>
      <c r="G61" s="2">
        <v>54</v>
      </c>
      <c r="H61" s="9" t="s">
        <v>175</v>
      </c>
      <c r="I61" s="9"/>
      <c r="J61" s="9" t="s">
        <v>176</v>
      </c>
      <c r="K61" s="9"/>
      <c r="L61" s="2" t="s">
        <v>26</v>
      </c>
      <c r="M61" s="2" t="s">
        <v>101</v>
      </c>
      <c r="N61" t="s">
        <v>170</v>
      </c>
    </row>
    <row r="62" spans="1:14" ht="30.75">
      <c r="A62" s="7">
        <v>44907</v>
      </c>
      <c r="B62" s="8">
        <v>250</v>
      </c>
      <c r="C62" s="2" t="s">
        <v>27</v>
      </c>
      <c r="D62" s="7" t="s">
        <v>177</v>
      </c>
      <c r="E62" s="2" t="s">
        <v>23</v>
      </c>
      <c r="F62" s="2" t="s">
        <v>24</v>
      </c>
      <c r="G62" s="2">
        <v>55</v>
      </c>
      <c r="H62" s="9" t="s">
        <v>178</v>
      </c>
      <c r="I62" s="9"/>
      <c r="J62" s="9" t="s">
        <v>179</v>
      </c>
      <c r="K62" s="9"/>
      <c r="L62" s="2" t="s">
        <v>26</v>
      </c>
      <c r="M62" s="2"/>
      <c r="N62" t="s">
        <v>170</v>
      </c>
    </row>
    <row r="63" spans="1:14" ht="30.75">
      <c r="A63" s="7">
        <v>44907</v>
      </c>
      <c r="B63" s="8">
        <v>250</v>
      </c>
      <c r="C63" s="2" t="s">
        <v>27</v>
      </c>
      <c r="D63" s="7" t="s">
        <v>180</v>
      </c>
      <c r="E63" s="2" t="s">
        <v>23</v>
      </c>
      <c r="F63" s="2" t="s">
        <v>24</v>
      </c>
      <c r="G63" s="2">
        <v>56</v>
      </c>
      <c r="H63" s="9" t="s">
        <v>181</v>
      </c>
      <c r="I63" s="9"/>
      <c r="J63" s="9" t="s">
        <v>182</v>
      </c>
      <c r="K63" s="9"/>
      <c r="L63" s="2" t="s">
        <v>26</v>
      </c>
      <c r="M63" s="2"/>
      <c r="N63" t="s">
        <v>170</v>
      </c>
    </row>
    <row r="64" spans="1:14" ht="30.75">
      <c r="A64" s="7" t="s">
        <v>183</v>
      </c>
      <c r="B64" s="8">
        <v>250</v>
      </c>
      <c r="C64" s="2" t="s">
        <v>30</v>
      </c>
      <c r="D64" s="7" t="s">
        <v>62</v>
      </c>
      <c r="E64" s="2" t="s">
        <v>23</v>
      </c>
      <c r="F64" s="2" t="s">
        <v>24</v>
      </c>
      <c r="G64" s="2">
        <v>57</v>
      </c>
      <c r="H64" s="9" t="s">
        <v>184</v>
      </c>
      <c r="I64" s="9"/>
      <c r="J64" s="9" t="s">
        <v>185</v>
      </c>
      <c r="K64" s="9"/>
      <c r="L64" s="2" t="s">
        <v>26</v>
      </c>
      <c r="M64" s="2"/>
      <c r="N64" t="s">
        <v>73</v>
      </c>
    </row>
    <row r="65" spans="1:15" ht="30.75">
      <c r="A65" s="7" t="s">
        <v>183</v>
      </c>
      <c r="B65" s="8">
        <v>250</v>
      </c>
      <c r="C65" s="2" t="s">
        <v>30</v>
      </c>
      <c r="D65" s="7" t="s">
        <v>186</v>
      </c>
      <c r="E65" s="2" t="s">
        <v>23</v>
      </c>
      <c r="F65" s="2" t="s">
        <v>24</v>
      </c>
      <c r="G65" s="2">
        <v>58</v>
      </c>
      <c r="H65" s="9" t="s">
        <v>184</v>
      </c>
      <c r="I65" s="9"/>
      <c r="J65" s="9" t="s">
        <v>187</v>
      </c>
      <c r="K65" s="9"/>
      <c r="L65" s="2" t="s">
        <v>26</v>
      </c>
      <c r="M65" s="2"/>
      <c r="N65" t="s">
        <v>73</v>
      </c>
    </row>
    <row r="66" spans="1:15" ht="30.75">
      <c r="A66" s="7" t="s">
        <v>188</v>
      </c>
      <c r="B66" s="8">
        <v>250</v>
      </c>
      <c r="C66" s="2" t="s">
        <v>32</v>
      </c>
      <c r="D66" s="7" t="s">
        <v>189</v>
      </c>
      <c r="E66" s="2" t="s">
        <v>23</v>
      </c>
      <c r="F66" s="2" t="s">
        <v>24</v>
      </c>
      <c r="G66" s="2">
        <v>59</v>
      </c>
      <c r="H66" s="9" t="s">
        <v>190</v>
      </c>
      <c r="I66" s="9"/>
      <c r="J66" s="9" t="s">
        <v>191</v>
      </c>
      <c r="K66" s="9"/>
      <c r="L66" s="2" t="s">
        <v>26</v>
      </c>
      <c r="M66" s="2">
        <v>38</v>
      </c>
      <c r="N66" t="s">
        <v>192</v>
      </c>
    </row>
    <row r="67" spans="1:15" ht="30.75">
      <c r="A67" s="7" t="s">
        <v>188</v>
      </c>
      <c r="B67" s="8">
        <v>250</v>
      </c>
      <c r="C67" s="2" t="s">
        <v>32</v>
      </c>
      <c r="D67" s="7"/>
      <c r="E67" s="2" t="s">
        <v>23</v>
      </c>
      <c r="F67" s="2" t="s">
        <v>24</v>
      </c>
      <c r="G67" s="2">
        <v>60</v>
      </c>
      <c r="H67" s="9" t="s">
        <v>190</v>
      </c>
      <c r="I67" s="9"/>
      <c r="J67" s="9"/>
      <c r="K67" s="9"/>
      <c r="L67" s="2" t="s">
        <v>26</v>
      </c>
      <c r="M67" s="2"/>
      <c r="N67" t="s">
        <v>192</v>
      </c>
    </row>
    <row r="68" spans="1:15" ht="30.75">
      <c r="A68" s="7" t="s">
        <v>188</v>
      </c>
      <c r="B68" s="8">
        <v>250</v>
      </c>
      <c r="C68" s="2" t="s">
        <v>34</v>
      </c>
      <c r="D68" s="7" t="s">
        <v>193</v>
      </c>
      <c r="E68" s="2" t="s">
        <v>23</v>
      </c>
      <c r="F68" s="2" t="s">
        <v>24</v>
      </c>
      <c r="G68" s="2">
        <v>61</v>
      </c>
      <c r="H68" s="9" t="s">
        <v>194</v>
      </c>
      <c r="I68" s="9"/>
      <c r="J68" s="9" t="s">
        <v>195</v>
      </c>
      <c r="K68" s="9"/>
      <c r="L68" s="2" t="s">
        <v>26</v>
      </c>
      <c r="M68" s="2">
        <v>25</v>
      </c>
      <c r="N68" t="s">
        <v>192</v>
      </c>
    </row>
    <row r="69" spans="1:15" ht="30.75">
      <c r="A69" s="2" t="s">
        <v>196</v>
      </c>
      <c r="B69" s="8">
        <v>250</v>
      </c>
      <c r="C69" s="2" t="s">
        <v>34</v>
      </c>
      <c r="D69" s="2" t="s">
        <v>66</v>
      </c>
      <c r="E69" s="2" t="s">
        <v>23</v>
      </c>
      <c r="F69" s="2" t="s">
        <v>24</v>
      </c>
      <c r="G69" s="2">
        <v>62</v>
      </c>
      <c r="H69" s="496">
        <v>14718</v>
      </c>
      <c r="I69" s="2"/>
      <c r="J69" s="2">
        <v>21799</v>
      </c>
      <c r="K69" s="2"/>
      <c r="L69" s="2" t="s">
        <v>26</v>
      </c>
      <c r="M69" s="2">
        <v>15</v>
      </c>
      <c r="N69" t="s">
        <v>192</v>
      </c>
    </row>
    <row r="70" spans="1:15" ht="30.75">
      <c r="A70" s="7">
        <v>45051</v>
      </c>
      <c r="B70" s="8">
        <v>250</v>
      </c>
      <c r="C70" s="2" t="s">
        <v>38</v>
      </c>
      <c r="D70" s="2" t="s">
        <v>197</v>
      </c>
      <c r="E70" s="2" t="s">
        <v>23</v>
      </c>
      <c r="F70" s="2" t="s">
        <v>24</v>
      </c>
      <c r="G70" s="2">
        <v>63</v>
      </c>
      <c r="H70" s="496">
        <v>15698</v>
      </c>
      <c r="I70" s="2"/>
      <c r="J70" s="2">
        <v>22519</v>
      </c>
      <c r="K70" s="2"/>
      <c r="L70" s="2" t="s">
        <v>26</v>
      </c>
      <c r="M70" s="2">
        <v>32</v>
      </c>
    </row>
    <row r="71" spans="1:15" ht="30.75">
      <c r="A71" s="7">
        <v>45051</v>
      </c>
      <c r="B71" s="8">
        <v>250</v>
      </c>
      <c r="C71" s="2" t="s">
        <v>38</v>
      </c>
      <c r="D71" s="2" t="s">
        <v>68</v>
      </c>
      <c r="E71" s="2" t="s">
        <v>23</v>
      </c>
      <c r="F71" s="2" t="s">
        <v>24</v>
      </c>
      <c r="G71" s="2">
        <v>64</v>
      </c>
      <c r="H71" s="496">
        <v>15698</v>
      </c>
      <c r="I71" s="2"/>
      <c r="J71" s="2">
        <v>22994</v>
      </c>
      <c r="K71" s="2"/>
      <c r="L71" s="2" t="s">
        <v>26</v>
      </c>
      <c r="M71" s="2">
        <v>25</v>
      </c>
    </row>
    <row r="72" spans="1:15" ht="30.75">
      <c r="A72" s="7">
        <v>45051</v>
      </c>
      <c r="B72" s="8">
        <v>250</v>
      </c>
      <c r="C72" s="2" t="s">
        <v>41</v>
      </c>
      <c r="D72" s="2" t="s">
        <v>198</v>
      </c>
      <c r="E72" s="2" t="s">
        <v>23</v>
      </c>
      <c r="F72" s="2" t="s">
        <v>24</v>
      </c>
      <c r="G72" s="2">
        <v>65</v>
      </c>
      <c r="H72" s="496">
        <v>15764</v>
      </c>
      <c r="I72" s="2"/>
      <c r="J72" s="2">
        <v>23452</v>
      </c>
      <c r="K72" s="2"/>
      <c r="L72" s="2" t="s">
        <v>26</v>
      </c>
      <c r="M72" s="2">
        <v>32</v>
      </c>
    </row>
    <row r="73" spans="1:15" ht="30.75">
      <c r="A73" s="7">
        <v>45051</v>
      </c>
      <c r="B73" s="8">
        <v>250</v>
      </c>
      <c r="C73" s="2" t="s">
        <v>41</v>
      </c>
      <c r="D73" s="2" t="s">
        <v>69</v>
      </c>
      <c r="E73" s="2" t="s">
        <v>23</v>
      </c>
      <c r="F73" s="2" t="s">
        <v>24</v>
      </c>
      <c r="G73" s="2">
        <v>66</v>
      </c>
      <c r="H73" s="496">
        <v>15764</v>
      </c>
      <c r="I73" s="2"/>
      <c r="J73" s="2">
        <v>23423</v>
      </c>
      <c r="K73" s="2"/>
      <c r="L73" s="2" t="s">
        <v>26</v>
      </c>
      <c r="M73" s="2">
        <v>10</v>
      </c>
    </row>
    <row r="74" spans="1:15" ht="30.75">
      <c r="A74" s="7">
        <v>45118</v>
      </c>
      <c r="B74" s="8">
        <v>250</v>
      </c>
      <c r="C74" s="2" t="s">
        <v>44</v>
      </c>
      <c r="D74" s="2" t="s">
        <v>199</v>
      </c>
      <c r="E74" s="2" t="s">
        <v>23</v>
      </c>
      <c r="F74" s="2" t="s">
        <v>24</v>
      </c>
      <c r="G74" s="2">
        <v>67</v>
      </c>
      <c r="H74" s="496">
        <v>16583</v>
      </c>
      <c r="I74" s="2"/>
      <c r="J74" s="2">
        <v>24350</v>
      </c>
      <c r="K74" s="2"/>
      <c r="L74" s="2" t="s">
        <v>26</v>
      </c>
      <c r="M74">
        <v>26</v>
      </c>
    </row>
    <row r="75" spans="1:15" ht="30.75">
      <c r="A75" s="7">
        <v>45118</v>
      </c>
      <c r="B75" s="8">
        <v>250</v>
      </c>
      <c r="C75" s="2" t="s">
        <v>44</v>
      </c>
      <c r="D75" s="2" t="s">
        <v>70</v>
      </c>
      <c r="E75" s="2" t="s">
        <v>23</v>
      </c>
      <c r="F75" s="2" t="s">
        <v>24</v>
      </c>
      <c r="G75" s="2">
        <v>68</v>
      </c>
      <c r="H75" s="496">
        <v>16583</v>
      </c>
      <c r="I75" s="2"/>
      <c r="J75" s="2">
        <v>24900</v>
      </c>
      <c r="K75" s="2"/>
      <c r="L75" s="2" t="s">
        <v>26</v>
      </c>
      <c r="M75">
        <v>27</v>
      </c>
      <c r="O75" t="s">
        <v>200</v>
      </c>
    </row>
    <row r="76" spans="1:15" ht="30.75">
      <c r="A76" s="7">
        <v>45118</v>
      </c>
      <c r="B76" s="8">
        <v>250</v>
      </c>
      <c r="C76" s="2" t="s">
        <v>57</v>
      </c>
      <c r="D76" s="7">
        <v>45092</v>
      </c>
      <c r="E76" s="2" t="s">
        <v>23</v>
      </c>
      <c r="F76" s="2" t="s">
        <v>24</v>
      </c>
      <c r="G76" s="2">
        <v>69</v>
      </c>
      <c r="H76" s="496">
        <v>17155</v>
      </c>
      <c r="I76" s="2"/>
      <c r="J76" s="2">
        <v>25204</v>
      </c>
      <c r="K76" s="2"/>
      <c r="L76" s="2" t="s">
        <v>26</v>
      </c>
      <c r="M76" s="2">
        <v>20</v>
      </c>
      <c r="N76" s="290" t="s">
        <v>76</v>
      </c>
    </row>
    <row r="77" spans="1:15" ht="30.75">
      <c r="A77" s="7">
        <v>45118</v>
      </c>
      <c r="B77" s="8">
        <v>250</v>
      </c>
      <c r="C77" s="2" t="s">
        <v>57</v>
      </c>
      <c r="D77" s="7">
        <v>45104</v>
      </c>
      <c r="E77" s="2" t="s">
        <v>23</v>
      </c>
      <c r="F77" s="2" t="s">
        <v>24</v>
      </c>
      <c r="G77" s="2">
        <v>70</v>
      </c>
      <c r="H77" s="496">
        <v>17155</v>
      </c>
      <c r="I77" s="2"/>
      <c r="J77" s="2">
        <v>25646</v>
      </c>
      <c r="K77" s="2"/>
      <c r="L77" s="2" t="s">
        <v>26</v>
      </c>
      <c r="M77" s="2">
        <v>8.1</v>
      </c>
    </row>
    <row r="78" spans="1:15" ht="30.75">
      <c r="A78" s="7">
        <v>45162</v>
      </c>
      <c r="B78" s="8">
        <v>250</v>
      </c>
      <c r="C78" s="2" t="s">
        <v>47</v>
      </c>
      <c r="D78" s="7">
        <v>45122</v>
      </c>
      <c r="E78" s="2" t="s">
        <v>23</v>
      </c>
      <c r="F78" s="2" t="s">
        <v>24</v>
      </c>
      <c r="G78" s="2">
        <v>71</v>
      </c>
      <c r="H78" s="496">
        <v>17970</v>
      </c>
      <c r="I78" s="2"/>
      <c r="J78" s="2">
        <v>26138</v>
      </c>
      <c r="K78" s="2"/>
      <c r="L78" s="2" t="s">
        <v>26</v>
      </c>
      <c r="M78" s="2">
        <v>35</v>
      </c>
    </row>
    <row r="79" spans="1:15" ht="30.75">
      <c r="A79" s="7">
        <v>45162</v>
      </c>
      <c r="B79" s="8">
        <v>250</v>
      </c>
      <c r="C79" s="2" t="s">
        <v>47</v>
      </c>
      <c r="D79" s="7">
        <v>45134</v>
      </c>
      <c r="E79" s="2" t="s">
        <v>23</v>
      </c>
      <c r="F79" s="2" t="s">
        <v>24</v>
      </c>
      <c r="G79" s="2">
        <v>72</v>
      </c>
      <c r="H79" s="496">
        <v>17970</v>
      </c>
      <c r="I79" s="2"/>
      <c r="J79" s="2">
        <v>26623</v>
      </c>
      <c r="K79" s="2"/>
      <c r="L79" s="2" t="s">
        <v>26</v>
      </c>
      <c r="M79" s="2">
        <v>7.1</v>
      </c>
    </row>
    <row r="80" spans="1:15" ht="30.75">
      <c r="A80" s="7">
        <v>45205</v>
      </c>
      <c r="B80" s="8">
        <v>250</v>
      </c>
      <c r="C80" s="2" t="s">
        <v>50</v>
      </c>
      <c r="D80" s="7">
        <v>45154</v>
      </c>
      <c r="E80" s="2" t="s">
        <v>23</v>
      </c>
      <c r="F80" s="2" t="s">
        <v>24</v>
      </c>
      <c r="G80" s="2">
        <v>73</v>
      </c>
      <c r="H80" s="496" t="s">
        <v>201</v>
      </c>
      <c r="I80" s="2"/>
      <c r="J80" s="2">
        <v>26974</v>
      </c>
      <c r="K80" s="2"/>
      <c r="L80" s="2" t="s">
        <v>26</v>
      </c>
      <c r="M80" s="2">
        <v>35</v>
      </c>
    </row>
    <row r="81" spans="1:13" ht="30.75">
      <c r="A81" s="7">
        <v>45205</v>
      </c>
      <c r="B81" s="8">
        <v>250</v>
      </c>
      <c r="C81" s="2" t="s">
        <v>50</v>
      </c>
      <c r="D81" s="7">
        <v>45166</v>
      </c>
      <c r="E81" s="2" t="s">
        <v>23</v>
      </c>
      <c r="F81" s="2" t="s">
        <v>24</v>
      </c>
      <c r="G81" s="2">
        <v>74</v>
      </c>
      <c r="H81" s="496" t="s">
        <v>201</v>
      </c>
      <c r="I81" s="2"/>
      <c r="J81" s="2">
        <v>27937</v>
      </c>
      <c r="K81" s="2"/>
      <c r="L81" s="2" t="s">
        <v>26</v>
      </c>
      <c r="M81" s="2"/>
    </row>
    <row r="82" spans="1:13" ht="30.75">
      <c r="A82" s="7">
        <v>45205</v>
      </c>
      <c r="B82" s="8">
        <v>250</v>
      </c>
      <c r="C82" s="2" t="s">
        <v>22</v>
      </c>
      <c r="D82" s="7">
        <v>45184</v>
      </c>
      <c r="E82" s="2" t="s">
        <v>23</v>
      </c>
      <c r="F82" s="2" t="s">
        <v>24</v>
      </c>
      <c r="G82" s="2">
        <v>75</v>
      </c>
      <c r="H82" s="496" t="s">
        <v>202</v>
      </c>
      <c r="I82" s="2"/>
      <c r="J82" s="2">
        <v>28388</v>
      </c>
      <c r="K82" s="2"/>
      <c r="L82" s="2" t="s">
        <v>26</v>
      </c>
      <c r="M82" s="2">
        <v>20</v>
      </c>
    </row>
    <row r="83" spans="1:13" ht="30.75">
      <c r="A83" s="7">
        <v>45205</v>
      </c>
      <c r="B83" s="8">
        <v>250</v>
      </c>
      <c r="C83" s="2" t="s">
        <v>22</v>
      </c>
      <c r="D83" s="7">
        <v>45198</v>
      </c>
      <c r="E83" s="2" t="s">
        <v>23</v>
      </c>
      <c r="F83" s="2" t="s">
        <v>24</v>
      </c>
      <c r="G83" s="2">
        <v>76</v>
      </c>
      <c r="H83" s="496">
        <v>19416</v>
      </c>
      <c r="I83" s="2"/>
      <c r="J83" s="2">
        <v>28905</v>
      </c>
      <c r="K83" s="2"/>
      <c r="L83" s="2" t="s">
        <v>26</v>
      </c>
      <c r="M83" s="2">
        <v>10</v>
      </c>
    </row>
    <row r="84" spans="1:13" ht="30.75">
      <c r="A84" s="7">
        <v>45258</v>
      </c>
      <c r="B84" s="8">
        <v>250</v>
      </c>
      <c r="C84" s="2" t="s">
        <v>54</v>
      </c>
      <c r="D84" s="7">
        <v>45215</v>
      </c>
      <c r="E84" s="2" t="s">
        <v>23</v>
      </c>
      <c r="F84" s="2" t="s">
        <v>24</v>
      </c>
      <c r="G84" s="2">
        <v>77</v>
      </c>
      <c r="H84" s="496">
        <v>20155</v>
      </c>
      <c r="I84" s="2"/>
      <c r="J84" s="2">
        <v>29315</v>
      </c>
      <c r="K84" s="2">
        <v>31449</v>
      </c>
      <c r="L84" s="2" t="s">
        <v>26</v>
      </c>
      <c r="M84" s="2">
        <v>6</v>
      </c>
    </row>
    <row r="85" spans="1:13" ht="30.75">
      <c r="A85" s="7">
        <v>45258</v>
      </c>
      <c r="B85" s="8">
        <v>250</v>
      </c>
      <c r="C85" s="2" t="s">
        <v>54</v>
      </c>
      <c r="D85" s="7">
        <v>45230</v>
      </c>
      <c r="E85" s="2" t="s">
        <v>23</v>
      </c>
      <c r="F85" s="2" t="s">
        <v>24</v>
      </c>
      <c r="G85" s="2">
        <v>78</v>
      </c>
      <c r="H85" s="496">
        <v>20155</v>
      </c>
      <c r="I85" s="2"/>
      <c r="J85" s="2">
        <v>29758</v>
      </c>
      <c r="K85" s="2">
        <v>31858</v>
      </c>
      <c r="L85" s="2" t="s">
        <v>26</v>
      </c>
      <c r="M85" s="2">
        <v>10</v>
      </c>
    </row>
    <row r="86" spans="1:13" ht="30.75">
      <c r="A86" s="7">
        <v>45286</v>
      </c>
      <c r="B86" s="8">
        <v>250</v>
      </c>
      <c r="C86" s="2" t="s">
        <v>27</v>
      </c>
      <c r="D86" s="7">
        <v>45245</v>
      </c>
      <c r="E86" s="2" t="s">
        <v>23</v>
      </c>
      <c r="F86" s="2" t="s">
        <v>24</v>
      </c>
      <c r="G86" s="2">
        <v>79</v>
      </c>
      <c r="H86" s="496">
        <v>20859</v>
      </c>
      <c r="I86" s="2"/>
      <c r="J86" s="2">
        <v>30690</v>
      </c>
      <c r="K86" s="2">
        <v>32802</v>
      </c>
      <c r="L86" s="2" t="s">
        <v>26</v>
      </c>
      <c r="M86" s="2">
        <v>10</v>
      </c>
    </row>
    <row r="87" spans="1:13" ht="30.75">
      <c r="A87" s="7">
        <v>45286</v>
      </c>
      <c r="B87" s="8">
        <v>250</v>
      </c>
      <c r="C87" s="2" t="s">
        <v>27</v>
      </c>
      <c r="D87" s="7">
        <v>45260</v>
      </c>
      <c r="E87" s="2" t="s">
        <v>23</v>
      </c>
      <c r="F87" s="2" t="s">
        <v>24</v>
      </c>
      <c r="G87" s="2">
        <v>79</v>
      </c>
      <c r="H87" s="496">
        <v>20859</v>
      </c>
      <c r="I87" s="2"/>
      <c r="J87" s="2">
        <v>30699</v>
      </c>
      <c r="K87" s="2">
        <v>32863</v>
      </c>
      <c r="L87" s="2" t="s">
        <v>26</v>
      </c>
      <c r="M87" s="2">
        <v>7</v>
      </c>
    </row>
    <row r="88" spans="1:13" ht="30.75">
      <c r="A88" s="7">
        <v>45301</v>
      </c>
      <c r="B88" s="8">
        <v>250</v>
      </c>
      <c r="C88" s="2" t="s">
        <v>30</v>
      </c>
      <c r="D88" s="7">
        <v>45278</v>
      </c>
      <c r="E88" s="2" t="s">
        <v>23</v>
      </c>
      <c r="F88" s="2" t="s">
        <v>24</v>
      </c>
      <c r="G88" s="2">
        <v>80</v>
      </c>
      <c r="H88" s="496">
        <v>20859</v>
      </c>
      <c r="I88" s="2"/>
      <c r="J88" s="2">
        <v>31206</v>
      </c>
      <c r="K88" s="2">
        <v>33317</v>
      </c>
      <c r="L88" s="2" t="s">
        <v>26</v>
      </c>
      <c r="M88" s="2">
        <v>18</v>
      </c>
    </row>
    <row r="89" spans="1:13" ht="30.75">
      <c r="A89" s="7">
        <v>45301</v>
      </c>
      <c r="B89" s="8">
        <v>250</v>
      </c>
      <c r="C89" s="2" t="s">
        <v>30</v>
      </c>
      <c r="D89" s="7">
        <v>45289</v>
      </c>
      <c r="E89" s="2" t="s">
        <v>23</v>
      </c>
      <c r="F89" s="2" t="s">
        <v>24</v>
      </c>
      <c r="G89" s="2">
        <v>81</v>
      </c>
      <c r="H89" s="496">
        <v>20859</v>
      </c>
      <c r="I89" s="2"/>
      <c r="J89" s="2">
        <v>31524</v>
      </c>
      <c r="K89" s="2">
        <v>33663</v>
      </c>
      <c r="L89" s="2" t="s">
        <v>26</v>
      </c>
      <c r="M89" s="2">
        <v>18</v>
      </c>
    </row>
    <row r="90" spans="1:13" ht="30.75">
      <c r="A90" s="517">
        <v>45325</v>
      </c>
      <c r="B90" s="8">
        <v>250</v>
      </c>
      <c r="C90" s="518" t="s">
        <v>32</v>
      </c>
      <c r="D90" s="7">
        <v>45307</v>
      </c>
      <c r="E90" s="2" t="s">
        <v>23</v>
      </c>
      <c r="F90" s="2" t="s">
        <v>24</v>
      </c>
      <c r="G90" s="2">
        <v>82</v>
      </c>
      <c r="H90" s="496">
        <v>22192</v>
      </c>
      <c r="I90" s="2"/>
      <c r="J90" s="2">
        <v>32061</v>
      </c>
      <c r="K90" s="2">
        <v>34151</v>
      </c>
      <c r="L90" s="2" t="s">
        <v>26</v>
      </c>
      <c r="M90" s="2">
        <v>35</v>
      </c>
    </row>
    <row r="91" spans="1:13" ht="30.75">
      <c r="A91" s="517">
        <v>45325</v>
      </c>
      <c r="B91" s="8">
        <v>250</v>
      </c>
      <c r="C91" s="518" t="s">
        <v>32</v>
      </c>
      <c r="D91" s="7">
        <v>45322</v>
      </c>
      <c r="E91" s="2" t="s">
        <v>23</v>
      </c>
      <c r="F91" s="2" t="s">
        <v>24</v>
      </c>
      <c r="G91" s="2">
        <v>83</v>
      </c>
      <c r="H91" s="496">
        <v>22192</v>
      </c>
      <c r="I91" s="2"/>
      <c r="J91" s="2">
        <v>32487</v>
      </c>
      <c r="K91" s="2">
        <v>34563</v>
      </c>
      <c r="L91" s="2" t="s">
        <v>26</v>
      </c>
      <c r="M91" s="2">
        <v>10</v>
      </c>
    </row>
    <row r="92" spans="1:13" ht="30.75">
      <c r="A92" s="7">
        <v>45357</v>
      </c>
      <c r="B92" s="8">
        <v>250</v>
      </c>
      <c r="C92" s="2" t="s">
        <v>34</v>
      </c>
      <c r="D92" s="7">
        <v>45336</v>
      </c>
      <c r="E92" s="2" t="s">
        <v>23</v>
      </c>
      <c r="F92" s="2" t="s">
        <v>24</v>
      </c>
      <c r="G92" s="2">
        <v>84</v>
      </c>
      <c r="H92" s="496">
        <v>22864</v>
      </c>
      <c r="I92" s="2"/>
      <c r="J92" s="2">
        <v>32879</v>
      </c>
      <c r="K92" s="2">
        <v>34972</v>
      </c>
      <c r="L92" s="2" t="s">
        <v>26</v>
      </c>
      <c r="M92" s="2">
        <v>17</v>
      </c>
    </row>
    <row r="93" spans="1:13" ht="30.75">
      <c r="A93" s="7">
        <v>45357</v>
      </c>
      <c r="B93" s="8">
        <v>250</v>
      </c>
      <c r="C93" s="2" t="s">
        <v>34</v>
      </c>
      <c r="D93" s="7">
        <v>45351</v>
      </c>
      <c r="E93" s="2" t="s">
        <v>23</v>
      </c>
      <c r="F93" s="2" t="s">
        <v>24</v>
      </c>
      <c r="G93" s="2">
        <v>85</v>
      </c>
      <c r="H93" s="496">
        <v>22864</v>
      </c>
      <c r="I93" s="2"/>
      <c r="J93" s="2">
        <v>33369</v>
      </c>
      <c r="K93" s="2">
        <v>35460</v>
      </c>
      <c r="L93" s="2" t="s">
        <v>26</v>
      </c>
      <c r="M93" s="2">
        <v>7</v>
      </c>
    </row>
    <row r="94" spans="1:13" ht="30.75">
      <c r="A94" s="7">
        <v>45403</v>
      </c>
      <c r="B94" s="8">
        <v>250</v>
      </c>
      <c r="C94" s="2" t="s">
        <v>38</v>
      </c>
      <c r="D94" s="7">
        <v>45367</v>
      </c>
      <c r="E94" s="2" t="s">
        <v>23</v>
      </c>
      <c r="F94" s="2" t="s">
        <v>24</v>
      </c>
      <c r="G94" s="2">
        <v>86</v>
      </c>
      <c r="H94" s="496">
        <v>23619</v>
      </c>
      <c r="I94" s="2"/>
      <c r="J94" s="2">
        <v>33743</v>
      </c>
      <c r="K94" s="2">
        <v>35801</v>
      </c>
      <c r="L94" s="2" t="s">
        <v>26</v>
      </c>
      <c r="M94" s="2">
        <v>36</v>
      </c>
    </row>
    <row r="95" spans="1:13" ht="30.75">
      <c r="A95" s="7">
        <v>45403</v>
      </c>
      <c r="B95" s="8">
        <v>250</v>
      </c>
      <c r="C95" s="2" t="s">
        <v>38</v>
      </c>
      <c r="D95" s="7">
        <v>45377</v>
      </c>
      <c r="E95" s="2" t="s">
        <v>23</v>
      </c>
      <c r="F95" s="2" t="s">
        <v>24</v>
      </c>
      <c r="G95" s="2">
        <v>87</v>
      </c>
      <c r="H95" s="496">
        <v>23619</v>
      </c>
      <c r="I95" s="2"/>
      <c r="J95" s="2">
        <v>34357</v>
      </c>
      <c r="K95" s="2">
        <v>36293</v>
      </c>
      <c r="L95" s="2" t="s">
        <v>26</v>
      </c>
      <c r="M95" s="2">
        <v>10.1</v>
      </c>
    </row>
    <row r="96" spans="1:13" ht="30.75">
      <c r="A96" s="7">
        <v>45403</v>
      </c>
      <c r="B96" s="8">
        <v>250</v>
      </c>
      <c r="C96" s="2" t="s">
        <v>41</v>
      </c>
      <c r="D96" s="7">
        <v>45412</v>
      </c>
      <c r="E96" s="2" t="s">
        <v>23</v>
      </c>
      <c r="F96" s="2" t="s">
        <v>24</v>
      </c>
      <c r="G96" s="2">
        <v>88</v>
      </c>
      <c r="H96" s="496">
        <v>24400</v>
      </c>
      <c r="I96" s="2"/>
      <c r="J96" s="2">
        <v>35360</v>
      </c>
      <c r="K96" s="2">
        <v>37337</v>
      </c>
      <c r="L96" s="2" t="s">
        <v>26</v>
      </c>
      <c r="M96" s="2">
        <v>12.2</v>
      </c>
    </row>
    <row r="97" spans="1:14" ht="30.75">
      <c r="A97" s="7">
        <v>45403</v>
      </c>
      <c r="B97" s="8">
        <v>250</v>
      </c>
      <c r="C97" s="2" t="s">
        <v>44</v>
      </c>
      <c r="D97" s="7">
        <v>45443</v>
      </c>
      <c r="E97" s="2" t="s">
        <v>23</v>
      </c>
      <c r="F97" s="2" t="s">
        <v>24</v>
      </c>
      <c r="G97" s="2">
        <v>89</v>
      </c>
      <c r="H97" s="496">
        <v>24410</v>
      </c>
      <c r="I97" s="2"/>
      <c r="J97" s="2">
        <v>36264</v>
      </c>
      <c r="K97" s="2">
        <v>38276</v>
      </c>
      <c r="L97" s="2" t="s">
        <v>26</v>
      </c>
      <c r="M97" s="2">
        <v>10</v>
      </c>
    </row>
    <row r="98" spans="1:14" ht="30.75">
      <c r="A98" s="7">
        <v>45496</v>
      </c>
      <c r="B98" s="8">
        <v>250</v>
      </c>
      <c r="C98" s="2" t="s">
        <v>57</v>
      </c>
      <c r="D98" s="7">
        <v>45471</v>
      </c>
      <c r="E98" s="2" t="s">
        <v>23</v>
      </c>
      <c r="F98" s="2" t="s">
        <v>24</v>
      </c>
      <c r="G98" s="2">
        <v>90</v>
      </c>
      <c r="H98" s="496">
        <v>25815</v>
      </c>
      <c r="I98" s="2"/>
      <c r="J98" s="2">
        <v>38173</v>
      </c>
      <c r="K98" s="2">
        <v>40302</v>
      </c>
      <c r="L98" s="2" t="s">
        <v>26</v>
      </c>
      <c r="M98" s="2">
        <v>10</v>
      </c>
    </row>
    <row r="99" spans="1:14" ht="30.75">
      <c r="A99" s="7">
        <v>45520</v>
      </c>
      <c r="B99" s="8">
        <v>250</v>
      </c>
      <c r="C99" s="2" t="s">
        <v>47</v>
      </c>
      <c r="D99" s="7">
        <v>45504</v>
      </c>
      <c r="E99" s="2" t="s">
        <v>23</v>
      </c>
      <c r="F99" s="2"/>
      <c r="G99" s="2">
        <v>91</v>
      </c>
      <c r="H99" s="496">
        <v>26644</v>
      </c>
      <c r="I99" s="2"/>
      <c r="J99" s="2">
        <v>38174</v>
      </c>
      <c r="K99" s="2">
        <v>40303</v>
      </c>
      <c r="L99" s="2" t="s">
        <v>26</v>
      </c>
      <c r="M99" s="2">
        <v>8.1999999999999993</v>
      </c>
    </row>
    <row r="100" spans="1:14" ht="30.75">
      <c r="A100" s="7">
        <v>45544</v>
      </c>
      <c r="B100" s="8">
        <v>250</v>
      </c>
      <c r="C100" s="2" t="s">
        <v>50</v>
      </c>
      <c r="D100" s="7">
        <v>45533</v>
      </c>
      <c r="E100" s="2" t="s">
        <v>23</v>
      </c>
      <c r="F100" s="2" t="s">
        <v>24</v>
      </c>
      <c r="G100" s="2">
        <v>92</v>
      </c>
      <c r="H100" s="496">
        <v>27467</v>
      </c>
      <c r="I100" s="2"/>
      <c r="J100" s="2">
        <v>39210</v>
      </c>
      <c r="K100" s="2">
        <v>41352</v>
      </c>
      <c r="L100" s="2" t="s">
        <v>26</v>
      </c>
      <c r="M100" s="2">
        <v>50</v>
      </c>
    </row>
    <row r="101" spans="1:14" ht="30.75">
      <c r="A101" s="7">
        <v>45593</v>
      </c>
      <c r="B101" s="8">
        <v>250</v>
      </c>
      <c r="C101" s="2" t="s">
        <v>22</v>
      </c>
      <c r="D101" s="7">
        <v>45563</v>
      </c>
      <c r="E101" s="2" t="s">
        <v>23</v>
      </c>
      <c r="F101" s="2" t="s">
        <v>24</v>
      </c>
      <c r="G101" s="2">
        <v>93</v>
      </c>
      <c r="H101" s="2">
        <v>28280</v>
      </c>
      <c r="I101" s="2"/>
      <c r="J101" s="2">
        <v>40227</v>
      </c>
      <c r="K101" s="2">
        <v>42408</v>
      </c>
      <c r="L101" s="2" t="s">
        <v>26</v>
      </c>
      <c r="M101" s="2">
        <v>35.5</v>
      </c>
    </row>
    <row r="102" spans="1:14" ht="30.75">
      <c r="A102" s="7">
        <v>45593</v>
      </c>
      <c r="B102" s="8">
        <v>250</v>
      </c>
      <c r="C102" s="2" t="s">
        <v>54</v>
      </c>
      <c r="D102" s="7">
        <v>45596</v>
      </c>
      <c r="E102" s="2" t="s">
        <v>23</v>
      </c>
      <c r="F102" s="2" t="s">
        <v>24</v>
      </c>
      <c r="G102" s="2">
        <v>94</v>
      </c>
      <c r="H102" s="2">
        <v>29097</v>
      </c>
      <c r="I102" s="2"/>
      <c r="J102" s="2">
        <v>41308</v>
      </c>
      <c r="K102" s="2">
        <v>43462</v>
      </c>
      <c r="L102" s="2" t="s">
        <v>26</v>
      </c>
      <c r="M102" s="2">
        <v>20.5</v>
      </c>
    </row>
    <row r="103" spans="1:14" ht="30.75">
      <c r="A103" s="535" t="s">
        <v>203</v>
      </c>
      <c r="B103" s="8">
        <v>321.75</v>
      </c>
      <c r="C103" s="2" t="s">
        <v>27</v>
      </c>
      <c r="D103" s="7">
        <v>45625</v>
      </c>
      <c r="E103" s="2" t="s">
        <v>23</v>
      </c>
      <c r="F103" s="2" t="s">
        <v>24</v>
      </c>
      <c r="G103" s="2">
        <v>95</v>
      </c>
      <c r="H103" s="2">
        <v>29884</v>
      </c>
      <c r="I103" s="2"/>
      <c r="J103" s="2">
        <v>42244</v>
      </c>
      <c r="K103" s="2">
        <v>44288</v>
      </c>
      <c r="L103" s="545" t="s">
        <v>73</v>
      </c>
      <c r="M103" s="2">
        <v>30.5</v>
      </c>
    </row>
    <row r="104" spans="1:14" ht="30.75">
      <c r="A104" s="2" t="s">
        <v>75</v>
      </c>
      <c r="B104" s="8">
        <v>321.75</v>
      </c>
      <c r="C104" s="2" t="s">
        <v>30</v>
      </c>
      <c r="D104" s="7">
        <v>45654</v>
      </c>
      <c r="E104" s="2" t="s">
        <v>23</v>
      </c>
      <c r="F104" s="2" t="s">
        <v>24</v>
      </c>
      <c r="G104" s="2">
        <v>96</v>
      </c>
      <c r="H104" s="2">
        <v>31437</v>
      </c>
      <c r="I104" s="2"/>
      <c r="J104" s="2">
        <v>43217</v>
      </c>
      <c r="K104" s="2">
        <v>45445</v>
      </c>
      <c r="L104" s="545" t="s">
        <v>73</v>
      </c>
      <c r="M104" s="2">
        <v>30.5</v>
      </c>
    </row>
    <row r="105" spans="1:14" ht="30.75">
      <c r="A105" s="2" t="s">
        <v>204</v>
      </c>
      <c r="B105" s="8" t="s">
        <v>205</v>
      </c>
      <c r="C105" s="2" t="s">
        <v>32</v>
      </c>
      <c r="D105" s="7">
        <v>45687</v>
      </c>
      <c r="E105" s="2" t="s">
        <v>23</v>
      </c>
      <c r="F105" s="2" t="s">
        <v>24</v>
      </c>
      <c r="G105" s="2"/>
      <c r="H105" s="2">
        <v>31512</v>
      </c>
      <c r="I105" s="2"/>
      <c r="J105" s="2">
        <v>44421</v>
      </c>
      <c r="K105" s="2"/>
      <c r="L105" s="545" t="s">
        <v>73</v>
      </c>
      <c r="M105" s="2">
        <v>15.4</v>
      </c>
    </row>
    <row r="106" spans="1:14" ht="76.5">
      <c r="A106" s="7">
        <v>45806</v>
      </c>
      <c r="B106" s="8" t="s">
        <v>206</v>
      </c>
      <c r="C106" s="2" t="s">
        <v>34</v>
      </c>
      <c r="D106" s="7">
        <v>45716</v>
      </c>
      <c r="E106" s="2" t="s">
        <v>23</v>
      </c>
      <c r="F106" s="2" t="s">
        <v>24</v>
      </c>
      <c r="G106" s="2"/>
      <c r="H106" s="2">
        <v>32377</v>
      </c>
      <c r="I106" s="2"/>
      <c r="J106" s="2">
        <v>45467</v>
      </c>
      <c r="K106" s="2"/>
      <c r="L106" s="545" t="s">
        <v>207</v>
      </c>
      <c r="M106" s="2">
        <v>17.5</v>
      </c>
      <c r="N106" s="569" t="s">
        <v>208</v>
      </c>
    </row>
    <row r="107" spans="1:14" ht="30.75">
      <c r="A107" s="7">
        <v>45806</v>
      </c>
      <c r="B107" s="8" t="s">
        <v>209</v>
      </c>
      <c r="C107" s="2" t="s">
        <v>38</v>
      </c>
      <c r="D107" s="7">
        <v>45745</v>
      </c>
      <c r="E107" s="2" t="s">
        <v>23</v>
      </c>
      <c r="F107" s="2" t="s">
        <v>24</v>
      </c>
      <c r="G107" s="2"/>
      <c r="H107" s="2">
        <v>33218</v>
      </c>
      <c r="I107" s="2"/>
      <c r="J107" s="2">
        <v>46575</v>
      </c>
      <c r="K107" s="2"/>
      <c r="L107" s="545" t="s">
        <v>73</v>
      </c>
      <c r="M107" s="2">
        <v>16.3</v>
      </c>
    </row>
    <row r="108" spans="1:14" ht="30.75">
      <c r="A108" s="7">
        <v>45806</v>
      </c>
      <c r="B108" s="8" t="s">
        <v>210</v>
      </c>
      <c r="C108" s="2" t="s">
        <v>41</v>
      </c>
      <c r="D108" s="7">
        <v>45776</v>
      </c>
      <c r="E108" s="2" t="s">
        <v>23</v>
      </c>
      <c r="F108" s="2" t="s">
        <v>24</v>
      </c>
      <c r="G108" s="2"/>
      <c r="H108" s="2">
        <v>34192</v>
      </c>
      <c r="I108" s="2"/>
      <c r="J108" s="2">
        <v>47624</v>
      </c>
      <c r="K108" s="2"/>
      <c r="L108" s="545" t="s">
        <v>73</v>
      </c>
      <c r="M108" s="2">
        <v>18.5</v>
      </c>
    </row>
    <row r="109" spans="1:14" ht="30.75">
      <c r="A109" s="7">
        <v>45873</v>
      </c>
      <c r="B109" s="8" t="s">
        <v>211</v>
      </c>
      <c r="C109" s="2" t="s">
        <v>44</v>
      </c>
      <c r="D109" s="7">
        <v>45805</v>
      </c>
      <c r="E109" s="2" t="s">
        <v>23</v>
      </c>
      <c r="F109" s="2" t="s">
        <v>24</v>
      </c>
      <c r="G109" s="2"/>
      <c r="H109" s="2">
        <v>34884</v>
      </c>
      <c r="I109" s="2"/>
      <c r="J109" s="2">
        <v>49988</v>
      </c>
      <c r="K109" s="2"/>
      <c r="L109" s="545" t="s">
        <v>73</v>
      </c>
      <c r="M109" s="2" t="s">
        <v>212</v>
      </c>
    </row>
    <row r="110" spans="1:14" ht="30.75">
      <c r="A110" s="7">
        <v>45873</v>
      </c>
      <c r="B110" s="8" t="s">
        <v>213</v>
      </c>
      <c r="C110" s="2" t="s">
        <v>57</v>
      </c>
      <c r="D110" s="7">
        <v>45836</v>
      </c>
      <c r="E110" s="2" t="s">
        <v>23</v>
      </c>
      <c r="F110" s="2" t="s">
        <v>24</v>
      </c>
      <c r="G110" s="2"/>
      <c r="H110" s="2">
        <v>35702</v>
      </c>
      <c r="I110" s="2"/>
      <c r="J110" s="2">
        <v>50002</v>
      </c>
      <c r="K110" s="2"/>
      <c r="L110" s="545" t="s">
        <v>73</v>
      </c>
      <c r="M110" s="2">
        <v>23</v>
      </c>
    </row>
    <row r="111" spans="1:14" ht="30.75">
      <c r="A111" s="7">
        <v>45873</v>
      </c>
      <c r="B111" s="2">
        <v>273.8</v>
      </c>
      <c r="C111" s="2" t="s">
        <v>47</v>
      </c>
      <c r="D111" s="7">
        <v>45864</v>
      </c>
      <c r="E111" s="2" t="s">
        <v>23</v>
      </c>
      <c r="F111" s="2" t="s">
        <v>24</v>
      </c>
      <c r="G111" s="2"/>
      <c r="H111" s="2">
        <v>36487</v>
      </c>
      <c r="I111" s="2"/>
      <c r="J111" s="2">
        <v>50003</v>
      </c>
      <c r="K111" s="2"/>
      <c r="L111" s="545" t="s">
        <v>72</v>
      </c>
      <c r="M111" s="2">
        <v>26.8</v>
      </c>
    </row>
    <row r="112" spans="1:14" ht="30.75">
      <c r="A112" s="7">
        <v>45925</v>
      </c>
      <c r="B112" s="2">
        <v>337.85</v>
      </c>
      <c r="C112" s="2" t="s">
        <v>50</v>
      </c>
      <c r="D112" s="7">
        <v>45897</v>
      </c>
      <c r="E112" s="2" t="s">
        <v>23</v>
      </c>
      <c r="F112" s="2" t="s">
        <v>24</v>
      </c>
      <c r="G112" s="2"/>
      <c r="H112" s="2">
        <v>37249</v>
      </c>
      <c r="I112" s="2"/>
      <c r="J112" s="2">
        <v>51334</v>
      </c>
      <c r="K112" s="2"/>
      <c r="L112" s="545" t="s">
        <v>192</v>
      </c>
      <c r="M112" s="2">
        <v>35.1</v>
      </c>
    </row>
    <row r="113" spans="1:14" ht="30.75">
      <c r="A113" s="7">
        <v>45946</v>
      </c>
      <c r="B113" s="8">
        <v>250</v>
      </c>
      <c r="C113" s="2" t="s">
        <v>22</v>
      </c>
      <c r="D113" s="7">
        <v>45929</v>
      </c>
      <c r="E113" s="2" t="s">
        <v>23</v>
      </c>
      <c r="F113" s="2" t="s">
        <v>24</v>
      </c>
      <c r="G113" s="2"/>
      <c r="H113" s="2">
        <v>38133</v>
      </c>
      <c r="I113" s="2"/>
      <c r="J113" s="2">
        <v>52119</v>
      </c>
      <c r="K113" s="2"/>
      <c r="L113" s="545" t="s">
        <v>192</v>
      </c>
      <c r="M113" s="2">
        <v>10</v>
      </c>
    </row>
    <row r="114" spans="1:14" ht="30.75">
      <c r="A114" s="7">
        <v>45987</v>
      </c>
      <c r="B114" s="8" t="s">
        <v>214</v>
      </c>
      <c r="C114" s="2" t="s">
        <v>54</v>
      </c>
      <c r="D114" s="7">
        <v>45960</v>
      </c>
      <c r="E114" s="2" t="s">
        <v>23</v>
      </c>
      <c r="F114" s="2" t="s">
        <v>24</v>
      </c>
      <c r="G114" s="2"/>
      <c r="H114" s="2">
        <v>38995</v>
      </c>
      <c r="I114" s="2"/>
      <c r="J114" s="2">
        <v>53320</v>
      </c>
      <c r="K114" s="2"/>
      <c r="L114" s="545" t="s">
        <v>192</v>
      </c>
      <c r="M114" s="2">
        <v>21</v>
      </c>
    </row>
    <row r="115" spans="1:14" ht="30.75">
      <c r="A115" s="7">
        <v>46007</v>
      </c>
      <c r="B115" s="2">
        <v>374.25</v>
      </c>
      <c r="C115" s="2" t="s">
        <v>27</v>
      </c>
      <c r="D115" s="7">
        <v>45988</v>
      </c>
      <c r="E115" s="2" t="s">
        <v>23</v>
      </c>
      <c r="F115" s="2" t="s">
        <v>24</v>
      </c>
      <c r="G115" s="2"/>
      <c r="H115" s="2">
        <v>39834</v>
      </c>
      <c r="I115" s="2"/>
      <c r="J115" s="2">
        <v>54612</v>
      </c>
      <c r="K115" s="2"/>
      <c r="L115" s="545" t="s">
        <v>73</v>
      </c>
      <c r="M115" s="2">
        <v>45.5</v>
      </c>
    </row>
    <row r="116" spans="1:14" ht="30.75">
      <c r="A116" s="7">
        <v>46042</v>
      </c>
      <c r="B116" s="2" t="s">
        <v>215</v>
      </c>
      <c r="C116" s="2" t="s">
        <v>30</v>
      </c>
      <c r="D116" s="7">
        <v>46018</v>
      </c>
      <c r="E116" s="2" t="s">
        <v>23</v>
      </c>
      <c r="F116" s="2" t="s">
        <v>24</v>
      </c>
      <c r="G116" s="2"/>
      <c r="H116" s="2">
        <v>40634</v>
      </c>
      <c r="I116" s="2"/>
      <c r="J116" s="2">
        <v>55637</v>
      </c>
      <c r="K116" s="2"/>
      <c r="L116" s="545" t="s">
        <v>73</v>
      </c>
      <c r="M116" s="2">
        <v>45.3</v>
      </c>
    </row>
    <row r="117" spans="1:14" ht="30.75">
      <c r="A117" s="7">
        <v>46105</v>
      </c>
      <c r="B117" s="2" t="s">
        <v>216</v>
      </c>
      <c r="C117" s="2" t="s">
        <v>32</v>
      </c>
      <c r="D117" s="7">
        <v>46052</v>
      </c>
      <c r="E117" s="2" t="s">
        <v>23</v>
      </c>
      <c r="F117" s="2" t="s">
        <v>24</v>
      </c>
      <c r="G117" s="2"/>
      <c r="H117" s="2">
        <v>41598</v>
      </c>
      <c r="I117" s="2"/>
      <c r="J117" s="2">
        <v>56458</v>
      </c>
      <c r="K117" s="2"/>
      <c r="L117" s="545" t="s">
        <v>73</v>
      </c>
      <c r="M117" s="2">
        <v>45.5</v>
      </c>
    </row>
    <row r="118" spans="1:14" ht="30.75">
      <c r="A118" s="7">
        <v>46105</v>
      </c>
      <c r="B118" s="2" t="s">
        <v>217</v>
      </c>
      <c r="C118" s="2" t="s">
        <v>34</v>
      </c>
      <c r="D118" s="7">
        <v>46081</v>
      </c>
      <c r="E118" s="2" t="s">
        <v>23</v>
      </c>
      <c r="F118" s="2" t="s">
        <v>24</v>
      </c>
      <c r="G118" s="2"/>
      <c r="H118" s="2">
        <v>42439</v>
      </c>
      <c r="I118" s="2"/>
      <c r="J118" s="2">
        <v>58371</v>
      </c>
      <c r="K118" s="2"/>
      <c r="L118" s="545" t="s">
        <v>73</v>
      </c>
      <c r="M118" s="2">
        <v>16.600000000000001</v>
      </c>
    </row>
    <row r="119" spans="1:14" ht="30.75">
      <c r="A119" s="7">
        <v>46141</v>
      </c>
      <c r="B119" s="8">
        <v>250</v>
      </c>
      <c r="C119" s="2" t="s">
        <v>38</v>
      </c>
      <c r="D119" s="7">
        <v>46112</v>
      </c>
      <c r="E119" s="2" t="s">
        <v>23</v>
      </c>
      <c r="F119" s="2" t="s">
        <v>24</v>
      </c>
      <c r="G119" s="2"/>
      <c r="H119" s="2">
        <v>43295</v>
      </c>
      <c r="I119" s="100">
        <v>1755</v>
      </c>
      <c r="J119" s="2">
        <v>59602</v>
      </c>
      <c r="K119" s="2"/>
      <c r="L119" s="545" t="s">
        <v>73</v>
      </c>
      <c r="M119" s="2">
        <v>16.2</v>
      </c>
      <c r="N119" s="290" t="s">
        <v>76</v>
      </c>
    </row>
    <row r="120" spans="1:14" ht="30.75">
      <c r="A120" s="2"/>
      <c r="B120" s="8" t="s">
        <v>218</v>
      </c>
      <c r="C120" s="2" t="s">
        <v>41</v>
      </c>
      <c r="D120" s="7">
        <v>46142</v>
      </c>
      <c r="E120" s="2" t="s">
        <v>23</v>
      </c>
      <c r="F120" s="2" t="s">
        <v>24</v>
      </c>
      <c r="G120" s="2"/>
      <c r="H120" s="2">
        <v>44122</v>
      </c>
      <c r="I120" s="2"/>
      <c r="J120" s="2">
        <v>60969</v>
      </c>
      <c r="K120" s="2"/>
      <c r="L120" s="2"/>
      <c r="M120" s="2">
        <v>23.5</v>
      </c>
    </row>
    <row r="121" spans="1:14" ht="30.75">
      <c r="A121" s="2"/>
      <c r="B121" s="2"/>
      <c r="C121" s="2"/>
      <c r="D121" s="2"/>
      <c r="E121" s="2" t="s">
        <v>23</v>
      </c>
      <c r="F121" s="2"/>
      <c r="G121" s="2"/>
      <c r="H121" s="2"/>
      <c r="I121" s="2"/>
      <c r="J121" s="2"/>
      <c r="K121" s="2"/>
      <c r="L121" s="2"/>
      <c r="M121" s="2"/>
    </row>
    <row r="122" spans="1:14" ht="30.75">
      <c r="A122" s="2"/>
      <c r="B122" s="2"/>
      <c r="C122" s="2"/>
      <c r="D122" s="2"/>
      <c r="E122" s="2" t="s">
        <v>23</v>
      </c>
      <c r="F122" s="2"/>
      <c r="G122" s="2"/>
      <c r="H122" s="2"/>
      <c r="I122" s="2"/>
      <c r="J122" s="2"/>
      <c r="K122" s="2"/>
      <c r="L122" s="2"/>
      <c r="M122" s="2"/>
    </row>
    <row r="123" spans="1:14" ht="30.75">
      <c r="A123" s="2"/>
      <c r="B123" s="2"/>
      <c r="C123" s="2"/>
      <c r="D123" s="2"/>
      <c r="E123" s="2" t="s">
        <v>23</v>
      </c>
      <c r="F123" s="2"/>
      <c r="G123" s="2"/>
      <c r="H123" s="2"/>
      <c r="I123" s="2"/>
      <c r="J123" s="2"/>
      <c r="K123" s="2"/>
      <c r="L123" s="2"/>
      <c r="M123" s="2"/>
    </row>
    <row r="124" spans="1:14" ht="30.75">
      <c r="A124" s="2"/>
      <c r="B124" s="2"/>
      <c r="C124" s="2"/>
      <c r="D124" s="2"/>
      <c r="E124" s="2" t="s">
        <v>23</v>
      </c>
      <c r="F124" s="2"/>
      <c r="G124" s="2"/>
      <c r="H124" s="2"/>
      <c r="I124" s="2"/>
      <c r="J124" s="2"/>
      <c r="K124" s="2"/>
      <c r="L124" s="2"/>
      <c r="M124" s="2"/>
    </row>
    <row r="125" spans="1:14">
      <c r="M125" s="2"/>
    </row>
    <row r="126" spans="1:14">
      <c r="M126" s="2"/>
    </row>
  </sheetData>
  <mergeCells count="7">
    <mergeCell ref="A1:I1"/>
    <mergeCell ref="D5:E5"/>
    <mergeCell ref="H3:L4"/>
    <mergeCell ref="M4:P4"/>
    <mergeCell ref="N6:P6"/>
    <mergeCell ref="D3:F3"/>
    <mergeCell ref="D4:F4"/>
  </mergeCells>
  <dataValidations count="2">
    <dataValidation type="list" allowBlank="1" showInputMessage="1" showErrorMessage="1" sqref="F7:F124" xr:uid="{00000000-0002-0000-0100-000000000000}">
      <formula1>"EFECTIVO, CHEQUE, TRANSFERENCIA,DEPOSITO"</formula1>
    </dataValidation>
    <dataValidation type="list" allowBlank="1" showInputMessage="1" showErrorMessage="1" sqref="C7:C124" xr:uid="{00000000-0002-0000-0100-000001000000}">
      <formula1>"ENERO,FEBRERO,MARZO,ABRIL,MAYO,JUNIO,JULIO,AGOSTO,SEPTIEMBRE,OCTUBRE,NOVIEMBRE,DICIEMBRE"</formula1>
    </dataValidation>
  </dataValidations>
  <hyperlinks>
    <hyperlink ref="B4" r:id="rId1" xr:uid="{00000000-0004-0000-0100-000000000000}"/>
    <hyperlink ref="D4:F4" r:id="rId2" display="Neyva_1087@hotmail.com" xr:uid="{9DD7517F-9BFD-4741-8BDF-4622DB3A2F03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E3DF-48E7-46FE-87A9-5BC4458081DE}">
  <sheetPr>
    <tabColor rgb="FFFF0000"/>
  </sheetPr>
  <dimension ref="A1:L28"/>
  <sheetViews>
    <sheetView topLeftCell="A25" workbookViewId="0">
      <selection activeCell="L37" sqref="L37"/>
    </sheetView>
  </sheetViews>
  <sheetFormatPr defaultColWidth="11.42578125" defaultRowHeight="15"/>
  <cols>
    <col min="2" max="2" width="15.28515625" bestFit="1" customWidth="1"/>
  </cols>
  <sheetData>
    <row r="1" spans="1:12" ht="23.25">
      <c r="A1" s="652" t="s">
        <v>219</v>
      </c>
      <c r="B1" s="652"/>
      <c r="C1" s="652"/>
      <c r="D1" s="652"/>
      <c r="E1" s="652"/>
      <c r="F1" s="652"/>
      <c r="G1" s="652"/>
      <c r="H1" s="652"/>
      <c r="I1" s="652"/>
    </row>
    <row r="2" spans="1:12" ht="60" customHeight="1">
      <c r="A2" s="2" t="s">
        <v>93</v>
      </c>
      <c r="B2" s="638" t="s">
        <v>220</v>
      </c>
      <c r="C2" s="638"/>
      <c r="D2" s="638"/>
      <c r="I2" s="655" t="s">
        <v>221</v>
      </c>
      <c r="J2" s="655"/>
      <c r="K2" s="655"/>
      <c r="L2" s="655"/>
    </row>
    <row r="3" spans="1:12">
      <c r="A3" s="2" t="s">
        <v>1</v>
      </c>
      <c r="B3" s="3">
        <v>10095761190</v>
      </c>
    </row>
    <row r="4" spans="1:12" ht="31.5">
      <c r="A4" s="4" t="s">
        <v>2</v>
      </c>
      <c r="B4" s="5" t="s">
        <v>222</v>
      </c>
      <c r="H4" s="654" t="s">
        <v>223</v>
      </c>
      <c r="I4" s="654"/>
      <c r="J4" s="654"/>
    </row>
    <row r="5" spans="1:12" ht="47.25">
      <c r="A5" s="13" t="s">
        <v>4</v>
      </c>
      <c r="B5" s="14">
        <v>44006</v>
      </c>
      <c r="D5" s="653" t="s">
        <v>224</v>
      </c>
      <c r="E5" s="653"/>
      <c r="F5" s="6"/>
      <c r="G5" s="6"/>
    </row>
    <row r="6" spans="1:12" ht="57">
      <c r="A6" s="15" t="s">
        <v>7</v>
      </c>
      <c r="B6" s="15" t="s">
        <v>8</v>
      </c>
      <c r="C6" s="15" t="s">
        <v>9</v>
      </c>
      <c r="D6" s="15" t="s">
        <v>10</v>
      </c>
      <c r="E6" s="15" t="s">
        <v>11</v>
      </c>
      <c r="F6" s="15" t="s">
        <v>12</v>
      </c>
      <c r="G6" s="15" t="s">
        <v>13</v>
      </c>
      <c r="H6" s="15" t="s">
        <v>14</v>
      </c>
      <c r="I6" s="15" t="s">
        <v>15</v>
      </c>
      <c r="J6" s="15" t="s">
        <v>16</v>
      </c>
      <c r="K6" s="15" t="s">
        <v>18</v>
      </c>
      <c r="L6" s="482" t="s">
        <v>99</v>
      </c>
    </row>
    <row r="7" spans="1:12" ht="30.75">
      <c r="A7" s="7">
        <v>44006</v>
      </c>
      <c r="B7" s="8">
        <v>165</v>
      </c>
      <c r="C7" s="2" t="s">
        <v>57</v>
      </c>
      <c r="D7" s="7">
        <v>44036</v>
      </c>
      <c r="E7" s="2" t="s">
        <v>23</v>
      </c>
      <c r="F7" s="2" t="s">
        <v>28</v>
      </c>
      <c r="G7" s="2">
        <v>1</v>
      </c>
      <c r="H7" s="2">
        <v>470</v>
      </c>
      <c r="I7" s="9"/>
      <c r="J7" s="9" t="s">
        <v>225</v>
      </c>
      <c r="K7" s="2" t="s">
        <v>226</v>
      </c>
      <c r="L7" s="2"/>
    </row>
    <row r="8" spans="1:12" ht="30.75">
      <c r="A8" s="7">
        <v>44074</v>
      </c>
      <c r="B8" s="8">
        <v>165</v>
      </c>
      <c r="C8" s="2" t="s">
        <v>47</v>
      </c>
      <c r="D8" s="7">
        <v>44074</v>
      </c>
      <c r="E8" s="2" t="s">
        <v>23</v>
      </c>
      <c r="F8" s="2" t="s">
        <v>28</v>
      </c>
      <c r="G8" s="2">
        <v>2</v>
      </c>
      <c r="H8" s="2">
        <v>779</v>
      </c>
      <c r="I8" s="9"/>
      <c r="J8" s="9" t="s">
        <v>227</v>
      </c>
      <c r="K8" s="2" t="s">
        <v>226</v>
      </c>
      <c r="L8" s="2"/>
    </row>
    <row r="9" spans="1:12" ht="30.75">
      <c r="A9" s="7">
        <v>44127</v>
      </c>
      <c r="B9" s="8">
        <v>165</v>
      </c>
      <c r="C9" s="2" t="s">
        <v>54</v>
      </c>
      <c r="D9" s="7">
        <v>44127</v>
      </c>
      <c r="E9" s="2" t="s">
        <v>23</v>
      </c>
      <c r="F9" s="2" t="s">
        <v>28</v>
      </c>
      <c r="G9" s="2">
        <v>4</v>
      </c>
      <c r="H9" s="2">
        <v>1028</v>
      </c>
      <c r="I9" s="9"/>
      <c r="J9" s="9" t="s">
        <v>228</v>
      </c>
      <c r="K9" s="2" t="s">
        <v>226</v>
      </c>
      <c r="L9" s="2"/>
    </row>
    <row r="10" spans="1:12" ht="30.75">
      <c r="A10" s="7">
        <v>44188</v>
      </c>
      <c r="B10" s="8">
        <v>165</v>
      </c>
      <c r="C10" s="2" t="s">
        <v>30</v>
      </c>
      <c r="D10" s="7">
        <v>44188</v>
      </c>
      <c r="E10" s="2" t="s">
        <v>23</v>
      </c>
      <c r="F10" s="2" t="s">
        <v>28</v>
      </c>
      <c r="G10" s="2">
        <v>5</v>
      </c>
      <c r="H10" s="2">
        <v>1629</v>
      </c>
      <c r="I10" s="9"/>
      <c r="J10" s="9" t="s">
        <v>229</v>
      </c>
      <c r="K10" s="2" t="s">
        <v>226</v>
      </c>
      <c r="L10" s="2"/>
    </row>
    <row r="11" spans="1:12" ht="30.75">
      <c r="A11" s="7">
        <v>44223</v>
      </c>
      <c r="B11" s="8">
        <v>165</v>
      </c>
      <c r="C11" s="2" t="s">
        <v>32</v>
      </c>
      <c r="D11" s="7">
        <v>44223</v>
      </c>
      <c r="E11" s="2" t="s">
        <v>23</v>
      </c>
      <c r="F11" s="2" t="s">
        <v>28</v>
      </c>
      <c r="G11" s="2">
        <v>6</v>
      </c>
      <c r="H11" s="2">
        <v>1831</v>
      </c>
      <c r="I11" s="9"/>
      <c r="J11" s="9" t="s">
        <v>230</v>
      </c>
      <c r="K11" s="2" t="s">
        <v>226</v>
      </c>
      <c r="L11" s="2"/>
    </row>
    <row r="12" spans="1:12" ht="30.75">
      <c r="A12" s="7">
        <v>44253</v>
      </c>
      <c r="B12" s="8">
        <v>165</v>
      </c>
      <c r="C12" s="2" t="s">
        <v>34</v>
      </c>
      <c r="D12" s="7">
        <v>44253</v>
      </c>
      <c r="E12" s="2" t="s">
        <v>23</v>
      </c>
      <c r="F12" s="2" t="s">
        <v>28</v>
      </c>
      <c r="G12" s="2">
        <v>7</v>
      </c>
      <c r="H12" s="9" t="s">
        <v>231</v>
      </c>
      <c r="I12" s="9"/>
      <c r="J12" s="9" t="s">
        <v>232</v>
      </c>
      <c r="K12" s="2" t="s">
        <v>226</v>
      </c>
      <c r="L12" s="2"/>
    </row>
    <row r="13" spans="1:12" ht="30.75">
      <c r="A13" s="7">
        <v>44295</v>
      </c>
      <c r="B13" s="8">
        <v>165</v>
      </c>
      <c r="C13" s="2" t="s">
        <v>41</v>
      </c>
      <c r="D13" s="7">
        <v>44295</v>
      </c>
      <c r="E13" s="2" t="s">
        <v>23</v>
      </c>
      <c r="F13" s="2" t="s">
        <v>28</v>
      </c>
      <c r="G13" s="2">
        <v>8</v>
      </c>
      <c r="H13" s="9" t="s">
        <v>233</v>
      </c>
      <c r="I13" s="9"/>
      <c r="J13" s="9" t="s">
        <v>234</v>
      </c>
      <c r="K13" s="2" t="s">
        <v>226</v>
      </c>
      <c r="L13" s="2"/>
    </row>
    <row r="14" spans="1:12" ht="30.75">
      <c r="A14" s="7">
        <v>44345</v>
      </c>
      <c r="B14" s="8">
        <v>165</v>
      </c>
      <c r="C14" s="2" t="s">
        <v>44</v>
      </c>
      <c r="D14" s="121">
        <v>44344</v>
      </c>
      <c r="E14" s="2" t="s">
        <v>23</v>
      </c>
      <c r="F14" s="2" t="s">
        <v>24</v>
      </c>
      <c r="G14" s="2">
        <v>9</v>
      </c>
      <c r="H14" s="9" t="s">
        <v>233</v>
      </c>
      <c r="I14" s="9"/>
      <c r="J14" s="9" t="s">
        <v>235</v>
      </c>
      <c r="K14" s="2" t="s">
        <v>26</v>
      </c>
      <c r="L14" s="2"/>
    </row>
    <row r="15" spans="1:12" ht="30.75">
      <c r="A15" s="7">
        <v>44377</v>
      </c>
      <c r="B15" s="8">
        <v>165</v>
      </c>
      <c r="C15" s="2" t="s">
        <v>57</v>
      </c>
      <c r="D15" s="7">
        <v>44375</v>
      </c>
      <c r="E15" s="2" t="s">
        <v>23</v>
      </c>
      <c r="F15" s="2" t="s">
        <v>24</v>
      </c>
      <c r="G15" s="2">
        <v>10</v>
      </c>
      <c r="H15" s="9" t="s">
        <v>236</v>
      </c>
      <c r="I15" s="9"/>
      <c r="J15" s="9" t="s">
        <v>237</v>
      </c>
      <c r="K15" s="2" t="s">
        <v>26</v>
      </c>
      <c r="L15" s="2"/>
    </row>
    <row r="16" spans="1:12" ht="30.75">
      <c r="A16" s="7">
        <v>44473</v>
      </c>
      <c r="B16" s="8">
        <v>165</v>
      </c>
      <c r="C16" s="2" t="s">
        <v>22</v>
      </c>
      <c r="D16" s="7">
        <v>44468</v>
      </c>
      <c r="E16" s="2" t="s">
        <v>23</v>
      </c>
      <c r="F16" s="2" t="s">
        <v>24</v>
      </c>
      <c r="G16" s="2">
        <v>11</v>
      </c>
      <c r="H16" s="9" t="s">
        <v>238</v>
      </c>
      <c r="I16" s="9"/>
      <c r="J16" s="9" t="s">
        <v>239</v>
      </c>
      <c r="K16" s="2" t="s">
        <v>56</v>
      </c>
      <c r="L16" s="2"/>
    </row>
    <row r="17" spans="1:12" ht="30.75">
      <c r="A17" s="7">
        <v>44518</v>
      </c>
      <c r="B17" s="8">
        <v>165</v>
      </c>
      <c r="C17" s="2" t="s">
        <v>27</v>
      </c>
      <c r="D17" s="7">
        <v>44512</v>
      </c>
      <c r="E17" s="2" t="s">
        <v>23</v>
      </c>
      <c r="F17" s="2" t="s">
        <v>24</v>
      </c>
      <c r="G17" s="2">
        <v>12</v>
      </c>
      <c r="H17" s="9" t="s">
        <v>240</v>
      </c>
      <c r="I17" s="9"/>
      <c r="J17" s="9" t="s">
        <v>241</v>
      </c>
      <c r="K17" s="2" t="s">
        <v>26</v>
      </c>
      <c r="L17" s="2"/>
    </row>
    <row r="18" spans="1:12" ht="30.75">
      <c r="A18" s="7">
        <v>44596</v>
      </c>
      <c r="B18" s="2">
        <v>165</v>
      </c>
      <c r="C18" s="2" t="s">
        <v>34</v>
      </c>
      <c r="D18" s="7">
        <v>44597</v>
      </c>
      <c r="E18" s="2" t="s">
        <v>23</v>
      </c>
      <c r="F18" s="2" t="s">
        <v>28</v>
      </c>
      <c r="G18" s="2">
        <v>13</v>
      </c>
      <c r="H18" s="2">
        <v>5379</v>
      </c>
      <c r="I18" s="2"/>
      <c r="J18" s="2">
        <v>10132</v>
      </c>
      <c r="K18" s="2" t="s">
        <v>26</v>
      </c>
      <c r="L18" s="2"/>
    </row>
    <row r="19" spans="1:12" ht="30.75">
      <c r="A19" s="7">
        <v>44685</v>
      </c>
      <c r="B19" s="2">
        <v>165</v>
      </c>
      <c r="C19" s="2" t="s">
        <v>38</v>
      </c>
      <c r="D19" s="7">
        <v>44650</v>
      </c>
      <c r="E19" s="2" t="s">
        <v>23</v>
      </c>
      <c r="F19" s="2" t="s">
        <v>24</v>
      </c>
      <c r="G19" s="2">
        <v>14</v>
      </c>
      <c r="H19" s="2">
        <v>6429</v>
      </c>
      <c r="I19" s="2"/>
      <c r="J19" s="2">
        <v>10923</v>
      </c>
      <c r="K19" s="2" t="s">
        <v>26</v>
      </c>
      <c r="L19" s="2"/>
    </row>
    <row r="20" spans="1:12" ht="30.75">
      <c r="A20" s="7">
        <v>44706</v>
      </c>
      <c r="B20" s="2">
        <v>165</v>
      </c>
      <c r="C20" s="2" t="s">
        <v>41</v>
      </c>
      <c r="D20" s="7">
        <v>44685</v>
      </c>
      <c r="E20" s="2" t="s">
        <v>23</v>
      </c>
      <c r="F20" s="2" t="s">
        <v>24</v>
      </c>
      <c r="G20" s="2">
        <v>15</v>
      </c>
      <c r="H20" s="2">
        <v>7196</v>
      </c>
      <c r="I20" s="2"/>
      <c r="J20" s="2">
        <v>13071</v>
      </c>
      <c r="K20" s="2" t="s">
        <v>26</v>
      </c>
      <c r="L20" s="2"/>
    </row>
    <row r="21" spans="1:12" ht="30.75">
      <c r="A21" s="7">
        <v>44746</v>
      </c>
      <c r="B21" s="2">
        <v>165</v>
      </c>
      <c r="C21" s="2" t="s">
        <v>47</v>
      </c>
      <c r="D21" s="7">
        <v>44743</v>
      </c>
      <c r="E21" s="2" t="s">
        <v>23</v>
      </c>
      <c r="F21" s="2" t="s">
        <v>24</v>
      </c>
      <c r="G21" s="2">
        <v>16</v>
      </c>
      <c r="H21" s="2">
        <v>8628</v>
      </c>
      <c r="I21" s="2"/>
      <c r="J21" s="2">
        <v>14841</v>
      </c>
      <c r="K21" s="2" t="s">
        <v>26</v>
      </c>
      <c r="L21" s="2"/>
    </row>
    <row r="22" spans="1:12" ht="30.75">
      <c r="A22" s="7">
        <v>44820</v>
      </c>
      <c r="B22" s="2">
        <v>165</v>
      </c>
      <c r="C22" s="2" t="s">
        <v>22</v>
      </c>
      <c r="D22" s="7">
        <v>44818</v>
      </c>
      <c r="E22" s="2" t="s">
        <v>23</v>
      </c>
      <c r="F22" s="2" t="s">
        <v>24</v>
      </c>
      <c r="G22" s="2">
        <v>17</v>
      </c>
      <c r="H22" s="2">
        <v>10470</v>
      </c>
      <c r="I22" s="2"/>
      <c r="J22" s="2">
        <v>17247</v>
      </c>
      <c r="K22" s="2" t="s">
        <v>26</v>
      </c>
      <c r="L22" s="2"/>
    </row>
    <row r="23" spans="1:12" ht="30.75">
      <c r="A23" s="7">
        <v>44604</v>
      </c>
      <c r="B23" s="2">
        <v>165</v>
      </c>
      <c r="C23" s="2" t="s">
        <v>27</v>
      </c>
      <c r="D23" s="7">
        <v>44604</v>
      </c>
      <c r="E23" s="2" t="s">
        <v>23</v>
      </c>
      <c r="F23" s="2" t="s">
        <v>24</v>
      </c>
      <c r="G23" s="2">
        <v>18</v>
      </c>
      <c r="H23" s="2">
        <v>12320</v>
      </c>
      <c r="I23" s="2"/>
      <c r="J23" s="2">
        <v>18199</v>
      </c>
      <c r="K23" s="2" t="s">
        <v>26</v>
      </c>
      <c r="L23" s="2"/>
    </row>
    <row r="24" spans="1:12" ht="30.75">
      <c r="A24" s="7">
        <v>45080</v>
      </c>
      <c r="B24" s="2">
        <v>165</v>
      </c>
      <c r="C24" s="2" t="s">
        <v>34</v>
      </c>
      <c r="D24" s="2" t="s">
        <v>66</v>
      </c>
      <c r="E24" s="2" t="s">
        <v>23</v>
      </c>
      <c r="F24" s="2" t="s">
        <v>24</v>
      </c>
      <c r="G24" s="2">
        <v>19</v>
      </c>
      <c r="H24" s="2">
        <v>14480</v>
      </c>
      <c r="I24" s="2"/>
      <c r="J24" s="2"/>
      <c r="K24" s="2" t="s">
        <v>26</v>
      </c>
      <c r="L24" s="2"/>
    </row>
    <row r="25" spans="1:12" ht="30.75">
      <c r="A25" s="2" t="s">
        <v>242</v>
      </c>
      <c r="B25" s="2">
        <v>165</v>
      </c>
      <c r="C25" s="2" t="s">
        <v>41</v>
      </c>
      <c r="D25" s="2" t="s">
        <v>69</v>
      </c>
      <c r="E25" s="2" t="s">
        <v>23</v>
      </c>
      <c r="F25" s="2" t="s">
        <v>24</v>
      </c>
      <c r="G25" s="2">
        <v>20</v>
      </c>
      <c r="H25" s="2">
        <v>15770</v>
      </c>
      <c r="I25" s="2"/>
      <c r="J25" s="2">
        <v>23439</v>
      </c>
      <c r="K25" s="2" t="s">
        <v>26</v>
      </c>
      <c r="L25" s="2" t="s">
        <v>243</v>
      </c>
    </row>
    <row r="26" spans="1:12" ht="30.75">
      <c r="A26" s="7">
        <v>45103</v>
      </c>
      <c r="B26" s="2">
        <v>165</v>
      </c>
      <c r="C26" s="2" t="s">
        <v>57</v>
      </c>
      <c r="D26" s="7">
        <v>45104</v>
      </c>
      <c r="E26" s="2" t="s">
        <v>23</v>
      </c>
      <c r="F26" s="2" t="s">
        <v>28</v>
      </c>
      <c r="G26" s="2">
        <v>21</v>
      </c>
      <c r="H26" s="2">
        <v>17145</v>
      </c>
      <c r="I26" s="2"/>
      <c r="J26" s="2">
        <v>25636</v>
      </c>
      <c r="K26" s="2" t="s">
        <v>26</v>
      </c>
      <c r="L26" s="2">
        <v>15.3</v>
      </c>
    </row>
    <row r="27" spans="1:12" ht="30.75">
      <c r="A27" s="7">
        <v>45169</v>
      </c>
      <c r="B27" s="2">
        <v>165</v>
      </c>
      <c r="C27" s="2" t="s">
        <v>50</v>
      </c>
      <c r="D27" s="7">
        <v>45166</v>
      </c>
      <c r="E27" s="2" t="s">
        <v>23</v>
      </c>
      <c r="F27" s="2" t="s">
        <v>24</v>
      </c>
      <c r="G27" s="2">
        <v>22</v>
      </c>
      <c r="H27" s="2" t="s">
        <v>244</v>
      </c>
      <c r="I27" s="2"/>
      <c r="J27" s="2">
        <v>27946</v>
      </c>
      <c r="K27" s="2" t="s">
        <v>26</v>
      </c>
      <c r="L27" s="2">
        <v>10.1</v>
      </c>
    </row>
    <row r="28" spans="1:12" ht="30.75">
      <c r="A28" s="7">
        <v>45207</v>
      </c>
      <c r="B28" s="2">
        <v>165</v>
      </c>
      <c r="C28" s="2" t="s">
        <v>22</v>
      </c>
      <c r="D28" s="7">
        <v>45198</v>
      </c>
      <c r="E28" s="2" t="s">
        <v>23</v>
      </c>
      <c r="F28" s="2" t="s">
        <v>24</v>
      </c>
      <c r="G28" s="2">
        <v>23</v>
      </c>
      <c r="H28" s="2" t="s">
        <v>245</v>
      </c>
      <c r="I28" s="2"/>
      <c r="J28" s="2">
        <v>28900</v>
      </c>
      <c r="K28" s="2" t="s">
        <v>26</v>
      </c>
      <c r="L28" s="2">
        <v>8</v>
      </c>
    </row>
  </sheetData>
  <mergeCells count="5">
    <mergeCell ref="A1:I1"/>
    <mergeCell ref="D5:E5"/>
    <mergeCell ref="B2:D2"/>
    <mergeCell ref="H4:J4"/>
    <mergeCell ref="I2:L2"/>
  </mergeCells>
  <dataValidations count="2">
    <dataValidation type="list" allowBlank="1" showInputMessage="1" showErrorMessage="1" sqref="F7:F28" xr:uid="{00000000-0002-0000-0200-000000000000}">
      <formula1>"EFECTIVO, CHEQUE, TRANSFERENCIA,DEPOSITO"</formula1>
    </dataValidation>
    <dataValidation type="list" allowBlank="1" showInputMessage="1" showErrorMessage="1" sqref="C7:C28" xr:uid="{00000000-0002-0000-0200-000001000000}">
      <formula1>"ENERO,FEBRERO,MARZO,ABRIL,MAYO,JUNIO,JULIO,AGOSTO,SEPTIEMBRE,OCTUBRE,NOVIEMBRE,DICIEMBRE"</formula1>
    </dataValidation>
  </dataValidations>
  <hyperlinks>
    <hyperlink ref="B4" r:id="rId1" xr:uid="{00000000-0004-0000-0200-000000000000}"/>
  </hyperlinks>
  <pageMargins left="0.7" right="0.7" top="0.75" bottom="0.75" header="0.3" footer="0.3"/>
  <pageSetup orientation="portrait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2F6F-07CB-4560-9C9F-67B274ED2278}">
  <dimension ref="A1:O55"/>
  <sheetViews>
    <sheetView topLeftCell="A39" workbookViewId="0">
      <selection activeCell="H45" sqref="H45"/>
    </sheetView>
  </sheetViews>
  <sheetFormatPr defaultColWidth="11.42578125" defaultRowHeight="15"/>
  <cols>
    <col min="2" max="2" width="15.28515625" bestFit="1" customWidth="1"/>
  </cols>
  <sheetData>
    <row r="1" spans="1:15" ht="23.25" customHeight="1">
      <c r="A1" s="656" t="s">
        <v>246</v>
      </c>
      <c r="B1" s="656"/>
      <c r="C1" s="656"/>
      <c r="D1" s="656"/>
      <c r="E1" s="656"/>
      <c r="F1" s="656"/>
      <c r="G1" s="656"/>
      <c r="H1" s="656"/>
      <c r="I1" s="656"/>
    </row>
    <row r="2" spans="1:15" ht="45" customHeight="1">
      <c r="A2" s="2" t="s">
        <v>247</v>
      </c>
      <c r="B2" s="638" t="s">
        <v>248</v>
      </c>
      <c r="C2" s="638"/>
    </row>
    <row r="3" spans="1:15">
      <c r="A3" s="2" t="s">
        <v>1</v>
      </c>
      <c r="B3" s="3">
        <v>10409465663</v>
      </c>
    </row>
    <row r="4" spans="1:15" ht="57" customHeight="1">
      <c r="A4" s="4" t="s">
        <v>2</v>
      </c>
      <c r="B4" s="5" t="s">
        <v>249</v>
      </c>
      <c r="C4" s="639" t="s">
        <v>250</v>
      </c>
      <c r="D4" s="639"/>
      <c r="E4" s="639"/>
      <c r="H4" s="656" t="s">
        <v>251</v>
      </c>
      <c r="I4" s="656"/>
      <c r="J4" s="656"/>
      <c r="K4" s="626"/>
    </row>
    <row r="5" spans="1:15" ht="47.25">
      <c r="A5" s="351" t="s">
        <v>4</v>
      </c>
      <c r="B5" s="352">
        <v>46133</v>
      </c>
      <c r="D5" s="657" t="s">
        <v>224</v>
      </c>
      <c r="E5" s="657"/>
      <c r="F5" s="6"/>
      <c r="G5" s="6"/>
    </row>
    <row r="6" spans="1:15" ht="57">
      <c r="A6" s="350" t="s">
        <v>7</v>
      </c>
      <c r="B6" s="350" t="s">
        <v>8</v>
      </c>
      <c r="C6" s="350" t="s">
        <v>9</v>
      </c>
      <c r="D6" s="350" t="s">
        <v>10</v>
      </c>
      <c r="E6" s="350" t="s">
        <v>11</v>
      </c>
      <c r="F6" s="350" t="s">
        <v>12</v>
      </c>
      <c r="G6" s="350" t="s">
        <v>13</v>
      </c>
      <c r="H6" s="350" t="s">
        <v>14</v>
      </c>
      <c r="I6" s="350" t="s">
        <v>15</v>
      </c>
      <c r="J6" s="350" t="s">
        <v>16</v>
      </c>
      <c r="K6" s="350" t="s">
        <v>252</v>
      </c>
      <c r="L6" s="350" t="s">
        <v>18</v>
      </c>
      <c r="M6" s="353" t="s">
        <v>99</v>
      </c>
      <c r="N6" s="353" t="s">
        <v>19</v>
      </c>
      <c r="O6" s="353" t="s">
        <v>17</v>
      </c>
    </row>
    <row r="7" spans="1:15" ht="30.75">
      <c r="A7" s="7">
        <v>44006</v>
      </c>
      <c r="B7" s="8">
        <v>165</v>
      </c>
      <c r="C7" s="2" t="s">
        <v>57</v>
      </c>
      <c r="D7" s="7">
        <v>44006</v>
      </c>
      <c r="E7" s="2" t="s">
        <v>23</v>
      </c>
      <c r="F7" s="2" t="s">
        <v>28</v>
      </c>
      <c r="G7" s="2">
        <v>1</v>
      </c>
      <c r="H7" s="2">
        <v>471</v>
      </c>
      <c r="I7" s="9"/>
      <c r="J7" s="9" t="s">
        <v>253</v>
      </c>
      <c r="K7" s="9"/>
      <c r="L7" s="2" t="s">
        <v>26</v>
      </c>
      <c r="M7" s="2"/>
      <c r="N7" s="2"/>
      <c r="O7" s="2"/>
    </row>
    <row r="8" spans="1:15" ht="30.75">
      <c r="A8" s="7">
        <v>44076</v>
      </c>
      <c r="B8" s="8">
        <v>165</v>
      </c>
      <c r="C8" s="2" t="s">
        <v>47</v>
      </c>
      <c r="D8" s="7">
        <v>44036</v>
      </c>
      <c r="E8" s="2" t="s">
        <v>23</v>
      </c>
      <c r="F8" s="2" t="s">
        <v>24</v>
      </c>
      <c r="G8" s="2">
        <v>2</v>
      </c>
      <c r="H8" s="2">
        <v>562</v>
      </c>
      <c r="I8" s="9"/>
      <c r="J8" s="9" t="s">
        <v>254</v>
      </c>
      <c r="K8" s="9"/>
      <c r="L8" s="2" t="s">
        <v>26</v>
      </c>
      <c r="M8" s="2"/>
      <c r="N8" s="2"/>
      <c r="O8" s="2"/>
    </row>
    <row r="9" spans="1:15" ht="30.75">
      <c r="A9" s="7">
        <v>44076</v>
      </c>
      <c r="B9" s="8">
        <v>165</v>
      </c>
      <c r="C9" s="2" t="s">
        <v>47</v>
      </c>
      <c r="D9" s="7">
        <v>44074</v>
      </c>
      <c r="E9" s="2" t="s">
        <v>23</v>
      </c>
      <c r="F9" s="2" t="s">
        <v>24</v>
      </c>
      <c r="G9" s="2">
        <v>3</v>
      </c>
      <c r="H9" s="2">
        <v>728</v>
      </c>
      <c r="I9" s="9"/>
      <c r="J9" s="9" t="s">
        <v>255</v>
      </c>
      <c r="K9" s="9"/>
      <c r="L9" s="2" t="s">
        <v>26</v>
      </c>
      <c r="M9" s="2"/>
      <c r="N9" s="2"/>
      <c r="O9" s="2"/>
    </row>
    <row r="10" spans="1:15" ht="30.75">
      <c r="A10" s="7">
        <v>44127</v>
      </c>
      <c r="B10" s="8">
        <v>165</v>
      </c>
      <c r="C10" s="2" t="s">
        <v>22</v>
      </c>
      <c r="D10" s="7">
        <v>44096</v>
      </c>
      <c r="E10" s="2" t="s">
        <v>23</v>
      </c>
      <c r="F10" s="2" t="s">
        <v>28</v>
      </c>
      <c r="G10" s="2">
        <v>4</v>
      </c>
      <c r="H10" s="2">
        <v>825</v>
      </c>
      <c r="I10" s="9"/>
      <c r="J10" s="9" t="s">
        <v>256</v>
      </c>
      <c r="K10" s="9"/>
      <c r="L10" s="2" t="s">
        <v>26</v>
      </c>
      <c r="M10" s="2"/>
      <c r="N10" s="2"/>
      <c r="O10" s="2"/>
    </row>
    <row r="11" spans="1:15" ht="30.75">
      <c r="A11" s="7">
        <v>44188</v>
      </c>
      <c r="B11" s="8">
        <v>165</v>
      </c>
      <c r="C11" s="2" t="s">
        <v>54</v>
      </c>
      <c r="D11" s="7">
        <v>44127</v>
      </c>
      <c r="E11" s="2" t="s">
        <v>23</v>
      </c>
      <c r="F11" s="2" t="s">
        <v>24</v>
      </c>
      <c r="G11" s="2">
        <v>5</v>
      </c>
      <c r="H11" s="2">
        <v>1029</v>
      </c>
      <c r="I11" s="9"/>
      <c r="J11" s="9" t="s">
        <v>257</v>
      </c>
      <c r="K11" s="9"/>
      <c r="L11" s="2" t="s">
        <v>26</v>
      </c>
      <c r="M11" s="2"/>
      <c r="N11" s="2"/>
      <c r="O11" s="2"/>
    </row>
    <row r="12" spans="1:15" ht="30.75">
      <c r="A12" s="7">
        <v>44188</v>
      </c>
      <c r="B12" s="8">
        <v>165</v>
      </c>
      <c r="C12" s="2" t="s">
        <v>27</v>
      </c>
      <c r="D12" s="7">
        <v>44162</v>
      </c>
      <c r="E12" s="2" t="s">
        <v>23</v>
      </c>
      <c r="F12" s="2" t="s">
        <v>24</v>
      </c>
      <c r="G12" s="2">
        <v>6</v>
      </c>
      <c r="H12" s="2">
        <v>1336</v>
      </c>
      <c r="I12" s="9"/>
      <c r="J12" s="9" t="s">
        <v>258</v>
      </c>
      <c r="K12" s="9"/>
      <c r="L12" s="2" t="s">
        <v>26</v>
      </c>
      <c r="M12" s="2"/>
      <c r="N12" s="2"/>
      <c r="O12" s="2"/>
    </row>
    <row r="13" spans="1:15" ht="30.75">
      <c r="A13" s="7">
        <v>44223</v>
      </c>
      <c r="B13" s="8">
        <v>165</v>
      </c>
      <c r="C13" s="2" t="s">
        <v>30</v>
      </c>
      <c r="D13" s="7">
        <v>44188</v>
      </c>
      <c r="E13" s="2" t="s">
        <v>23</v>
      </c>
      <c r="F13" s="2" t="s">
        <v>24</v>
      </c>
      <c r="G13" s="2">
        <v>7</v>
      </c>
      <c r="H13" s="2">
        <v>1630</v>
      </c>
      <c r="I13" s="9"/>
      <c r="J13" s="9" t="s">
        <v>259</v>
      </c>
      <c r="K13" s="9"/>
      <c r="L13" s="2" t="s">
        <v>26</v>
      </c>
      <c r="M13" s="2"/>
      <c r="N13" s="2"/>
      <c r="O13" s="2"/>
    </row>
    <row r="14" spans="1:15" ht="30.75">
      <c r="A14" s="7">
        <v>44287</v>
      </c>
      <c r="B14" s="8">
        <v>165</v>
      </c>
      <c r="C14" s="2" t="s">
        <v>32</v>
      </c>
      <c r="D14" s="7">
        <v>44223</v>
      </c>
      <c r="E14" s="2" t="s">
        <v>23</v>
      </c>
      <c r="F14" s="2" t="s">
        <v>24</v>
      </c>
      <c r="G14" s="2">
        <v>8</v>
      </c>
      <c r="H14" s="2">
        <v>1832</v>
      </c>
      <c r="I14" s="9"/>
      <c r="J14" s="9" t="s">
        <v>260</v>
      </c>
      <c r="K14" s="9"/>
      <c r="L14" s="2" t="s">
        <v>26</v>
      </c>
      <c r="M14" s="2"/>
      <c r="N14" s="2"/>
      <c r="O14" s="2"/>
    </row>
    <row r="15" spans="1:15" ht="30.75">
      <c r="A15" s="7">
        <v>44287</v>
      </c>
      <c r="B15" s="8">
        <v>165</v>
      </c>
      <c r="C15" s="2" t="s">
        <v>34</v>
      </c>
      <c r="D15" s="7">
        <v>44253</v>
      </c>
      <c r="E15" s="2" t="s">
        <v>23</v>
      </c>
      <c r="F15" s="2" t="s">
        <v>24</v>
      </c>
      <c r="G15" s="2">
        <v>9</v>
      </c>
      <c r="H15" s="9" t="s">
        <v>261</v>
      </c>
      <c r="I15" s="9"/>
      <c r="J15" s="9" t="s">
        <v>262</v>
      </c>
      <c r="K15" s="9"/>
      <c r="L15" s="2" t="s">
        <v>26</v>
      </c>
      <c r="M15" s="2"/>
      <c r="N15" s="2"/>
      <c r="O15" s="2"/>
    </row>
    <row r="16" spans="1:15" ht="30.75">
      <c r="A16" s="7">
        <v>44287</v>
      </c>
      <c r="B16" s="8">
        <v>165</v>
      </c>
      <c r="C16" s="2" t="s">
        <v>38</v>
      </c>
      <c r="D16" s="7">
        <v>44285</v>
      </c>
      <c r="E16" s="2" t="s">
        <v>23</v>
      </c>
      <c r="F16" s="2" t="s">
        <v>24</v>
      </c>
      <c r="G16" s="2">
        <v>10</v>
      </c>
      <c r="H16" s="9" t="s">
        <v>263</v>
      </c>
      <c r="I16" s="9"/>
      <c r="J16" s="9" t="s">
        <v>264</v>
      </c>
      <c r="K16" s="9"/>
      <c r="L16" s="2" t="s">
        <v>26</v>
      </c>
      <c r="M16" s="2"/>
      <c r="N16" s="2"/>
      <c r="O16" s="2"/>
    </row>
    <row r="17" spans="1:15" ht="30.75">
      <c r="A17" s="7">
        <v>44553</v>
      </c>
      <c r="B17" s="8">
        <v>165</v>
      </c>
      <c r="C17" s="2" t="s">
        <v>57</v>
      </c>
      <c r="D17" s="7">
        <v>44375</v>
      </c>
      <c r="E17" s="2" t="s">
        <v>23</v>
      </c>
      <c r="F17" s="2" t="s">
        <v>24</v>
      </c>
      <c r="G17" s="2">
        <v>11</v>
      </c>
      <c r="H17" s="9" t="s">
        <v>265</v>
      </c>
      <c r="I17" s="9"/>
      <c r="J17" s="9" t="s">
        <v>266</v>
      </c>
      <c r="K17" s="9"/>
      <c r="L17" s="2" t="s">
        <v>56</v>
      </c>
      <c r="M17" s="2"/>
      <c r="N17" s="2"/>
      <c r="O17" s="2"/>
    </row>
    <row r="18" spans="1:15" ht="30.75">
      <c r="A18" s="7">
        <v>44553</v>
      </c>
      <c r="B18" s="8">
        <v>165</v>
      </c>
      <c r="C18" s="2" t="s">
        <v>22</v>
      </c>
      <c r="D18" s="7">
        <v>44468</v>
      </c>
      <c r="E18" s="2" t="s">
        <v>23</v>
      </c>
      <c r="F18" s="2" t="s">
        <v>24</v>
      </c>
      <c r="G18" s="2">
        <v>12</v>
      </c>
      <c r="H18" s="9" t="s">
        <v>267</v>
      </c>
      <c r="I18" s="9"/>
      <c r="J18" s="9" t="s">
        <v>268</v>
      </c>
      <c r="K18" s="9"/>
      <c r="L18" s="2" t="s">
        <v>56</v>
      </c>
      <c r="M18" s="2"/>
      <c r="N18" s="2"/>
      <c r="O18" s="2"/>
    </row>
    <row r="19" spans="1:15" ht="30.75">
      <c r="A19" s="7">
        <v>44716</v>
      </c>
      <c r="B19" s="2">
        <v>165</v>
      </c>
      <c r="C19" s="2" t="s">
        <v>32</v>
      </c>
      <c r="D19" s="7">
        <v>44596</v>
      </c>
      <c r="E19" s="2" t="s">
        <v>23</v>
      </c>
      <c r="F19" s="2" t="s">
        <v>24</v>
      </c>
      <c r="G19" s="2">
        <v>13</v>
      </c>
      <c r="H19" s="9" t="s">
        <v>269</v>
      </c>
      <c r="I19" s="2"/>
      <c r="J19" s="2">
        <v>10131</v>
      </c>
      <c r="K19" s="2"/>
      <c r="L19" s="2" t="s">
        <v>56</v>
      </c>
      <c r="M19" s="2" t="s">
        <v>270</v>
      </c>
      <c r="N19" s="2"/>
      <c r="O19" s="2"/>
    </row>
    <row r="20" spans="1:15" ht="30.75">
      <c r="A20" s="7">
        <v>44716</v>
      </c>
      <c r="B20" s="2">
        <v>165</v>
      </c>
      <c r="C20" s="2" t="s">
        <v>38</v>
      </c>
      <c r="D20" s="7">
        <v>44650</v>
      </c>
      <c r="E20" s="2" t="s">
        <v>23</v>
      </c>
      <c r="F20" s="2" t="s">
        <v>24</v>
      </c>
      <c r="G20" s="2">
        <v>14</v>
      </c>
      <c r="H20" s="2">
        <v>6428</v>
      </c>
      <c r="I20" s="2"/>
      <c r="J20" s="2">
        <v>10922</v>
      </c>
      <c r="K20" s="2"/>
      <c r="L20" s="2" t="s">
        <v>56</v>
      </c>
      <c r="M20" s="2" t="s">
        <v>270</v>
      </c>
      <c r="N20" s="2"/>
      <c r="O20" s="2"/>
    </row>
    <row r="21" spans="1:15" ht="30.75">
      <c r="A21" s="7">
        <v>44716</v>
      </c>
      <c r="B21" s="2">
        <v>165</v>
      </c>
      <c r="C21" s="2" t="s">
        <v>41</v>
      </c>
      <c r="D21" s="7">
        <v>44685</v>
      </c>
      <c r="E21" s="2" t="s">
        <v>23</v>
      </c>
      <c r="F21" s="2" t="s">
        <v>24</v>
      </c>
      <c r="G21" s="2">
        <v>15</v>
      </c>
      <c r="H21" s="2">
        <v>7195</v>
      </c>
      <c r="I21" s="2"/>
      <c r="J21" s="2">
        <v>13070</v>
      </c>
      <c r="K21" s="2"/>
      <c r="L21" s="2" t="s">
        <v>56</v>
      </c>
      <c r="M21" s="2" t="s">
        <v>270</v>
      </c>
      <c r="N21" s="2"/>
      <c r="O21" s="2"/>
    </row>
    <row r="22" spans="1:15" ht="30.75">
      <c r="A22" s="7">
        <v>44783</v>
      </c>
      <c r="B22" s="2">
        <v>165</v>
      </c>
      <c r="C22" s="2" t="s">
        <v>57</v>
      </c>
      <c r="D22" s="7">
        <v>44749</v>
      </c>
      <c r="E22" s="2" t="s">
        <v>23</v>
      </c>
      <c r="F22" s="2" t="s">
        <v>24</v>
      </c>
      <c r="G22" s="2">
        <v>16</v>
      </c>
      <c r="H22" s="2">
        <v>8930</v>
      </c>
      <c r="I22" s="2"/>
      <c r="J22" s="2">
        <v>14840</v>
      </c>
      <c r="K22" s="2"/>
      <c r="L22" s="2" t="s">
        <v>26</v>
      </c>
      <c r="M22" s="2" t="s">
        <v>270</v>
      </c>
      <c r="N22" s="2"/>
      <c r="O22" s="2"/>
    </row>
    <row r="23" spans="1:15" ht="30.75">
      <c r="A23" s="2" t="s">
        <v>271</v>
      </c>
      <c r="B23" s="2">
        <v>165</v>
      </c>
      <c r="C23" s="2" t="s">
        <v>22</v>
      </c>
      <c r="D23" s="7">
        <v>44818</v>
      </c>
      <c r="E23" s="2" t="s">
        <v>23</v>
      </c>
      <c r="F23" s="2" t="s">
        <v>24</v>
      </c>
      <c r="G23" s="2">
        <v>17</v>
      </c>
      <c r="H23" s="2">
        <v>11185</v>
      </c>
      <c r="I23" s="2"/>
      <c r="J23" s="2">
        <v>17246</v>
      </c>
      <c r="K23" s="2"/>
      <c r="L23" s="2" t="s">
        <v>26</v>
      </c>
      <c r="M23" s="2" t="s">
        <v>270</v>
      </c>
      <c r="N23" s="2"/>
      <c r="O23" s="2"/>
    </row>
    <row r="24" spans="1:15" ht="30.75">
      <c r="A24" s="2" t="s">
        <v>183</v>
      </c>
      <c r="B24" s="2">
        <v>165</v>
      </c>
      <c r="C24" s="2" t="s">
        <v>27</v>
      </c>
      <c r="D24" s="7">
        <v>44604</v>
      </c>
      <c r="E24" s="2" t="s">
        <v>23</v>
      </c>
      <c r="F24" s="2" t="s">
        <v>24</v>
      </c>
      <c r="G24" s="2">
        <v>18</v>
      </c>
      <c r="H24" s="2">
        <v>12482</v>
      </c>
      <c r="I24" s="2"/>
      <c r="J24" s="2">
        <v>19448</v>
      </c>
      <c r="K24" s="2"/>
      <c r="L24" s="2" t="s">
        <v>26</v>
      </c>
      <c r="M24" s="2" t="s">
        <v>270</v>
      </c>
      <c r="N24" s="2"/>
      <c r="O24" s="2"/>
    </row>
    <row r="25" spans="1:15" ht="30.75">
      <c r="A25" s="2" t="s">
        <v>183</v>
      </c>
      <c r="B25" s="2">
        <v>165</v>
      </c>
      <c r="C25" s="2" t="s">
        <v>32</v>
      </c>
      <c r="D25" s="2" t="s">
        <v>189</v>
      </c>
      <c r="E25" s="2" t="s">
        <v>23</v>
      </c>
      <c r="F25" s="2" t="s">
        <v>24</v>
      </c>
      <c r="G25" s="2">
        <v>19</v>
      </c>
      <c r="H25" s="2">
        <v>14257</v>
      </c>
      <c r="I25" s="2"/>
      <c r="J25" s="2">
        <v>21284</v>
      </c>
      <c r="K25" s="2"/>
      <c r="L25" s="2" t="s">
        <v>26</v>
      </c>
      <c r="M25" s="2" t="s">
        <v>270</v>
      </c>
      <c r="N25" s="2"/>
      <c r="O25" s="2"/>
    </row>
    <row r="26" spans="1:15" ht="30.75">
      <c r="A26" s="7">
        <v>44962</v>
      </c>
      <c r="B26" s="2">
        <v>165</v>
      </c>
      <c r="C26" s="2" t="s">
        <v>38</v>
      </c>
      <c r="D26" s="2" t="s">
        <v>272</v>
      </c>
      <c r="E26" s="2" t="s">
        <v>23</v>
      </c>
      <c r="F26" s="2" t="s">
        <v>24</v>
      </c>
      <c r="G26" s="2">
        <v>20</v>
      </c>
      <c r="H26" s="2">
        <v>15701</v>
      </c>
      <c r="I26" s="2"/>
      <c r="J26" s="2">
        <v>23281</v>
      </c>
      <c r="K26" s="2"/>
      <c r="L26" s="2" t="s">
        <v>26</v>
      </c>
      <c r="M26" s="2" t="s">
        <v>270</v>
      </c>
      <c r="N26" s="2"/>
      <c r="O26" s="2"/>
    </row>
    <row r="27" spans="1:15" ht="30.75">
      <c r="A27" s="7">
        <v>45099</v>
      </c>
      <c r="B27" s="2">
        <v>165</v>
      </c>
      <c r="C27" s="2" t="s">
        <v>44</v>
      </c>
      <c r="D27" s="2" t="s">
        <v>70</v>
      </c>
      <c r="E27" s="2" t="s">
        <v>23</v>
      </c>
      <c r="F27" s="2" t="s">
        <v>24</v>
      </c>
      <c r="G27" s="2">
        <v>21</v>
      </c>
      <c r="H27" s="2">
        <v>16580</v>
      </c>
      <c r="I27" s="2"/>
      <c r="J27" s="2">
        <v>23431</v>
      </c>
      <c r="K27" s="2"/>
      <c r="L27" s="2" t="s">
        <v>273</v>
      </c>
      <c r="M27" s="2"/>
      <c r="N27" s="2">
        <v>8</v>
      </c>
      <c r="O27" s="2"/>
    </row>
    <row r="28" spans="1:15" ht="30.75">
      <c r="A28" s="7">
        <v>45230</v>
      </c>
      <c r="B28" s="2">
        <v>165</v>
      </c>
      <c r="C28" s="2" t="s">
        <v>50</v>
      </c>
      <c r="D28" s="7">
        <v>45166</v>
      </c>
      <c r="E28" s="2" t="s">
        <v>23</v>
      </c>
      <c r="F28" s="2" t="s">
        <v>24</v>
      </c>
      <c r="G28" s="2">
        <v>22</v>
      </c>
      <c r="H28" s="2">
        <v>18692</v>
      </c>
      <c r="I28" s="2"/>
      <c r="J28" s="2">
        <v>27951</v>
      </c>
      <c r="K28" s="2"/>
      <c r="L28" s="2" t="s">
        <v>26</v>
      </c>
      <c r="M28" s="2"/>
      <c r="N28" s="2">
        <v>8.1999999999999993</v>
      </c>
      <c r="O28" s="2"/>
    </row>
    <row r="29" spans="1:15" ht="30.75">
      <c r="A29" s="7">
        <v>45230</v>
      </c>
      <c r="B29" s="2">
        <v>165</v>
      </c>
      <c r="C29" s="2" t="s">
        <v>54</v>
      </c>
      <c r="D29" s="7">
        <v>45230</v>
      </c>
      <c r="E29" s="2" t="s">
        <v>23</v>
      </c>
      <c r="F29" s="2" t="s">
        <v>24</v>
      </c>
      <c r="G29" s="2">
        <v>23</v>
      </c>
      <c r="H29" s="2">
        <v>20150</v>
      </c>
      <c r="I29" s="2"/>
      <c r="J29" s="2">
        <v>29753</v>
      </c>
      <c r="K29" s="2">
        <v>31866</v>
      </c>
      <c r="L29" s="2" t="s">
        <v>26</v>
      </c>
      <c r="M29" s="2"/>
      <c r="N29" s="2">
        <v>7</v>
      </c>
      <c r="O29" s="2"/>
    </row>
    <row r="30" spans="1:15" ht="30.75">
      <c r="A30" s="7">
        <v>44943</v>
      </c>
      <c r="B30" s="2">
        <v>165</v>
      </c>
      <c r="C30" s="2" t="s">
        <v>30</v>
      </c>
      <c r="D30" s="7">
        <v>45289</v>
      </c>
      <c r="E30" s="2" t="s">
        <v>23</v>
      </c>
      <c r="F30" s="2" t="s">
        <v>24</v>
      </c>
      <c r="G30" s="2">
        <v>24</v>
      </c>
      <c r="H30" s="2">
        <v>21485</v>
      </c>
      <c r="I30" s="2"/>
      <c r="J30" s="2">
        <v>31517</v>
      </c>
      <c r="K30" s="2">
        <v>33670</v>
      </c>
      <c r="L30" s="2" t="s">
        <v>26</v>
      </c>
      <c r="M30" s="2"/>
      <c r="N30" s="2">
        <v>4</v>
      </c>
      <c r="O30" s="2"/>
    </row>
    <row r="31" spans="1:15" ht="30.75">
      <c r="A31" s="7">
        <v>45351</v>
      </c>
      <c r="B31" s="2">
        <v>165</v>
      </c>
      <c r="C31" s="2" t="s">
        <v>34</v>
      </c>
      <c r="D31" s="7">
        <v>45351</v>
      </c>
      <c r="E31" s="2" t="s">
        <v>23</v>
      </c>
      <c r="F31" s="2" t="s">
        <v>24</v>
      </c>
      <c r="G31" s="2">
        <v>25</v>
      </c>
      <c r="H31" s="2">
        <v>22860</v>
      </c>
      <c r="I31" s="2"/>
      <c r="J31" s="2">
        <v>33376</v>
      </c>
      <c r="K31" s="2">
        <v>35454</v>
      </c>
      <c r="L31" s="2" t="s">
        <v>72</v>
      </c>
      <c r="M31" s="2"/>
      <c r="N31" s="2">
        <v>8</v>
      </c>
      <c r="O31" s="2"/>
    </row>
    <row r="32" spans="1:15" ht="30.75">
      <c r="A32" s="7">
        <v>45412</v>
      </c>
      <c r="B32" s="2">
        <v>165</v>
      </c>
      <c r="C32" s="2" t="s">
        <v>41</v>
      </c>
      <c r="D32" s="7">
        <v>45412</v>
      </c>
      <c r="E32" s="2" t="s">
        <v>23</v>
      </c>
      <c r="F32" s="2" t="s">
        <v>24</v>
      </c>
      <c r="G32" s="2">
        <v>26</v>
      </c>
      <c r="H32" s="2">
        <v>24132</v>
      </c>
      <c r="I32" s="2"/>
      <c r="J32" s="2">
        <v>35368</v>
      </c>
      <c r="K32" s="2">
        <v>37345</v>
      </c>
      <c r="L32" s="2" t="s">
        <v>72</v>
      </c>
      <c r="M32" s="2"/>
      <c r="N32" s="2">
        <v>7</v>
      </c>
      <c r="O32" s="2"/>
    </row>
    <row r="33" spans="1:15" ht="30.75">
      <c r="A33" s="7">
        <v>45471</v>
      </c>
      <c r="B33" s="2">
        <v>165</v>
      </c>
      <c r="C33" s="2" t="s">
        <v>57</v>
      </c>
      <c r="D33" s="7">
        <v>45471</v>
      </c>
      <c r="E33" s="2" t="s">
        <v>23</v>
      </c>
      <c r="F33" s="2" t="s">
        <v>24</v>
      </c>
      <c r="G33" s="2">
        <v>27</v>
      </c>
      <c r="H33" s="2">
        <v>25756</v>
      </c>
      <c r="I33" s="2"/>
      <c r="J33" s="2">
        <v>37184</v>
      </c>
      <c r="K33" s="2">
        <v>38977</v>
      </c>
      <c r="L33" s="2" t="s">
        <v>72</v>
      </c>
      <c r="M33" s="2"/>
      <c r="N33" s="2">
        <v>8.4</v>
      </c>
      <c r="O33" s="2"/>
    </row>
    <row r="34" spans="1:15" ht="30.75">
      <c r="A34" s="7">
        <v>45533</v>
      </c>
      <c r="B34" s="2">
        <v>165</v>
      </c>
      <c r="C34" s="2" t="s">
        <v>50</v>
      </c>
      <c r="D34" s="7">
        <v>45533</v>
      </c>
      <c r="E34" s="2" t="s">
        <v>23</v>
      </c>
      <c r="F34" s="2" t="s">
        <v>24</v>
      </c>
      <c r="G34" s="2">
        <v>28</v>
      </c>
      <c r="H34" s="2">
        <v>27470</v>
      </c>
      <c r="I34" s="2"/>
      <c r="J34" s="2">
        <v>39222</v>
      </c>
      <c r="K34" s="2">
        <v>41359</v>
      </c>
      <c r="L34" s="2" t="s">
        <v>72</v>
      </c>
      <c r="M34" s="2"/>
      <c r="N34" s="2">
        <v>6.8</v>
      </c>
      <c r="O34" s="2"/>
    </row>
    <row r="35" spans="1:15" ht="30.75">
      <c r="A35" s="7">
        <v>45596</v>
      </c>
      <c r="B35" s="2">
        <v>165</v>
      </c>
      <c r="C35" s="2" t="s">
        <v>54</v>
      </c>
      <c r="D35" s="7">
        <v>45596</v>
      </c>
      <c r="E35" s="2" t="s">
        <v>23</v>
      </c>
      <c r="F35" s="2" t="s">
        <v>24</v>
      </c>
      <c r="G35" s="2">
        <v>29</v>
      </c>
      <c r="H35" s="2">
        <v>29089</v>
      </c>
      <c r="I35" s="2"/>
      <c r="J35" s="2">
        <v>41315</v>
      </c>
      <c r="K35" s="2">
        <v>43456</v>
      </c>
      <c r="L35" s="2" t="s">
        <v>273</v>
      </c>
      <c r="M35" s="2"/>
      <c r="N35" s="2">
        <v>6.5</v>
      </c>
      <c r="O35" s="2"/>
    </row>
    <row r="36" spans="1:15" ht="30.75">
      <c r="A36" s="7">
        <v>45624</v>
      </c>
      <c r="B36" s="2">
        <v>165</v>
      </c>
      <c r="C36" s="2" t="s">
        <v>27</v>
      </c>
      <c r="D36" s="7">
        <v>45624</v>
      </c>
      <c r="E36" s="2" t="s">
        <v>23</v>
      </c>
      <c r="F36" s="2" t="s">
        <v>24</v>
      </c>
      <c r="G36" s="2">
        <v>30</v>
      </c>
      <c r="H36" s="2">
        <v>29893</v>
      </c>
      <c r="I36" s="2"/>
      <c r="J36" s="2"/>
      <c r="K36" s="2"/>
      <c r="L36" s="2" t="s">
        <v>26</v>
      </c>
      <c r="M36" s="2"/>
      <c r="N36" s="2"/>
      <c r="O36" s="2"/>
    </row>
    <row r="37" spans="1:15" ht="30.75">
      <c r="A37" s="2" t="s">
        <v>274</v>
      </c>
      <c r="B37" s="2">
        <v>165</v>
      </c>
      <c r="C37" s="2" t="s">
        <v>32</v>
      </c>
      <c r="D37" s="7">
        <v>45687</v>
      </c>
      <c r="E37" s="2" t="s">
        <v>23</v>
      </c>
      <c r="F37" s="2" t="s">
        <v>24</v>
      </c>
      <c r="G37" s="2">
        <v>31</v>
      </c>
      <c r="H37" s="2">
        <v>31508</v>
      </c>
      <c r="I37" s="2"/>
      <c r="J37" s="2">
        <v>44416</v>
      </c>
      <c r="K37" s="2"/>
      <c r="L37" s="2" t="s">
        <v>72</v>
      </c>
      <c r="M37" s="2"/>
      <c r="N37" s="2">
        <v>6.5</v>
      </c>
      <c r="O37" s="2"/>
    </row>
    <row r="38" spans="1:15" ht="30.75">
      <c r="A38" s="7">
        <v>45744</v>
      </c>
      <c r="B38" s="2">
        <v>165</v>
      </c>
      <c r="C38" s="2" t="s">
        <v>38</v>
      </c>
      <c r="D38" s="7">
        <v>45745</v>
      </c>
      <c r="E38" s="2" t="s">
        <v>23</v>
      </c>
      <c r="F38" s="2" t="s">
        <v>24</v>
      </c>
      <c r="G38" s="2">
        <v>32</v>
      </c>
      <c r="H38" s="2">
        <v>33159</v>
      </c>
      <c r="I38" s="2"/>
      <c r="J38" s="2">
        <v>46584</v>
      </c>
      <c r="K38" s="2"/>
      <c r="L38" s="2" t="s">
        <v>72</v>
      </c>
      <c r="M38" s="2"/>
      <c r="N38" s="2">
        <v>9.5</v>
      </c>
      <c r="O38" s="2"/>
    </row>
    <row r="39" spans="1:15" ht="30.75">
      <c r="A39" s="7">
        <v>45805</v>
      </c>
      <c r="B39" s="2">
        <v>165</v>
      </c>
      <c r="C39" s="2" t="s">
        <v>44</v>
      </c>
      <c r="D39" s="7">
        <v>45805</v>
      </c>
      <c r="E39" s="2" t="s">
        <v>23</v>
      </c>
      <c r="F39" s="2" t="s">
        <v>24</v>
      </c>
      <c r="G39" s="2">
        <v>33</v>
      </c>
      <c r="H39" s="2">
        <v>34851</v>
      </c>
      <c r="I39" s="2"/>
      <c r="J39" s="2">
        <v>49977</v>
      </c>
      <c r="K39" s="2"/>
      <c r="L39" s="2" t="s">
        <v>72</v>
      </c>
      <c r="M39" s="2"/>
      <c r="N39" s="2">
        <v>5.2</v>
      </c>
      <c r="O39" s="2"/>
    </row>
    <row r="40" spans="1:15" ht="30.75">
      <c r="A40" s="7">
        <v>45870</v>
      </c>
      <c r="B40" s="2">
        <v>165</v>
      </c>
      <c r="C40" s="2" t="s">
        <v>47</v>
      </c>
      <c r="D40" s="7">
        <v>45869</v>
      </c>
      <c r="E40" s="2" t="s">
        <v>23</v>
      </c>
      <c r="F40" s="2" t="s">
        <v>24</v>
      </c>
      <c r="G40" s="2">
        <v>34</v>
      </c>
      <c r="H40" s="2">
        <v>36482</v>
      </c>
      <c r="I40" s="2"/>
      <c r="J40" s="2">
        <v>49978</v>
      </c>
      <c r="K40" s="2"/>
      <c r="L40" s="2" t="s">
        <v>72</v>
      </c>
      <c r="M40" s="2"/>
      <c r="N40" s="2">
        <v>4</v>
      </c>
      <c r="O40" s="2"/>
    </row>
    <row r="41" spans="1:15" ht="30.75">
      <c r="A41" s="7">
        <v>45929</v>
      </c>
      <c r="B41" s="2">
        <v>165</v>
      </c>
      <c r="C41" s="2" t="s">
        <v>22</v>
      </c>
      <c r="D41" s="7">
        <v>45929</v>
      </c>
      <c r="E41" s="2" t="s">
        <v>23</v>
      </c>
      <c r="F41" s="2" t="s">
        <v>24</v>
      </c>
      <c r="G41" s="2">
        <v>35</v>
      </c>
      <c r="H41" s="2">
        <v>38096</v>
      </c>
      <c r="I41" s="2"/>
      <c r="J41" s="2">
        <v>52114</v>
      </c>
      <c r="K41" s="2"/>
      <c r="L41" s="2" t="s">
        <v>72</v>
      </c>
      <c r="M41" s="2"/>
      <c r="N41" s="2">
        <v>7.5</v>
      </c>
      <c r="O41" s="2"/>
    </row>
    <row r="42" spans="1:15" ht="30.75">
      <c r="A42" s="7">
        <v>45988</v>
      </c>
      <c r="B42" s="2">
        <v>165</v>
      </c>
      <c r="C42" s="2" t="s">
        <v>27</v>
      </c>
      <c r="D42" s="7">
        <v>45988</v>
      </c>
      <c r="E42" s="2" t="s">
        <v>23</v>
      </c>
      <c r="F42" s="2" t="s">
        <v>24</v>
      </c>
      <c r="G42" s="2">
        <v>36</v>
      </c>
      <c r="H42" s="2">
        <v>39711</v>
      </c>
      <c r="I42" s="2"/>
      <c r="J42" s="2">
        <v>54607</v>
      </c>
      <c r="K42" s="2"/>
      <c r="L42" s="2" t="s">
        <v>72</v>
      </c>
      <c r="M42" s="2"/>
      <c r="N42" s="2">
        <v>5.8</v>
      </c>
      <c r="O42" s="2"/>
    </row>
    <row r="43" spans="1:15" ht="30.75">
      <c r="A43" s="7">
        <v>46056</v>
      </c>
      <c r="B43" s="2">
        <v>165</v>
      </c>
      <c r="C43" s="2" t="s">
        <v>32</v>
      </c>
      <c r="D43" s="7">
        <v>46052</v>
      </c>
      <c r="E43" s="2" t="s">
        <v>23</v>
      </c>
      <c r="F43" s="2" t="s">
        <v>24</v>
      </c>
      <c r="G43" s="2">
        <v>37</v>
      </c>
      <c r="H43" s="2">
        <v>41552</v>
      </c>
      <c r="I43" s="2"/>
      <c r="J43" s="2">
        <v>56452</v>
      </c>
      <c r="K43" s="2"/>
      <c r="L43" s="2" t="s">
        <v>72</v>
      </c>
      <c r="M43" s="2"/>
      <c r="N43" s="2" t="s">
        <v>275</v>
      </c>
      <c r="O43" s="2"/>
    </row>
    <row r="44" spans="1:15" ht="30.75">
      <c r="A44" s="7">
        <v>46111</v>
      </c>
      <c r="B44" s="2">
        <v>165</v>
      </c>
      <c r="C44" s="2" t="s">
        <v>38</v>
      </c>
      <c r="D44" s="7">
        <v>46111</v>
      </c>
      <c r="E44" s="2" t="s">
        <v>23</v>
      </c>
      <c r="F44" s="2" t="s">
        <v>24</v>
      </c>
      <c r="G44" s="2">
        <v>38</v>
      </c>
      <c r="H44" s="2">
        <v>43253</v>
      </c>
      <c r="I44" s="2"/>
      <c r="J44" s="2">
        <v>59560</v>
      </c>
      <c r="K44" s="2"/>
      <c r="L44" s="2" t="s">
        <v>72</v>
      </c>
      <c r="M44" s="2"/>
      <c r="N44" s="2">
        <v>6.1</v>
      </c>
      <c r="O44" s="2"/>
    </row>
    <row r="45" spans="1:15" ht="30.75">
      <c r="A45" s="7">
        <v>46170</v>
      </c>
      <c r="B45" s="2">
        <v>165</v>
      </c>
      <c r="C45" s="2" t="s">
        <v>44</v>
      </c>
      <c r="D45" s="2"/>
      <c r="E45" s="2" t="s">
        <v>23</v>
      </c>
      <c r="F45" s="2" t="s">
        <v>24</v>
      </c>
      <c r="G45" s="2">
        <v>39</v>
      </c>
      <c r="H45" s="2">
        <v>44823</v>
      </c>
      <c r="I45" s="100">
        <v>1805</v>
      </c>
      <c r="J45" s="2"/>
      <c r="K45" s="2"/>
      <c r="L45" s="2" t="s">
        <v>72</v>
      </c>
      <c r="M45" s="2"/>
      <c r="N45" s="2"/>
      <c r="O45" s="100" t="s">
        <v>76</v>
      </c>
    </row>
    <row r="46" spans="1:15" ht="30.75">
      <c r="A46" s="2"/>
      <c r="B46" s="2"/>
      <c r="C46" s="2"/>
      <c r="D46" s="2"/>
      <c r="E46" s="2" t="s">
        <v>23</v>
      </c>
      <c r="F46" s="2"/>
      <c r="G46" s="2">
        <v>40</v>
      </c>
      <c r="H46" s="2"/>
      <c r="I46" s="2"/>
      <c r="J46" s="2"/>
      <c r="K46" s="2"/>
      <c r="L46" s="2"/>
      <c r="M46" s="2"/>
      <c r="N46" s="2"/>
      <c r="O46" s="2"/>
    </row>
    <row r="47" spans="1:15" ht="30.75">
      <c r="A47" s="2"/>
      <c r="B47" s="2"/>
      <c r="C47" s="2"/>
      <c r="D47" s="2"/>
      <c r="E47" s="2" t="s">
        <v>23</v>
      </c>
      <c r="F47" s="2"/>
      <c r="G47" s="2">
        <v>41</v>
      </c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>
        <v>42</v>
      </c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>
        <v>43</v>
      </c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>
        <v>44</v>
      </c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>
        <v>45</v>
      </c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>
        <v>46</v>
      </c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>
        <v>47</v>
      </c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>
        <v>48</v>
      </c>
      <c r="H54" s="2"/>
      <c r="I54" s="2"/>
      <c r="J54" s="2"/>
      <c r="K54" s="2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>
        <v>49</v>
      </c>
      <c r="H55" s="2"/>
      <c r="I55" s="2"/>
      <c r="J55" s="2"/>
      <c r="K55" s="2"/>
      <c r="L55" s="2"/>
      <c r="M55" s="2"/>
      <c r="N55" s="2"/>
      <c r="O55" s="2"/>
    </row>
  </sheetData>
  <mergeCells count="5">
    <mergeCell ref="A1:I1"/>
    <mergeCell ref="D5:E5"/>
    <mergeCell ref="B2:C2"/>
    <mergeCell ref="H4:J4"/>
    <mergeCell ref="C4:E4"/>
  </mergeCells>
  <dataValidations count="2">
    <dataValidation type="list" allowBlank="1" showInputMessage="1" showErrorMessage="1" sqref="F7:F55" xr:uid="{00000000-0002-0000-0300-000000000000}">
      <formula1>"EFECTIVO, CHEQUE, TRANSFERENCIA,DEPOSITO"</formula1>
    </dataValidation>
    <dataValidation type="list" allowBlank="1" showInputMessage="1" showErrorMessage="1" sqref="C7:C55" xr:uid="{00000000-0002-0000-0300-000001000000}">
      <formula1>"ENERO,FEBRERO,MARZO,ABRIL,MAYO,JUNIO,JULIO,AGOSTO,SEPTIEMBRE,OCTUBRE,NOVIEMBRE,DICIEMBRE"</formula1>
    </dataValidation>
  </dataValidations>
  <hyperlinks>
    <hyperlink ref="B4" r:id="rId1" xr:uid="{00000000-0004-0000-0300-000000000000}"/>
    <hyperlink ref="C4" r:id="rId2" xr:uid="{00000000-0004-0000-0300-000001000000}"/>
  </hyperlinks>
  <pageMargins left="0.7" right="0.7" top="0.75" bottom="0.75" header="0.3" footer="0.3"/>
  <pageSetup orientation="portrait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8EDF8-A07C-4AC4-955B-48714CBC6186}">
  <dimension ref="A1:R105"/>
  <sheetViews>
    <sheetView topLeftCell="A73" workbookViewId="0">
      <selection activeCell="M75" sqref="M75"/>
    </sheetView>
  </sheetViews>
  <sheetFormatPr defaultColWidth="11.42578125" defaultRowHeight="15"/>
  <cols>
    <col min="2" max="2" width="25.7109375" customWidth="1"/>
    <col min="3" max="3" width="13.140625" customWidth="1"/>
    <col min="12" max="12" width="15" customWidth="1"/>
    <col min="13" max="13" width="13.7109375" customWidth="1"/>
  </cols>
  <sheetData>
    <row r="1" spans="1:18" ht="23.25">
      <c r="A1" s="658" t="s">
        <v>276</v>
      </c>
      <c r="B1" s="658"/>
      <c r="C1" s="658"/>
      <c r="D1" s="658"/>
      <c r="E1" s="658"/>
      <c r="F1" s="658"/>
      <c r="G1" s="658"/>
      <c r="H1" s="658"/>
      <c r="I1" s="658"/>
    </row>
    <row r="2" spans="1:18" ht="45" customHeight="1">
      <c r="A2" s="2" t="s">
        <v>247</v>
      </c>
      <c r="B2" s="659" t="s">
        <v>277</v>
      </c>
      <c r="C2" s="659"/>
      <c r="E2" s="663" t="s">
        <v>278</v>
      </c>
      <c r="F2" s="638"/>
      <c r="G2" s="638"/>
      <c r="H2" s="638"/>
      <c r="J2" s="639" t="s">
        <v>279</v>
      </c>
      <c r="K2" s="639"/>
      <c r="L2" s="639"/>
      <c r="M2" s="639"/>
      <c r="N2" s="639"/>
    </row>
    <row r="3" spans="1:18">
      <c r="A3" s="2" t="s">
        <v>1</v>
      </c>
      <c r="B3" s="599">
        <v>20508181796</v>
      </c>
    </row>
    <row r="4" spans="1:18" ht="69" customHeight="1">
      <c r="A4" s="4" t="s">
        <v>2</v>
      </c>
      <c r="B4" s="662" t="s">
        <v>280</v>
      </c>
      <c r="C4" s="662"/>
      <c r="D4" s="662"/>
      <c r="E4" s="662"/>
      <c r="H4" s="660" t="s">
        <v>281</v>
      </c>
      <c r="I4" s="660"/>
      <c r="J4" s="660"/>
      <c r="K4" s="629"/>
      <c r="M4" s="555" t="s">
        <v>282</v>
      </c>
      <c r="N4" s="638"/>
      <c r="O4" s="638"/>
      <c r="P4" s="638"/>
      <c r="Q4" s="638"/>
      <c r="R4" s="638"/>
    </row>
    <row r="5" spans="1:18" ht="47.25">
      <c r="A5" s="20" t="s">
        <v>4</v>
      </c>
      <c r="B5" s="21">
        <v>45127</v>
      </c>
      <c r="D5" s="661" t="s">
        <v>5</v>
      </c>
      <c r="E5" s="661"/>
      <c r="F5" s="6"/>
      <c r="G5" s="6"/>
    </row>
    <row r="6" spans="1:18" ht="57">
      <c r="A6" s="24" t="s">
        <v>7</v>
      </c>
      <c r="B6" s="24" t="s">
        <v>8</v>
      </c>
      <c r="C6" s="24" t="s">
        <v>9</v>
      </c>
      <c r="D6" s="24" t="s">
        <v>10</v>
      </c>
      <c r="E6" s="24" t="s">
        <v>11</v>
      </c>
      <c r="F6" s="24" t="s">
        <v>12</v>
      </c>
      <c r="G6" s="24" t="s">
        <v>13</v>
      </c>
      <c r="H6" s="24" t="s">
        <v>14</v>
      </c>
      <c r="I6" s="24" t="s">
        <v>15</v>
      </c>
      <c r="J6" s="24" t="s">
        <v>16</v>
      </c>
      <c r="K6" s="24" t="s">
        <v>17</v>
      </c>
      <c r="L6" s="24" t="s">
        <v>18</v>
      </c>
      <c r="M6" s="24" t="s">
        <v>283</v>
      </c>
      <c r="N6" s="331" t="s">
        <v>99</v>
      </c>
      <c r="O6" s="331" t="s">
        <v>19</v>
      </c>
    </row>
    <row r="7" spans="1:18" ht="30.75">
      <c r="A7" s="7">
        <v>44072</v>
      </c>
      <c r="B7" s="8">
        <v>180</v>
      </c>
      <c r="C7" s="2" t="s">
        <v>50</v>
      </c>
      <c r="D7" s="7">
        <v>44072</v>
      </c>
      <c r="E7" s="2" t="s">
        <v>23</v>
      </c>
      <c r="F7" s="2" t="s">
        <v>28</v>
      </c>
      <c r="G7" s="2">
        <v>1</v>
      </c>
      <c r="H7" s="2">
        <v>760</v>
      </c>
      <c r="I7" s="9"/>
      <c r="J7" s="9" t="s">
        <v>284</v>
      </c>
      <c r="K7" s="9"/>
      <c r="L7" s="2" t="s">
        <v>26</v>
      </c>
      <c r="M7" s="2"/>
      <c r="N7" s="2"/>
      <c r="O7" s="2"/>
    </row>
    <row r="8" spans="1:18" ht="30.75">
      <c r="A8" s="7">
        <v>44103</v>
      </c>
      <c r="B8" s="8">
        <v>180</v>
      </c>
      <c r="C8" s="2" t="s">
        <v>22</v>
      </c>
      <c r="D8" s="7">
        <v>44103</v>
      </c>
      <c r="E8" s="2" t="s">
        <v>23</v>
      </c>
      <c r="F8" s="2" t="s">
        <v>28</v>
      </c>
      <c r="G8" s="2">
        <v>2</v>
      </c>
      <c r="H8" s="2">
        <v>901</v>
      </c>
      <c r="I8" s="9"/>
      <c r="J8" s="9" t="s">
        <v>285</v>
      </c>
      <c r="K8" s="9"/>
      <c r="L8" s="2" t="s">
        <v>26</v>
      </c>
      <c r="M8" s="2">
        <v>183</v>
      </c>
      <c r="N8" s="2"/>
      <c r="O8" s="2"/>
    </row>
    <row r="9" spans="1:18" ht="30.75">
      <c r="A9" s="7">
        <v>44135</v>
      </c>
      <c r="B9" s="8">
        <v>180</v>
      </c>
      <c r="C9" s="2" t="s">
        <v>54</v>
      </c>
      <c r="D9" s="7">
        <v>44135</v>
      </c>
      <c r="E9" s="2" t="s">
        <v>23</v>
      </c>
      <c r="F9" s="2" t="s">
        <v>28</v>
      </c>
      <c r="G9" s="2">
        <v>3</v>
      </c>
      <c r="H9" s="2">
        <v>1119</v>
      </c>
      <c r="I9" s="9"/>
      <c r="J9" s="9" t="s">
        <v>286</v>
      </c>
      <c r="K9" s="9"/>
      <c r="L9" s="2" t="s">
        <v>26</v>
      </c>
      <c r="M9" s="2">
        <v>85</v>
      </c>
      <c r="N9" s="2"/>
      <c r="O9" s="2"/>
    </row>
    <row r="10" spans="1:18" ht="30.75">
      <c r="A10" s="7">
        <v>44163</v>
      </c>
      <c r="B10" s="8">
        <v>250</v>
      </c>
      <c r="C10" s="2" t="s">
        <v>27</v>
      </c>
      <c r="D10" s="7">
        <v>44163</v>
      </c>
      <c r="E10" s="2" t="s">
        <v>23</v>
      </c>
      <c r="F10" s="2" t="s">
        <v>28</v>
      </c>
      <c r="G10" s="2">
        <v>4</v>
      </c>
      <c r="H10" s="2">
        <v>1292</v>
      </c>
      <c r="I10" s="9"/>
      <c r="J10" s="9" t="s">
        <v>287</v>
      </c>
      <c r="K10" s="9"/>
      <c r="L10" s="2" t="s">
        <v>26</v>
      </c>
      <c r="M10" s="2">
        <v>50</v>
      </c>
      <c r="N10" s="2"/>
      <c r="O10" s="2"/>
    </row>
    <row r="11" spans="1:18" ht="30.75">
      <c r="A11" s="7">
        <v>44226</v>
      </c>
      <c r="B11" s="8">
        <v>250</v>
      </c>
      <c r="C11" s="2" t="s">
        <v>32</v>
      </c>
      <c r="D11" s="7">
        <v>44226</v>
      </c>
      <c r="E11" s="2" t="s">
        <v>23</v>
      </c>
      <c r="F11" s="2" t="s">
        <v>28</v>
      </c>
      <c r="G11" s="2">
        <v>5</v>
      </c>
      <c r="H11" s="2">
        <v>1770</v>
      </c>
      <c r="I11" s="9"/>
      <c r="J11" s="9" t="s">
        <v>288</v>
      </c>
      <c r="K11" s="9"/>
      <c r="L11" s="2" t="s">
        <v>26</v>
      </c>
      <c r="M11" s="2">
        <v>150</v>
      </c>
      <c r="N11" s="2"/>
      <c r="O11" s="2"/>
    </row>
    <row r="12" spans="1:18" ht="30.75">
      <c r="A12" s="7">
        <v>44254</v>
      </c>
      <c r="B12" s="8">
        <v>250</v>
      </c>
      <c r="C12" s="2" t="s">
        <v>34</v>
      </c>
      <c r="D12" s="7">
        <v>44254</v>
      </c>
      <c r="E12" s="2" t="s">
        <v>23</v>
      </c>
      <c r="F12" s="2" t="s">
        <v>28</v>
      </c>
      <c r="G12" s="2">
        <v>6</v>
      </c>
      <c r="H12" s="2">
        <v>2016</v>
      </c>
      <c r="I12" s="9"/>
      <c r="J12" s="9" t="s">
        <v>289</v>
      </c>
      <c r="K12" s="9"/>
      <c r="L12" s="2" t="s">
        <v>26</v>
      </c>
      <c r="M12" s="2">
        <v>150</v>
      </c>
      <c r="N12" s="2"/>
      <c r="O12" s="2"/>
    </row>
    <row r="13" spans="1:18" ht="30.75">
      <c r="A13" s="7">
        <v>44282</v>
      </c>
      <c r="B13" s="8">
        <v>250</v>
      </c>
      <c r="C13" s="2" t="s">
        <v>38</v>
      </c>
      <c r="D13" s="7">
        <v>44282</v>
      </c>
      <c r="E13" s="2" t="s">
        <v>23</v>
      </c>
      <c r="F13" s="2" t="s">
        <v>28</v>
      </c>
      <c r="G13" s="2">
        <v>7</v>
      </c>
      <c r="H13" s="9" t="s">
        <v>290</v>
      </c>
      <c r="I13" s="9"/>
      <c r="J13" s="9" t="s">
        <v>291</v>
      </c>
      <c r="K13" s="9"/>
      <c r="L13" s="2" t="s">
        <v>26</v>
      </c>
      <c r="M13" s="2">
        <v>75</v>
      </c>
      <c r="N13" s="2"/>
      <c r="O13" s="2"/>
    </row>
    <row r="14" spans="1:18" ht="30.75">
      <c r="A14" s="7">
        <v>44315</v>
      </c>
      <c r="B14" s="8">
        <v>250</v>
      </c>
      <c r="C14" s="2" t="s">
        <v>41</v>
      </c>
      <c r="D14" s="7">
        <v>44315</v>
      </c>
      <c r="E14" s="2" t="s">
        <v>23</v>
      </c>
      <c r="F14" s="2" t="s">
        <v>28</v>
      </c>
      <c r="G14" s="2">
        <v>8</v>
      </c>
      <c r="H14" s="9" t="s">
        <v>292</v>
      </c>
      <c r="I14" s="9"/>
      <c r="J14" s="9" t="s">
        <v>293</v>
      </c>
      <c r="K14" s="9"/>
      <c r="L14" s="2" t="s">
        <v>26</v>
      </c>
      <c r="M14" s="2">
        <v>180</v>
      </c>
      <c r="N14" s="2"/>
      <c r="O14" s="2"/>
    </row>
    <row r="15" spans="1:18" ht="30.75">
      <c r="A15" s="7">
        <v>44345</v>
      </c>
      <c r="B15" s="8">
        <v>250</v>
      </c>
      <c r="C15" s="2" t="s">
        <v>44</v>
      </c>
      <c r="D15" s="7">
        <v>44345</v>
      </c>
      <c r="E15" s="2" t="s">
        <v>23</v>
      </c>
      <c r="F15" s="2" t="s">
        <v>28</v>
      </c>
      <c r="G15" s="2">
        <v>9</v>
      </c>
      <c r="H15" s="9" t="s">
        <v>294</v>
      </c>
      <c r="I15" s="9"/>
      <c r="J15" s="9" t="s">
        <v>295</v>
      </c>
      <c r="K15" s="9"/>
      <c r="L15" s="2" t="s">
        <v>26</v>
      </c>
      <c r="M15" s="2">
        <v>68</v>
      </c>
      <c r="N15" s="2"/>
      <c r="O15" s="2"/>
    </row>
    <row r="16" spans="1:18" ht="30.75">
      <c r="A16" s="7">
        <v>44408</v>
      </c>
      <c r="B16" s="8">
        <v>250</v>
      </c>
      <c r="C16" s="2" t="s">
        <v>47</v>
      </c>
      <c r="D16" s="7">
        <v>44408</v>
      </c>
      <c r="E16" s="2" t="s">
        <v>23</v>
      </c>
      <c r="F16" s="2" t="s">
        <v>28</v>
      </c>
      <c r="G16" s="2">
        <v>10</v>
      </c>
      <c r="H16" s="9" t="s">
        <v>296</v>
      </c>
      <c r="I16" s="9"/>
      <c r="J16" s="9" t="s">
        <v>297</v>
      </c>
      <c r="K16" s="9"/>
      <c r="L16" s="2" t="s">
        <v>26</v>
      </c>
      <c r="M16" s="2">
        <v>82</v>
      </c>
      <c r="N16" s="2"/>
      <c r="O16" s="2"/>
    </row>
    <row r="17" spans="1:15" ht="30.75">
      <c r="A17" s="7">
        <v>44436</v>
      </c>
      <c r="B17" s="8">
        <v>250</v>
      </c>
      <c r="C17" s="2" t="s">
        <v>50</v>
      </c>
      <c r="D17" s="7">
        <v>44436</v>
      </c>
      <c r="E17" s="2" t="s">
        <v>23</v>
      </c>
      <c r="F17" s="2" t="s">
        <v>28</v>
      </c>
      <c r="G17" s="2">
        <v>11</v>
      </c>
      <c r="H17" s="9" t="s">
        <v>298</v>
      </c>
      <c r="I17" s="9"/>
      <c r="J17" s="9" t="s">
        <v>299</v>
      </c>
      <c r="K17" s="9"/>
      <c r="L17" s="2" t="s">
        <v>26</v>
      </c>
      <c r="M17" s="2">
        <v>10</v>
      </c>
      <c r="N17" s="2"/>
      <c r="O17" s="2"/>
    </row>
    <row r="18" spans="1:15" ht="30.75">
      <c r="A18" s="7">
        <v>44469</v>
      </c>
      <c r="B18" s="8">
        <v>250</v>
      </c>
      <c r="C18" s="2" t="s">
        <v>22</v>
      </c>
      <c r="D18" s="7">
        <v>44469</v>
      </c>
      <c r="E18" s="2" t="s">
        <v>23</v>
      </c>
      <c r="F18" s="2" t="s">
        <v>28</v>
      </c>
      <c r="G18" s="2">
        <v>12</v>
      </c>
      <c r="H18" s="9" t="s">
        <v>300</v>
      </c>
      <c r="I18" s="9"/>
      <c r="J18" s="9" t="s">
        <v>301</v>
      </c>
      <c r="K18" s="9"/>
      <c r="L18" s="2" t="s">
        <v>26</v>
      </c>
      <c r="M18" s="2">
        <v>82</v>
      </c>
      <c r="N18" s="2"/>
      <c r="O18" s="2"/>
    </row>
    <row r="19" spans="1:15" ht="30.75">
      <c r="A19" s="7">
        <v>44499</v>
      </c>
      <c r="B19" s="8">
        <v>250</v>
      </c>
      <c r="C19" s="2" t="s">
        <v>54</v>
      </c>
      <c r="D19" s="7">
        <v>44499</v>
      </c>
      <c r="E19" s="2" t="s">
        <v>23</v>
      </c>
      <c r="F19" s="2" t="s">
        <v>28</v>
      </c>
      <c r="G19" s="2">
        <v>13</v>
      </c>
      <c r="H19" s="2">
        <v>3349</v>
      </c>
      <c r="I19" s="2"/>
      <c r="J19" s="2">
        <v>7099</v>
      </c>
      <c r="K19" s="2"/>
      <c r="L19" s="2" t="s">
        <v>26</v>
      </c>
      <c r="M19" s="2">
        <v>55</v>
      </c>
      <c r="N19" s="2"/>
      <c r="O19" s="2"/>
    </row>
    <row r="20" spans="1:15" ht="30.75">
      <c r="A20" s="7">
        <v>44530</v>
      </c>
      <c r="B20" s="8">
        <v>250</v>
      </c>
      <c r="C20" s="2" t="s">
        <v>27</v>
      </c>
      <c r="D20" s="7">
        <v>44530</v>
      </c>
      <c r="E20" s="2" t="s">
        <v>23</v>
      </c>
      <c r="F20" s="2" t="s">
        <v>28</v>
      </c>
      <c r="G20" s="2">
        <v>14</v>
      </c>
      <c r="H20" s="2">
        <v>3938</v>
      </c>
      <c r="I20" s="2"/>
      <c r="J20" s="2">
        <v>7960</v>
      </c>
      <c r="K20" s="2"/>
      <c r="L20" s="2" t="s">
        <v>56</v>
      </c>
      <c r="M20" s="2">
        <v>105</v>
      </c>
      <c r="N20" s="2"/>
      <c r="O20" s="2"/>
    </row>
    <row r="21" spans="1:15" ht="30.75">
      <c r="A21" s="7">
        <v>44558</v>
      </c>
      <c r="B21" s="8">
        <v>250</v>
      </c>
      <c r="C21" s="2" t="s">
        <v>30</v>
      </c>
      <c r="D21" s="7">
        <v>44558</v>
      </c>
      <c r="E21" s="2" t="s">
        <v>23</v>
      </c>
      <c r="F21" s="2" t="s">
        <v>28</v>
      </c>
      <c r="G21" s="2">
        <v>15</v>
      </c>
      <c r="H21" s="2">
        <v>4496</v>
      </c>
      <c r="I21" s="2"/>
      <c r="J21" s="2">
        <v>8680</v>
      </c>
      <c r="K21" s="2"/>
      <c r="L21" s="2" t="s">
        <v>56</v>
      </c>
      <c r="M21" s="2">
        <v>45</v>
      </c>
      <c r="N21" s="2"/>
      <c r="O21" s="2"/>
    </row>
    <row r="22" spans="1:15" ht="30.75">
      <c r="A22" s="7">
        <v>44592</v>
      </c>
      <c r="B22" s="8">
        <v>250</v>
      </c>
      <c r="C22" s="2" t="s">
        <v>32</v>
      </c>
      <c r="D22" s="7">
        <v>44592</v>
      </c>
      <c r="E22" s="2" t="s">
        <v>23</v>
      </c>
      <c r="F22" s="2" t="s">
        <v>28</v>
      </c>
      <c r="G22" s="2">
        <v>16</v>
      </c>
      <c r="H22" s="2">
        <v>4864</v>
      </c>
      <c r="I22" s="2"/>
      <c r="J22" s="2">
        <v>9907</v>
      </c>
      <c r="K22" s="2"/>
      <c r="L22" s="2" t="s">
        <v>26</v>
      </c>
      <c r="M22" s="2">
        <v>87</v>
      </c>
      <c r="N22" s="2"/>
      <c r="O22" s="2"/>
    </row>
    <row r="23" spans="1:15" ht="45.75">
      <c r="A23" s="7">
        <v>44622</v>
      </c>
      <c r="B23" s="8">
        <v>250</v>
      </c>
      <c r="C23" s="2" t="s">
        <v>38</v>
      </c>
      <c r="D23" s="7">
        <v>44622</v>
      </c>
      <c r="E23" s="2" t="s">
        <v>23</v>
      </c>
      <c r="F23" s="2" t="s">
        <v>28</v>
      </c>
      <c r="G23" s="2">
        <v>17</v>
      </c>
      <c r="H23" s="2">
        <v>5594</v>
      </c>
      <c r="I23" s="2"/>
      <c r="J23" s="2">
        <v>11176</v>
      </c>
      <c r="K23" s="2"/>
      <c r="L23" s="2" t="s">
        <v>26</v>
      </c>
      <c r="M23" s="2">
        <v>144.69999999999999</v>
      </c>
      <c r="N23" s="2" t="s">
        <v>302</v>
      </c>
      <c r="O23" s="2"/>
    </row>
    <row r="24" spans="1:15" ht="30.75">
      <c r="A24" s="7">
        <v>44650</v>
      </c>
      <c r="B24" s="8">
        <v>250</v>
      </c>
      <c r="C24" s="2" t="s">
        <v>38</v>
      </c>
      <c r="D24" s="7">
        <v>44650</v>
      </c>
      <c r="E24" s="2" t="s">
        <v>23</v>
      </c>
      <c r="F24" s="2" t="s">
        <v>28</v>
      </c>
      <c r="G24" s="2">
        <v>18</v>
      </c>
      <c r="H24" s="2">
        <v>6380</v>
      </c>
      <c r="I24" s="2"/>
      <c r="J24" s="2">
        <v>12002</v>
      </c>
      <c r="K24" s="2"/>
      <c r="L24" s="2" t="s">
        <v>26</v>
      </c>
      <c r="M24" s="2">
        <v>60</v>
      </c>
      <c r="N24" s="2"/>
      <c r="O24" s="2"/>
    </row>
    <row r="25" spans="1:15" ht="30.75">
      <c r="A25" s="7">
        <v>44681</v>
      </c>
      <c r="B25" s="8">
        <v>250</v>
      </c>
      <c r="C25" s="2" t="s">
        <v>41</v>
      </c>
      <c r="D25" s="7">
        <v>44681</v>
      </c>
      <c r="E25" s="2" t="s">
        <v>23</v>
      </c>
      <c r="F25" s="2" t="s">
        <v>24</v>
      </c>
      <c r="G25" s="2">
        <v>19</v>
      </c>
      <c r="H25" s="2">
        <v>7032</v>
      </c>
      <c r="I25" s="2"/>
      <c r="J25" s="2">
        <v>12879</v>
      </c>
      <c r="K25" s="2"/>
      <c r="L25" s="2" t="s">
        <v>26</v>
      </c>
      <c r="M25" s="2">
        <v>300</v>
      </c>
      <c r="N25" s="2"/>
      <c r="O25" s="2"/>
    </row>
    <row r="26" spans="1:15" ht="30.75">
      <c r="A26" s="7">
        <v>44712</v>
      </c>
      <c r="B26" s="8">
        <v>250</v>
      </c>
      <c r="C26" s="2" t="s">
        <v>44</v>
      </c>
      <c r="D26" s="7">
        <v>44712</v>
      </c>
      <c r="E26" s="2" t="s">
        <v>23</v>
      </c>
      <c r="F26" s="2" t="s">
        <v>28</v>
      </c>
      <c r="G26" s="2">
        <v>20</v>
      </c>
      <c r="H26" s="2">
        <v>7855</v>
      </c>
      <c r="I26" s="2"/>
      <c r="J26" s="2">
        <v>13998</v>
      </c>
      <c r="K26" s="2"/>
      <c r="L26" s="2" t="s">
        <v>26</v>
      </c>
      <c r="M26" s="2">
        <v>50</v>
      </c>
      <c r="N26" s="2"/>
      <c r="O26" s="2"/>
    </row>
    <row r="27" spans="1:15" ht="60.75">
      <c r="A27" s="7">
        <v>44743</v>
      </c>
      <c r="B27" s="8">
        <v>250</v>
      </c>
      <c r="C27" s="2" t="s">
        <v>57</v>
      </c>
      <c r="D27" s="7">
        <v>44743</v>
      </c>
      <c r="E27" s="2" t="s">
        <v>23</v>
      </c>
      <c r="F27" s="2" t="s">
        <v>28</v>
      </c>
      <c r="G27" s="2">
        <v>21</v>
      </c>
      <c r="H27" s="2">
        <v>8590</v>
      </c>
      <c r="I27" s="2"/>
      <c r="J27" s="2">
        <v>14836</v>
      </c>
      <c r="K27" s="2"/>
      <c r="L27" s="2" t="s">
        <v>26</v>
      </c>
      <c r="M27" s="2">
        <v>21</v>
      </c>
      <c r="N27" s="2" t="s">
        <v>303</v>
      </c>
      <c r="O27" s="2"/>
    </row>
    <row r="28" spans="1:15" ht="30.75">
      <c r="A28" s="7">
        <v>44788</v>
      </c>
      <c r="B28" s="8">
        <v>250</v>
      </c>
      <c r="C28" s="2" t="s">
        <v>47</v>
      </c>
      <c r="D28" s="7">
        <v>44788</v>
      </c>
      <c r="E28" s="2" t="s">
        <v>23</v>
      </c>
      <c r="F28" s="2" t="s">
        <v>28</v>
      </c>
      <c r="G28" s="2">
        <v>22</v>
      </c>
      <c r="H28" s="2">
        <v>9314</v>
      </c>
      <c r="I28" s="2"/>
      <c r="J28" s="2">
        <v>13273</v>
      </c>
      <c r="K28" s="2"/>
      <c r="L28" s="2" t="s">
        <v>26</v>
      </c>
      <c r="M28" s="2">
        <v>27</v>
      </c>
      <c r="N28" s="2"/>
      <c r="O28" s="2"/>
    </row>
    <row r="29" spans="1:15" ht="30.75">
      <c r="A29" s="7">
        <v>44806</v>
      </c>
      <c r="B29" s="8">
        <v>250</v>
      </c>
      <c r="C29" s="2" t="s">
        <v>50</v>
      </c>
      <c r="D29" s="7">
        <v>44806</v>
      </c>
      <c r="E29" s="2" t="s">
        <v>23</v>
      </c>
      <c r="F29" s="2" t="s">
        <v>28</v>
      </c>
      <c r="G29" s="2">
        <v>23</v>
      </c>
      <c r="H29" s="2">
        <v>10107</v>
      </c>
      <c r="I29" s="2"/>
      <c r="J29" s="2">
        <v>16775</v>
      </c>
      <c r="K29" s="2"/>
      <c r="L29" s="2" t="s">
        <v>26</v>
      </c>
      <c r="M29" s="2">
        <v>49</v>
      </c>
      <c r="N29" s="2"/>
      <c r="O29" s="2"/>
    </row>
    <row r="30" spans="1:15" ht="30.75">
      <c r="A30" s="2" t="s">
        <v>58</v>
      </c>
      <c r="B30" s="8">
        <v>250</v>
      </c>
      <c r="C30" s="2" t="s">
        <v>22</v>
      </c>
      <c r="D30" s="7">
        <v>44834</v>
      </c>
      <c r="E30" s="2" t="s">
        <v>23</v>
      </c>
      <c r="F30" s="2" t="s">
        <v>28</v>
      </c>
      <c r="G30" s="2">
        <v>24</v>
      </c>
      <c r="H30" s="2">
        <v>11188</v>
      </c>
      <c r="I30" s="2"/>
      <c r="J30" s="2">
        <v>17699</v>
      </c>
      <c r="K30" s="2"/>
      <c r="L30" s="2" t="s">
        <v>26</v>
      </c>
      <c r="M30" s="2">
        <v>74</v>
      </c>
      <c r="N30" s="2"/>
      <c r="O30" s="2"/>
    </row>
    <row r="31" spans="1:15" ht="30.75">
      <c r="A31" s="2" t="s">
        <v>59</v>
      </c>
      <c r="B31" s="8">
        <v>250</v>
      </c>
      <c r="C31" s="2" t="s">
        <v>54</v>
      </c>
      <c r="D31" s="2" t="s">
        <v>60</v>
      </c>
      <c r="E31" s="2" t="s">
        <v>23</v>
      </c>
      <c r="F31" s="2" t="s">
        <v>24</v>
      </c>
      <c r="G31" s="2">
        <v>25</v>
      </c>
      <c r="H31" s="2">
        <v>11479</v>
      </c>
      <c r="I31" s="2"/>
      <c r="J31" s="2">
        <v>18230</v>
      </c>
      <c r="K31" s="2"/>
      <c r="L31" s="2" t="s">
        <v>26</v>
      </c>
      <c r="M31" s="2">
        <v>72</v>
      </c>
      <c r="N31" s="2"/>
      <c r="O31" s="2"/>
    </row>
    <row r="32" spans="1:15" ht="30.75">
      <c r="A32" s="2" t="s">
        <v>61</v>
      </c>
      <c r="B32" s="8">
        <v>250</v>
      </c>
      <c r="C32" s="2" t="s">
        <v>27</v>
      </c>
      <c r="D32" s="2" t="s">
        <v>61</v>
      </c>
      <c r="E32" s="2" t="s">
        <v>23</v>
      </c>
      <c r="F32" s="2" t="s">
        <v>28</v>
      </c>
      <c r="G32" s="2">
        <v>26</v>
      </c>
      <c r="H32" s="2">
        <v>12113</v>
      </c>
      <c r="I32" s="2"/>
      <c r="J32" s="2">
        <v>19463</v>
      </c>
      <c r="K32" s="2"/>
      <c r="L32" s="2" t="s">
        <v>26</v>
      </c>
      <c r="M32" s="2">
        <v>75</v>
      </c>
      <c r="N32" s="2"/>
      <c r="O32" s="2"/>
    </row>
    <row r="33" spans="1:15" ht="30.75">
      <c r="A33" s="2" t="s">
        <v>62</v>
      </c>
      <c r="B33" s="8">
        <v>250</v>
      </c>
      <c r="C33" s="2" t="s">
        <v>30</v>
      </c>
      <c r="D33" s="2" t="s">
        <v>304</v>
      </c>
      <c r="E33" s="2" t="s">
        <v>23</v>
      </c>
      <c r="F33" s="2" t="s">
        <v>28</v>
      </c>
      <c r="G33" s="2">
        <v>27</v>
      </c>
      <c r="H33" s="2">
        <v>13114</v>
      </c>
      <c r="I33" s="2"/>
      <c r="J33" s="2">
        <v>20446</v>
      </c>
      <c r="K33" s="2"/>
      <c r="L33" s="2" t="s">
        <v>26</v>
      </c>
      <c r="M33" s="2">
        <v>70</v>
      </c>
      <c r="N33" s="2"/>
      <c r="O33" s="2"/>
    </row>
    <row r="34" spans="1:15" ht="30.75">
      <c r="A34" s="2" t="s">
        <v>305</v>
      </c>
      <c r="B34" s="8">
        <v>250</v>
      </c>
      <c r="C34" s="2" t="s">
        <v>32</v>
      </c>
      <c r="D34" s="2" t="s">
        <v>189</v>
      </c>
      <c r="E34" s="2" t="s">
        <v>23</v>
      </c>
      <c r="F34" s="2" t="s">
        <v>28</v>
      </c>
      <c r="G34" s="2">
        <v>28</v>
      </c>
      <c r="H34" s="2">
        <v>13706</v>
      </c>
      <c r="I34" s="2"/>
      <c r="J34" s="2">
        <v>21282</v>
      </c>
      <c r="K34" s="2"/>
      <c r="L34" s="2" t="s">
        <v>26</v>
      </c>
      <c r="M34" s="2"/>
      <c r="N34" s="2"/>
      <c r="O34" s="2"/>
    </row>
    <row r="35" spans="1:15" ht="30.75">
      <c r="A35" s="2" t="s">
        <v>306</v>
      </c>
      <c r="B35" s="8">
        <v>250</v>
      </c>
      <c r="C35" s="2" t="s">
        <v>34</v>
      </c>
      <c r="D35" s="2" t="s">
        <v>66</v>
      </c>
      <c r="E35" s="2" t="s">
        <v>23</v>
      </c>
      <c r="F35" s="2" t="s">
        <v>24</v>
      </c>
      <c r="G35" s="2">
        <v>29</v>
      </c>
      <c r="H35" s="2">
        <v>14406</v>
      </c>
      <c r="I35" s="2"/>
      <c r="J35" s="2">
        <v>21814</v>
      </c>
      <c r="K35" s="2"/>
      <c r="L35" s="2" t="s">
        <v>26</v>
      </c>
      <c r="M35" s="2">
        <v>85</v>
      </c>
      <c r="N35" s="2"/>
      <c r="O35" s="2"/>
    </row>
    <row r="36" spans="1:15" ht="30.75">
      <c r="A36" s="2" t="s">
        <v>67</v>
      </c>
      <c r="B36" s="8">
        <v>250</v>
      </c>
      <c r="C36" s="2" t="s">
        <v>38</v>
      </c>
      <c r="D36" s="2" t="s">
        <v>68</v>
      </c>
      <c r="E36" s="2" t="s">
        <v>23</v>
      </c>
      <c r="F36" s="2" t="s">
        <v>28</v>
      </c>
      <c r="G36" s="2">
        <v>30</v>
      </c>
      <c r="H36" s="2">
        <v>15076</v>
      </c>
      <c r="I36" s="2"/>
      <c r="J36" s="2">
        <v>22995</v>
      </c>
      <c r="K36" s="2"/>
      <c r="L36" s="2" t="s">
        <v>26</v>
      </c>
      <c r="M36" s="2">
        <v>56</v>
      </c>
      <c r="N36" s="2"/>
      <c r="O36" s="2"/>
    </row>
    <row r="37" spans="1:15" ht="30.75">
      <c r="A37" s="2" t="s">
        <v>69</v>
      </c>
      <c r="B37" s="8">
        <v>250</v>
      </c>
      <c r="C37" s="2" t="s">
        <v>41</v>
      </c>
      <c r="D37" s="2" t="s">
        <v>69</v>
      </c>
      <c r="E37" s="2" t="s">
        <v>23</v>
      </c>
      <c r="F37" s="2" t="s">
        <v>28</v>
      </c>
      <c r="G37" s="2">
        <v>31</v>
      </c>
      <c r="H37" s="2">
        <v>15752</v>
      </c>
      <c r="I37" s="2"/>
      <c r="J37" s="2">
        <v>23429</v>
      </c>
      <c r="K37" s="2"/>
      <c r="L37" s="2" t="s">
        <v>26</v>
      </c>
      <c r="M37" s="2">
        <v>75</v>
      </c>
      <c r="N37" s="2"/>
      <c r="O37" s="2"/>
    </row>
    <row r="38" spans="1:15" ht="30.75">
      <c r="A38" s="2" t="s">
        <v>307</v>
      </c>
      <c r="B38" s="8">
        <v>250</v>
      </c>
      <c r="C38" s="2" t="s">
        <v>44</v>
      </c>
      <c r="D38" s="2" t="s">
        <v>70</v>
      </c>
      <c r="E38" s="2" t="s">
        <v>23</v>
      </c>
      <c r="F38" s="2" t="s">
        <v>28</v>
      </c>
      <c r="G38" s="2">
        <v>32</v>
      </c>
      <c r="H38" s="2">
        <v>16528</v>
      </c>
      <c r="I38" s="2"/>
      <c r="J38" s="2">
        <v>24943</v>
      </c>
      <c r="K38" s="2"/>
      <c r="L38" s="2" t="s">
        <v>26</v>
      </c>
      <c r="M38" s="2">
        <v>105</v>
      </c>
      <c r="N38" s="2"/>
      <c r="O38" s="2"/>
    </row>
    <row r="39" spans="1:15" ht="30.75">
      <c r="A39" s="7">
        <v>45105</v>
      </c>
      <c r="B39" s="8">
        <v>250</v>
      </c>
      <c r="C39" s="2" t="s">
        <v>57</v>
      </c>
      <c r="D39" s="7">
        <v>45104</v>
      </c>
      <c r="E39" s="2" t="s">
        <v>23</v>
      </c>
      <c r="F39" s="2" t="s">
        <v>24</v>
      </c>
      <c r="G39" s="2">
        <v>33</v>
      </c>
      <c r="H39" s="2">
        <v>17093</v>
      </c>
      <c r="I39" s="2"/>
      <c r="J39" s="2">
        <v>25647</v>
      </c>
      <c r="K39" s="2"/>
      <c r="L39" s="2" t="s">
        <v>26</v>
      </c>
      <c r="M39" s="2">
        <v>110.6</v>
      </c>
      <c r="N39" s="2"/>
      <c r="O39" s="2"/>
    </row>
    <row r="40" spans="1:15" ht="30.75">
      <c r="A40" s="7">
        <v>45164</v>
      </c>
      <c r="B40" s="8">
        <v>250</v>
      </c>
      <c r="C40" s="2" t="s">
        <v>47</v>
      </c>
      <c r="D40" s="7">
        <v>45134</v>
      </c>
      <c r="E40" s="2" t="s">
        <v>23</v>
      </c>
      <c r="F40" s="2" t="s">
        <v>24</v>
      </c>
      <c r="G40" s="2">
        <v>34</v>
      </c>
      <c r="H40" s="2">
        <v>17971</v>
      </c>
      <c r="I40" s="2"/>
      <c r="J40" s="2">
        <v>26628</v>
      </c>
      <c r="K40" s="2"/>
      <c r="L40" s="2" t="s">
        <v>26</v>
      </c>
      <c r="M40" s="2">
        <v>97.1</v>
      </c>
      <c r="N40" s="2"/>
      <c r="O40" s="100" t="s">
        <v>76</v>
      </c>
    </row>
    <row r="41" spans="1:15" ht="45.75">
      <c r="A41" s="7">
        <v>45164</v>
      </c>
      <c r="B41" s="8">
        <v>120</v>
      </c>
      <c r="C41" s="2" t="s">
        <v>47</v>
      </c>
      <c r="D41" s="7">
        <v>45134</v>
      </c>
      <c r="E41" s="100" t="s">
        <v>308</v>
      </c>
      <c r="F41" s="2" t="s">
        <v>24</v>
      </c>
      <c r="G41" s="2">
        <v>35</v>
      </c>
      <c r="H41" s="2">
        <v>18509</v>
      </c>
      <c r="I41" s="2"/>
      <c r="J41" s="2">
        <v>27953</v>
      </c>
      <c r="K41" s="2"/>
      <c r="L41" s="2" t="s">
        <v>26</v>
      </c>
      <c r="M41" s="2">
        <v>2.7</v>
      </c>
      <c r="N41" s="2"/>
      <c r="O41" s="2"/>
    </row>
    <row r="42" spans="1:15" ht="30.75">
      <c r="A42" s="7">
        <v>45209</v>
      </c>
      <c r="B42" s="8">
        <v>250</v>
      </c>
      <c r="C42" s="2" t="s">
        <v>50</v>
      </c>
      <c r="D42" s="7">
        <v>45166</v>
      </c>
      <c r="E42" s="2" t="s">
        <v>23</v>
      </c>
      <c r="F42" s="2" t="s">
        <v>24</v>
      </c>
      <c r="G42" s="2">
        <v>36</v>
      </c>
      <c r="H42" s="2">
        <v>18510</v>
      </c>
      <c r="I42" s="2"/>
      <c r="J42" s="2">
        <v>27944</v>
      </c>
      <c r="K42" s="2"/>
      <c r="L42" s="2" t="s">
        <v>26</v>
      </c>
      <c r="M42" s="2">
        <v>120</v>
      </c>
      <c r="N42" s="2"/>
      <c r="O42" s="2"/>
    </row>
    <row r="43" spans="1:15" ht="30.75">
      <c r="A43" s="7">
        <v>45219</v>
      </c>
      <c r="B43" s="8">
        <v>250</v>
      </c>
      <c r="C43" s="2" t="s">
        <v>22</v>
      </c>
      <c r="D43" s="7">
        <v>45198</v>
      </c>
      <c r="E43" s="2" t="s">
        <v>23</v>
      </c>
      <c r="F43" s="2" t="s">
        <v>24</v>
      </c>
      <c r="G43" s="2">
        <v>37</v>
      </c>
      <c r="H43" s="2">
        <v>19421</v>
      </c>
      <c r="I43" s="2"/>
      <c r="J43" s="2">
        <v>28910</v>
      </c>
      <c r="K43" s="2"/>
      <c r="L43" s="2" t="s">
        <v>26</v>
      </c>
      <c r="M43" s="2">
        <v>135</v>
      </c>
      <c r="N43" s="2"/>
      <c r="O43" s="2"/>
    </row>
    <row r="44" spans="1:15" ht="30.75">
      <c r="A44" s="7">
        <v>45259</v>
      </c>
      <c r="B44" s="8">
        <v>250</v>
      </c>
      <c r="C44" s="2" t="s">
        <v>54</v>
      </c>
      <c r="D44" s="7">
        <v>45230</v>
      </c>
      <c r="E44" s="2" t="s">
        <v>23</v>
      </c>
      <c r="F44" s="2" t="s">
        <v>24</v>
      </c>
      <c r="G44" s="2">
        <v>38</v>
      </c>
      <c r="H44" s="2">
        <v>20161</v>
      </c>
      <c r="I44" s="2"/>
      <c r="J44" s="2">
        <v>29764</v>
      </c>
      <c r="K44" s="2">
        <v>31863</v>
      </c>
      <c r="L44" s="2" t="s">
        <v>26</v>
      </c>
      <c r="M44" s="2">
        <v>125</v>
      </c>
      <c r="N44" s="2"/>
      <c r="O44" s="2"/>
    </row>
    <row r="45" spans="1:15" ht="30.75">
      <c r="A45" s="7">
        <v>45286</v>
      </c>
      <c r="B45" s="8">
        <v>250</v>
      </c>
      <c r="C45" s="2" t="s">
        <v>27</v>
      </c>
      <c r="D45" s="7">
        <v>45260</v>
      </c>
      <c r="E45" s="2" t="s">
        <v>23</v>
      </c>
      <c r="F45" s="2" t="s">
        <v>24</v>
      </c>
      <c r="G45" s="2">
        <v>39</v>
      </c>
      <c r="H45" s="2">
        <v>20677</v>
      </c>
      <c r="I45" s="2"/>
      <c r="J45" s="2">
        <v>30694</v>
      </c>
      <c r="K45" s="2">
        <v>32808</v>
      </c>
      <c r="L45" s="2" t="s">
        <v>26</v>
      </c>
      <c r="M45" s="2">
        <v>115</v>
      </c>
      <c r="N45" s="2"/>
      <c r="O45" s="2"/>
    </row>
    <row r="46" spans="1:15" ht="30.75">
      <c r="A46" s="7">
        <v>45303</v>
      </c>
      <c r="B46" s="8">
        <v>250</v>
      </c>
      <c r="C46" s="2" t="s">
        <v>30</v>
      </c>
      <c r="D46" s="7">
        <v>45289</v>
      </c>
      <c r="E46" s="2" t="s">
        <v>309</v>
      </c>
      <c r="F46" s="2" t="s">
        <v>24</v>
      </c>
      <c r="G46" s="2">
        <v>40</v>
      </c>
      <c r="H46" s="2">
        <v>21484</v>
      </c>
      <c r="I46" s="2"/>
      <c r="J46" s="2">
        <v>31529</v>
      </c>
      <c r="K46" s="2">
        <v>33668</v>
      </c>
      <c r="L46" s="2" t="s">
        <v>26</v>
      </c>
      <c r="M46" s="2">
        <v>135</v>
      </c>
      <c r="N46" s="2"/>
      <c r="O46" s="2"/>
    </row>
    <row r="47" spans="1:15" ht="30.75">
      <c r="A47" s="7">
        <v>45330</v>
      </c>
      <c r="B47" s="8">
        <v>250</v>
      </c>
      <c r="C47" s="2" t="s">
        <v>32</v>
      </c>
      <c r="D47" s="7">
        <v>45322</v>
      </c>
      <c r="E47" s="2" t="s">
        <v>309</v>
      </c>
      <c r="F47" s="2" t="s">
        <v>24</v>
      </c>
      <c r="G47" s="2">
        <v>41</v>
      </c>
      <c r="H47" s="2">
        <v>22197</v>
      </c>
      <c r="I47" s="2"/>
      <c r="J47" s="2">
        <v>32880</v>
      </c>
      <c r="K47" s="2">
        <v>34973</v>
      </c>
      <c r="L47" s="2" t="s">
        <v>26</v>
      </c>
      <c r="M47" s="2">
        <v>135</v>
      </c>
      <c r="N47" s="2"/>
      <c r="O47" s="2"/>
    </row>
    <row r="48" spans="1:15" ht="30.75">
      <c r="A48" s="7">
        <v>45360</v>
      </c>
      <c r="B48" s="8">
        <v>250</v>
      </c>
      <c r="C48" s="2" t="s">
        <v>34</v>
      </c>
      <c r="D48" s="7">
        <v>45351</v>
      </c>
      <c r="E48" s="2" t="s">
        <v>309</v>
      </c>
      <c r="F48" s="2" t="s">
        <v>24</v>
      </c>
      <c r="G48" s="2">
        <v>42</v>
      </c>
      <c r="H48" s="2">
        <v>22862</v>
      </c>
      <c r="I48" s="2"/>
      <c r="J48" s="2">
        <v>33374</v>
      </c>
      <c r="K48" s="2">
        <v>35465</v>
      </c>
      <c r="L48" s="2" t="s">
        <v>26</v>
      </c>
      <c r="M48" s="2">
        <v>147</v>
      </c>
      <c r="N48" s="2"/>
      <c r="O48" s="2"/>
    </row>
    <row r="49" spans="1:15" ht="30.75">
      <c r="A49" s="7">
        <v>45384</v>
      </c>
      <c r="B49" s="8">
        <v>250</v>
      </c>
      <c r="C49" s="2" t="s">
        <v>38</v>
      </c>
      <c r="D49" s="7">
        <v>45377</v>
      </c>
      <c r="E49" s="2" t="s">
        <v>309</v>
      </c>
      <c r="F49" s="2" t="s">
        <v>24</v>
      </c>
      <c r="G49" s="2">
        <v>43</v>
      </c>
      <c r="H49" s="2">
        <v>23622</v>
      </c>
      <c r="I49" s="2"/>
      <c r="J49" s="2">
        <v>34362</v>
      </c>
      <c r="K49" s="2">
        <v>36299</v>
      </c>
      <c r="L49" s="2" t="s">
        <v>26</v>
      </c>
      <c r="M49" s="2">
        <v>148</v>
      </c>
      <c r="N49" s="2"/>
      <c r="O49" s="2"/>
    </row>
    <row r="50" spans="1:15" ht="30.75">
      <c r="A50" s="7">
        <v>45440</v>
      </c>
      <c r="B50" s="8">
        <v>250</v>
      </c>
      <c r="C50" s="2" t="s">
        <v>41</v>
      </c>
      <c r="D50" s="7">
        <v>45412</v>
      </c>
      <c r="E50" s="2" t="s">
        <v>23</v>
      </c>
      <c r="F50" s="2" t="s">
        <v>24</v>
      </c>
      <c r="G50" s="2">
        <v>44</v>
      </c>
      <c r="H50" s="2">
        <v>24405</v>
      </c>
      <c r="I50" s="2"/>
      <c r="J50" s="2">
        <v>35365</v>
      </c>
      <c r="K50" s="2">
        <v>37390</v>
      </c>
      <c r="L50" s="2" t="s">
        <v>26</v>
      </c>
      <c r="M50" s="2">
        <v>134</v>
      </c>
      <c r="N50" s="2"/>
      <c r="O50" s="2"/>
    </row>
    <row r="51" spans="1:15" ht="30.75">
      <c r="A51" s="7">
        <v>45491</v>
      </c>
      <c r="B51" s="8">
        <v>250</v>
      </c>
      <c r="C51" s="2" t="s">
        <v>44</v>
      </c>
      <c r="D51" s="7">
        <v>45443</v>
      </c>
      <c r="E51" s="2" t="s">
        <v>309</v>
      </c>
      <c r="F51" s="2" t="s">
        <v>24</v>
      </c>
      <c r="G51" s="2">
        <v>45</v>
      </c>
      <c r="H51" s="2">
        <v>25122</v>
      </c>
      <c r="I51" s="2"/>
      <c r="J51" s="2">
        <v>36269</v>
      </c>
      <c r="K51" s="2">
        <v>38282</v>
      </c>
      <c r="L51" s="2" t="s">
        <v>26</v>
      </c>
      <c r="M51" s="2">
        <v>142</v>
      </c>
      <c r="N51" s="2"/>
      <c r="O51" s="2"/>
    </row>
    <row r="52" spans="1:15" ht="30.75">
      <c r="A52" s="7">
        <v>45491</v>
      </c>
      <c r="B52" s="8">
        <v>250</v>
      </c>
      <c r="C52" s="2" t="s">
        <v>57</v>
      </c>
      <c r="D52" s="7">
        <v>45471</v>
      </c>
      <c r="E52" s="2" t="s">
        <v>309</v>
      </c>
      <c r="F52" s="2" t="s">
        <v>24</v>
      </c>
      <c r="G52" s="2">
        <v>46</v>
      </c>
      <c r="H52" s="2">
        <v>25817</v>
      </c>
      <c r="I52" s="2"/>
      <c r="J52" s="2">
        <v>37193</v>
      </c>
      <c r="K52" s="2">
        <v>38988</v>
      </c>
      <c r="L52" s="2" t="s">
        <v>26</v>
      </c>
      <c r="M52" s="2">
        <v>127</v>
      </c>
      <c r="N52" s="2"/>
      <c r="O52" s="2"/>
    </row>
    <row r="53" spans="1:15" ht="30.75">
      <c r="A53" s="7">
        <v>45511</v>
      </c>
      <c r="B53" s="8">
        <v>250</v>
      </c>
      <c r="C53" s="2" t="s">
        <v>47</v>
      </c>
      <c r="D53" s="7">
        <v>45504</v>
      </c>
      <c r="E53" s="2" t="s">
        <v>309</v>
      </c>
      <c r="F53" s="2" t="s">
        <v>24</v>
      </c>
      <c r="G53" s="2">
        <v>47</v>
      </c>
      <c r="H53" s="2">
        <v>26646</v>
      </c>
      <c r="I53" s="2"/>
      <c r="J53" s="2">
        <v>38170</v>
      </c>
      <c r="K53" s="2">
        <v>40309</v>
      </c>
      <c r="L53" s="2" t="s">
        <v>26</v>
      </c>
      <c r="M53" s="2">
        <v>142</v>
      </c>
      <c r="N53" s="2"/>
      <c r="O53" s="2"/>
    </row>
    <row r="54" spans="1:15" ht="30.75">
      <c r="A54" s="7">
        <v>45546</v>
      </c>
      <c r="B54" s="8">
        <v>250</v>
      </c>
      <c r="C54" s="2" t="s">
        <v>50</v>
      </c>
      <c r="D54" s="7">
        <v>45533</v>
      </c>
      <c r="E54" s="2" t="s">
        <v>23</v>
      </c>
      <c r="F54" s="2" t="s">
        <v>24</v>
      </c>
      <c r="G54" s="2">
        <v>48</v>
      </c>
      <c r="H54" s="2">
        <v>27468</v>
      </c>
      <c r="I54" s="2"/>
      <c r="J54" s="2">
        <v>39211</v>
      </c>
      <c r="K54" s="2">
        <v>41353</v>
      </c>
      <c r="L54" s="2" t="s">
        <v>73</v>
      </c>
      <c r="M54" s="2">
        <v>80</v>
      </c>
      <c r="N54" s="2"/>
    </row>
    <row r="55" spans="1:15" ht="30.75">
      <c r="A55" s="7">
        <v>45575</v>
      </c>
      <c r="B55" s="8">
        <v>250</v>
      </c>
      <c r="C55" s="2" t="s">
        <v>22</v>
      </c>
      <c r="D55" s="7">
        <v>45563</v>
      </c>
      <c r="E55" s="2" t="s">
        <v>309</v>
      </c>
      <c r="F55" s="2" t="s">
        <v>24</v>
      </c>
      <c r="G55" s="2">
        <v>49</v>
      </c>
      <c r="H55" s="2">
        <v>28281</v>
      </c>
      <c r="I55" s="2"/>
      <c r="J55" s="2">
        <v>40228</v>
      </c>
      <c r="K55" s="2">
        <v>42409</v>
      </c>
      <c r="L55" s="2" t="s">
        <v>73</v>
      </c>
      <c r="M55" s="2">
        <v>20</v>
      </c>
      <c r="N55" s="2"/>
      <c r="O55" s="2"/>
    </row>
    <row r="56" spans="1:15" ht="30.75">
      <c r="A56" s="7">
        <v>45687</v>
      </c>
      <c r="B56" s="8">
        <v>250</v>
      </c>
      <c r="C56" s="2" t="s">
        <v>54</v>
      </c>
      <c r="D56" s="7">
        <v>45596</v>
      </c>
      <c r="E56" s="2" t="s">
        <v>309</v>
      </c>
      <c r="F56" s="2" t="s">
        <v>24</v>
      </c>
      <c r="G56" s="2">
        <v>50</v>
      </c>
      <c r="H56" s="310">
        <v>29065</v>
      </c>
      <c r="I56" s="2"/>
      <c r="J56" s="2">
        <v>41309</v>
      </c>
      <c r="K56" s="2">
        <v>43463</v>
      </c>
      <c r="L56" s="2" t="s">
        <v>26</v>
      </c>
      <c r="M56" s="2">
        <v>30.5</v>
      </c>
      <c r="N56" s="2"/>
      <c r="O56" s="2"/>
    </row>
    <row r="57" spans="1:15" ht="30.75">
      <c r="A57" s="7">
        <v>45687</v>
      </c>
      <c r="B57" s="8">
        <v>250</v>
      </c>
      <c r="C57" s="2" t="s">
        <v>27</v>
      </c>
      <c r="D57" s="7">
        <v>45625</v>
      </c>
      <c r="E57" s="2" t="s">
        <v>309</v>
      </c>
      <c r="F57" s="2" t="s">
        <v>24</v>
      </c>
      <c r="G57" s="2">
        <v>51</v>
      </c>
      <c r="H57" s="2">
        <v>29885</v>
      </c>
      <c r="I57" s="2"/>
      <c r="J57" s="2">
        <v>42245</v>
      </c>
      <c r="K57" s="2">
        <v>44289</v>
      </c>
      <c r="L57" s="2" t="s">
        <v>26</v>
      </c>
      <c r="M57" s="2">
        <v>25.5</v>
      </c>
      <c r="N57" s="2"/>
      <c r="O57" s="2"/>
    </row>
    <row r="58" spans="1:15" ht="30.75">
      <c r="A58" s="7">
        <v>45687</v>
      </c>
      <c r="B58" s="8">
        <v>250</v>
      </c>
      <c r="C58" s="2" t="s">
        <v>30</v>
      </c>
      <c r="D58" s="7">
        <v>45654</v>
      </c>
      <c r="E58" s="2" t="s">
        <v>309</v>
      </c>
      <c r="F58" s="2" t="s">
        <v>24</v>
      </c>
      <c r="G58" s="2">
        <v>52</v>
      </c>
      <c r="H58" s="2">
        <v>30328</v>
      </c>
      <c r="I58" s="2"/>
      <c r="J58" s="2">
        <v>43218</v>
      </c>
      <c r="K58" s="2">
        <v>45446</v>
      </c>
      <c r="L58" s="2" t="s">
        <v>26</v>
      </c>
      <c r="M58" s="2">
        <v>20.5</v>
      </c>
      <c r="N58" s="2"/>
      <c r="O58" s="2"/>
    </row>
    <row r="59" spans="1:15" ht="30.75">
      <c r="A59" s="7">
        <v>45707</v>
      </c>
      <c r="B59" s="8">
        <v>250</v>
      </c>
      <c r="C59" s="2" t="s">
        <v>32</v>
      </c>
      <c r="D59" s="7">
        <v>45686</v>
      </c>
      <c r="E59" s="2" t="s">
        <v>309</v>
      </c>
      <c r="F59" s="2" t="s">
        <v>24</v>
      </c>
      <c r="G59" s="2">
        <v>53</v>
      </c>
      <c r="H59" s="2">
        <v>31513</v>
      </c>
      <c r="I59" s="537"/>
      <c r="J59" s="2">
        <v>44422</v>
      </c>
      <c r="K59" s="537"/>
      <c r="L59" s="2" t="s">
        <v>26</v>
      </c>
      <c r="M59" s="2">
        <v>30.2</v>
      </c>
      <c r="N59" s="2"/>
      <c r="O59" s="2"/>
    </row>
    <row r="60" spans="1:15" ht="30.75">
      <c r="A60" s="7">
        <v>45826</v>
      </c>
      <c r="B60" s="8">
        <v>250</v>
      </c>
      <c r="C60" s="2" t="s">
        <v>34</v>
      </c>
      <c r="D60" s="7">
        <v>45716</v>
      </c>
      <c r="E60" s="2" t="s">
        <v>309</v>
      </c>
      <c r="F60" s="2" t="s">
        <v>24</v>
      </c>
      <c r="G60" s="2">
        <v>54</v>
      </c>
      <c r="H60" s="2">
        <v>32378</v>
      </c>
      <c r="I60" s="2"/>
      <c r="J60" s="2">
        <v>45469</v>
      </c>
      <c r="K60" s="2"/>
      <c r="L60" s="430" t="s">
        <v>26</v>
      </c>
      <c r="M60" s="2">
        <v>35.700000000000003</v>
      </c>
      <c r="N60" s="2"/>
      <c r="O60" s="2"/>
    </row>
    <row r="61" spans="1:15" ht="30.75">
      <c r="A61" s="7">
        <v>45750</v>
      </c>
      <c r="B61" s="8">
        <v>250</v>
      </c>
      <c r="C61" s="2" t="s">
        <v>38</v>
      </c>
      <c r="D61" s="7">
        <v>45744</v>
      </c>
      <c r="E61" s="2" t="s">
        <v>309</v>
      </c>
      <c r="F61" s="430" t="s">
        <v>24</v>
      </c>
      <c r="G61" s="2">
        <v>55</v>
      </c>
      <c r="H61" s="430">
        <v>33220</v>
      </c>
      <c r="I61" s="430"/>
      <c r="J61" s="430">
        <v>46576</v>
      </c>
      <c r="K61" s="430"/>
      <c r="L61" s="430" t="s">
        <v>26</v>
      </c>
      <c r="M61" s="2">
        <v>75.5</v>
      </c>
      <c r="N61" s="2"/>
      <c r="O61" s="2"/>
    </row>
    <row r="62" spans="1:15" ht="30.75">
      <c r="A62" s="7">
        <v>45826</v>
      </c>
      <c r="B62" s="565">
        <v>250</v>
      </c>
      <c r="C62" s="545" t="s">
        <v>41</v>
      </c>
      <c r="D62" s="548">
        <v>45776</v>
      </c>
      <c r="E62" s="545" t="s">
        <v>309</v>
      </c>
      <c r="F62" s="545" t="s">
        <v>24</v>
      </c>
      <c r="G62" s="545">
        <v>56</v>
      </c>
      <c r="H62" s="545">
        <v>34015</v>
      </c>
      <c r="I62" s="545"/>
      <c r="J62" s="545">
        <v>47625</v>
      </c>
      <c r="K62" s="545"/>
      <c r="L62" s="545" t="s">
        <v>26</v>
      </c>
      <c r="M62" s="2">
        <v>40</v>
      </c>
      <c r="N62" s="2"/>
      <c r="O62" s="2"/>
    </row>
    <row r="63" spans="1:15" ht="30.75">
      <c r="A63" s="7">
        <v>45887</v>
      </c>
      <c r="B63" s="565">
        <v>250</v>
      </c>
      <c r="C63" s="545" t="s">
        <v>44</v>
      </c>
      <c r="D63" s="548">
        <v>45805</v>
      </c>
      <c r="E63" s="545" t="s">
        <v>309</v>
      </c>
      <c r="F63" s="545" t="s">
        <v>24</v>
      </c>
      <c r="G63" s="545">
        <v>57</v>
      </c>
      <c r="H63" s="545">
        <v>34859</v>
      </c>
      <c r="I63" s="545"/>
      <c r="J63" s="545">
        <v>49989</v>
      </c>
      <c r="K63" s="545"/>
      <c r="L63" s="545" t="s">
        <v>26</v>
      </c>
      <c r="M63" s="2">
        <v>50</v>
      </c>
      <c r="N63" s="2"/>
      <c r="O63" s="2"/>
    </row>
    <row r="64" spans="1:15" ht="30.75">
      <c r="A64" s="7">
        <v>45934</v>
      </c>
      <c r="B64" s="565">
        <v>250</v>
      </c>
      <c r="C64" s="545" t="s">
        <v>57</v>
      </c>
      <c r="D64" s="548">
        <v>45836</v>
      </c>
      <c r="E64" s="545" t="s">
        <v>309</v>
      </c>
      <c r="F64" s="545" t="s">
        <v>24</v>
      </c>
      <c r="G64" s="545">
        <v>58</v>
      </c>
      <c r="H64" s="545">
        <v>35703</v>
      </c>
      <c r="I64" s="545"/>
      <c r="J64" s="545">
        <v>50004</v>
      </c>
      <c r="K64" s="545"/>
      <c r="L64" s="545" t="s">
        <v>192</v>
      </c>
      <c r="M64" s="2">
        <v>60.5</v>
      </c>
      <c r="N64" s="2"/>
      <c r="O64" s="2"/>
    </row>
    <row r="65" spans="1:15" ht="30.75">
      <c r="A65" s="7">
        <v>45934</v>
      </c>
      <c r="B65" s="565">
        <v>250</v>
      </c>
      <c r="C65" s="545" t="s">
        <v>47</v>
      </c>
      <c r="D65" s="548">
        <v>45864</v>
      </c>
      <c r="E65" s="545" t="s">
        <v>309</v>
      </c>
      <c r="F65" s="545" t="s">
        <v>24</v>
      </c>
      <c r="G65" s="545">
        <v>59</v>
      </c>
      <c r="H65" s="545">
        <v>36488</v>
      </c>
      <c r="I65" s="545"/>
      <c r="J65" s="545">
        <v>50005</v>
      </c>
      <c r="K65" s="545"/>
      <c r="L65" s="545" t="s">
        <v>192</v>
      </c>
      <c r="M65" s="2">
        <v>65</v>
      </c>
      <c r="N65" s="2"/>
      <c r="O65" s="2"/>
    </row>
    <row r="66" spans="1:15" ht="30.75">
      <c r="A66" s="7">
        <v>45948</v>
      </c>
      <c r="B66" s="565">
        <v>250</v>
      </c>
      <c r="C66" s="545" t="s">
        <v>50</v>
      </c>
      <c r="D66" s="7">
        <v>45897</v>
      </c>
      <c r="E66" s="545" t="s">
        <v>309</v>
      </c>
      <c r="F66" s="545" t="s">
        <v>24</v>
      </c>
      <c r="G66" s="2">
        <v>60</v>
      </c>
      <c r="H66" s="2">
        <v>37239</v>
      </c>
      <c r="I66" s="2"/>
      <c r="J66" s="2">
        <v>51335</v>
      </c>
      <c r="K66" s="2"/>
      <c r="L66" s="545" t="s">
        <v>192</v>
      </c>
      <c r="M66" s="2">
        <v>172</v>
      </c>
      <c r="N66" s="2"/>
      <c r="O66" s="2"/>
    </row>
    <row r="67" spans="1:15" ht="30.75">
      <c r="A67" s="7">
        <v>45974</v>
      </c>
      <c r="B67" s="565">
        <v>250</v>
      </c>
      <c r="C67" s="545" t="s">
        <v>22</v>
      </c>
      <c r="D67" s="7">
        <v>45929</v>
      </c>
      <c r="E67" s="2" t="s">
        <v>309</v>
      </c>
      <c r="F67" s="545" t="s">
        <v>24</v>
      </c>
      <c r="G67" s="2">
        <v>61</v>
      </c>
      <c r="H67" s="2">
        <v>38136</v>
      </c>
      <c r="I67" s="2"/>
      <c r="J67" s="2">
        <v>52120</v>
      </c>
      <c r="K67" s="2"/>
      <c r="L67" s="545" t="s">
        <v>192</v>
      </c>
      <c r="M67" s="2">
        <v>66.5</v>
      </c>
      <c r="N67" s="2"/>
      <c r="O67" s="2"/>
    </row>
    <row r="68" spans="1:15" ht="30.75">
      <c r="A68" s="7">
        <v>45987</v>
      </c>
      <c r="B68" s="565">
        <v>250</v>
      </c>
      <c r="C68" s="545" t="s">
        <v>54</v>
      </c>
      <c r="D68" s="7">
        <v>45960</v>
      </c>
      <c r="E68" s="2" t="s">
        <v>309</v>
      </c>
      <c r="F68" s="545" t="s">
        <v>24</v>
      </c>
      <c r="G68" s="2">
        <v>62</v>
      </c>
      <c r="H68" s="2">
        <v>39003</v>
      </c>
      <c r="I68" s="2"/>
      <c r="J68" s="2">
        <v>53321</v>
      </c>
      <c r="K68" s="2"/>
      <c r="L68" s="545" t="s">
        <v>192</v>
      </c>
      <c r="M68" s="2">
        <v>45.7</v>
      </c>
      <c r="N68" s="2"/>
      <c r="O68" s="2"/>
    </row>
    <row r="69" spans="1:15" ht="33.75" customHeight="1">
      <c r="A69" s="7">
        <v>45995</v>
      </c>
      <c r="B69" s="565">
        <v>250</v>
      </c>
      <c r="C69" s="545" t="s">
        <v>27</v>
      </c>
      <c r="D69" s="7">
        <v>45988</v>
      </c>
      <c r="E69" s="2" t="s">
        <v>309</v>
      </c>
      <c r="F69" s="545" t="s">
        <v>24</v>
      </c>
      <c r="G69" s="2">
        <v>63</v>
      </c>
      <c r="H69" s="2">
        <v>39835</v>
      </c>
      <c r="I69" s="2"/>
      <c r="J69" s="2">
        <v>54613</v>
      </c>
      <c r="K69" s="2"/>
      <c r="L69" s="545" t="s">
        <v>192</v>
      </c>
      <c r="M69" s="2">
        <v>48</v>
      </c>
      <c r="N69" s="2"/>
      <c r="O69" s="2"/>
    </row>
    <row r="70" spans="1:15" ht="33.75" customHeight="1">
      <c r="A70" s="7">
        <v>46030</v>
      </c>
      <c r="B70" s="565">
        <v>250</v>
      </c>
      <c r="C70" s="545" t="s">
        <v>30</v>
      </c>
      <c r="D70" s="7">
        <v>46018</v>
      </c>
      <c r="E70" s="2" t="s">
        <v>309</v>
      </c>
      <c r="F70" s="545" t="s">
        <v>24</v>
      </c>
      <c r="G70" s="2">
        <v>64</v>
      </c>
      <c r="H70" s="2">
        <v>40635</v>
      </c>
      <c r="I70" s="2"/>
      <c r="J70" s="2">
        <v>55638</v>
      </c>
      <c r="K70" s="2"/>
      <c r="L70" s="545" t="s">
        <v>192</v>
      </c>
      <c r="M70" s="2">
        <v>50.4</v>
      </c>
      <c r="N70" s="2"/>
      <c r="O70" s="2"/>
    </row>
    <row r="71" spans="1:15" ht="33.75" customHeight="1">
      <c r="A71" s="7">
        <v>46059</v>
      </c>
      <c r="B71" s="565">
        <v>250</v>
      </c>
      <c r="C71" s="545" t="s">
        <v>32</v>
      </c>
      <c r="D71" s="7">
        <v>46052</v>
      </c>
      <c r="E71" s="2" t="s">
        <v>309</v>
      </c>
      <c r="F71" s="545" t="s">
        <v>24</v>
      </c>
      <c r="G71" s="2">
        <v>65</v>
      </c>
      <c r="H71" s="2">
        <v>41596</v>
      </c>
      <c r="I71" s="2"/>
      <c r="J71" s="2">
        <v>56456</v>
      </c>
      <c r="K71" s="2"/>
      <c r="L71" s="545" t="s">
        <v>192</v>
      </c>
      <c r="M71" s="2" t="s">
        <v>310</v>
      </c>
      <c r="N71" s="2"/>
      <c r="O71" s="2"/>
    </row>
    <row r="72" spans="1:15" ht="33.75" customHeight="1">
      <c r="A72" s="7">
        <v>46086</v>
      </c>
      <c r="B72" s="8">
        <v>250</v>
      </c>
      <c r="C72" s="2" t="s">
        <v>34</v>
      </c>
      <c r="D72" s="7">
        <v>46081</v>
      </c>
      <c r="E72" s="2" t="s">
        <v>309</v>
      </c>
      <c r="F72" s="2" t="s">
        <v>24</v>
      </c>
      <c r="G72" s="2">
        <v>66</v>
      </c>
      <c r="H72" s="2">
        <v>42438</v>
      </c>
      <c r="I72" s="2"/>
      <c r="J72" s="2">
        <v>58369</v>
      </c>
      <c r="K72" s="2"/>
      <c r="L72" s="545" t="s">
        <v>192</v>
      </c>
      <c r="M72" s="2">
        <v>83</v>
      </c>
      <c r="N72" s="2"/>
      <c r="O72" s="2"/>
    </row>
    <row r="73" spans="1:15" ht="33.75" customHeight="1">
      <c r="A73" s="7">
        <v>46119</v>
      </c>
      <c r="B73" s="8">
        <v>250</v>
      </c>
      <c r="C73" s="2" t="s">
        <v>38</v>
      </c>
      <c r="D73" s="7">
        <v>46112</v>
      </c>
      <c r="E73" s="2" t="s">
        <v>309</v>
      </c>
      <c r="F73" s="2" t="s">
        <v>24</v>
      </c>
      <c r="G73" s="2">
        <v>67</v>
      </c>
      <c r="H73" s="2">
        <v>43279</v>
      </c>
      <c r="I73" s="2"/>
      <c r="J73" s="2">
        <v>59599</v>
      </c>
      <c r="K73" s="2"/>
      <c r="L73" s="2" t="s">
        <v>192</v>
      </c>
      <c r="M73" s="2">
        <v>48</v>
      </c>
      <c r="N73" s="2"/>
      <c r="O73" s="2"/>
    </row>
    <row r="74" spans="1:15" ht="33.75" customHeight="1">
      <c r="A74" s="7">
        <v>46071</v>
      </c>
      <c r="B74" s="8">
        <v>250</v>
      </c>
      <c r="C74" s="2" t="s">
        <v>41</v>
      </c>
      <c r="D74" s="7">
        <v>46142</v>
      </c>
      <c r="E74" s="2" t="s">
        <v>309</v>
      </c>
      <c r="F74" s="2" t="s">
        <v>24</v>
      </c>
      <c r="G74" s="2">
        <v>68</v>
      </c>
      <c r="H74" s="2">
        <v>43904</v>
      </c>
      <c r="I74" s="2"/>
      <c r="J74" s="2">
        <v>60967</v>
      </c>
      <c r="K74" s="2"/>
      <c r="L74" t="s">
        <v>192</v>
      </c>
      <c r="M74" s="2">
        <v>75.5</v>
      </c>
      <c r="N74" s="2"/>
      <c r="O74" s="2"/>
    </row>
    <row r="75" spans="1:15" ht="33.75" customHeight="1">
      <c r="A75" s="2"/>
      <c r="B75" s="8"/>
      <c r="C75" s="2"/>
      <c r="D75" s="7">
        <v>46170</v>
      </c>
      <c r="E75" s="2" t="s">
        <v>309</v>
      </c>
      <c r="F75" s="2"/>
      <c r="G75" s="2">
        <v>69</v>
      </c>
      <c r="H75" s="2"/>
      <c r="I75" s="2"/>
      <c r="J75" s="2">
        <v>62070</v>
      </c>
      <c r="K75" s="2"/>
      <c r="L75" s="2"/>
      <c r="M75" s="2">
        <v>70</v>
      </c>
      <c r="N75" s="2"/>
      <c r="O75" s="2"/>
    </row>
    <row r="76" spans="1:15" ht="33.75" customHeight="1">
      <c r="A76" s="2"/>
      <c r="B76" s="8"/>
      <c r="C76" s="2"/>
      <c r="D76" s="2"/>
      <c r="E76" s="2" t="s">
        <v>309</v>
      </c>
      <c r="F76" s="2"/>
      <c r="G76" s="2">
        <v>70</v>
      </c>
      <c r="H76" s="2"/>
      <c r="I76" s="2"/>
      <c r="J76" s="2"/>
      <c r="K76" s="2"/>
      <c r="L76" s="2"/>
      <c r="M76" s="2"/>
      <c r="N76" s="2"/>
      <c r="O76" s="2"/>
    </row>
    <row r="77" spans="1:15" ht="33.75" customHeight="1">
      <c r="A77" s="2"/>
      <c r="B77" s="8"/>
      <c r="C77" s="2"/>
      <c r="D77" s="2"/>
      <c r="E77" s="2" t="s">
        <v>309</v>
      </c>
      <c r="F77" s="2"/>
      <c r="G77" s="2">
        <v>71</v>
      </c>
      <c r="H77" s="2"/>
      <c r="I77" s="2"/>
      <c r="J77" s="2"/>
      <c r="K77" s="2"/>
      <c r="L77" s="2"/>
      <c r="M77" s="2"/>
      <c r="N77" s="2"/>
      <c r="O77" s="2"/>
    </row>
    <row r="78" spans="1:15" ht="33.75" customHeight="1">
      <c r="A78" s="2"/>
      <c r="B78" s="8"/>
      <c r="C78" s="2"/>
      <c r="D78" s="2"/>
      <c r="E78" s="2" t="s">
        <v>309</v>
      </c>
      <c r="F78" s="2"/>
      <c r="G78" s="2">
        <v>72</v>
      </c>
      <c r="H78" s="2"/>
      <c r="I78" s="2"/>
      <c r="J78" s="2"/>
      <c r="K78" s="2"/>
      <c r="L78" s="2"/>
      <c r="M78" s="2"/>
      <c r="N78" s="2"/>
      <c r="O78" s="2"/>
    </row>
    <row r="79" spans="1:15" ht="33.75" customHeight="1">
      <c r="A79" s="2"/>
      <c r="B79" s="8"/>
      <c r="C79" s="2"/>
      <c r="D79" s="2"/>
      <c r="E79" s="2" t="s">
        <v>309</v>
      </c>
      <c r="F79" s="2"/>
      <c r="G79" s="2">
        <v>73</v>
      </c>
      <c r="H79" s="2"/>
      <c r="I79" s="2"/>
      <c r="J79" s="2"/>
      <c r="K79" s="2"/>
      <c r="L79" s="2"/>
      <c r="M79" s="2"/>
      <c r="N79" s="2"/>
      <c r="O79" s="2"/>
    </row>
    <row r="80" spans="1:15" ht="33.75" customHeight="1">
      <c r="A80" s="2"/>
      <c r="B80" s="8"/>
      <c r="C80" s="2"/>
      <c r="D80" s="2"/>
      <c r="E80" s="2" t="s">
        <v>309</v>
      </c>
      <c r="F80" s="2"/>
      <c r="G80" s="2">
        <v>74</v>
      </c>
      <c r="H80" s="2"/>
      <c r="I80" s="2"/>
      <c r="J80" s="2"/>
      <c r="K80" s="2"/>
      <c r="L80" s="2"/>
      <c r="M80" s="2"/>
      <c r="N80" s="2"/>
      <c r="O80" s="2"/>
    </row>
    <row r="81" spans="1:15" ht="33.75" customHeight="1">
      <c r="A81" s="2"/>
      <c r="B81" s="8"/>
      <c r="C81" s="2"/>
      <c r="D81" s="2"/>
      <c r="E81" s="2" t="s">
        <v>309</v>
      </c>
      <c r="F81" s="2"/>
      <c r="G81" s="2">
        <v>75</v>
      </c>
      <c r="H81" s="2"/>
      <c r="I81" s="2"/>
      <c r="J81" s="2"/>
      <c r="K81" s="2"/>
      <c r="L81" s="2"/>
      <c r="M81" s="2"/>
      <c r="N81" s="2"/>
      <c r="O81" s="2"/>
    </row>
    <row r="82" spans="1:15" ht="33.75" customHeight="1">
      <c r="A82" s="2"/>
      <c r="B82" s="8"/>
      <c r="C82" s="2"/>
      <c r="D82" s="2"/>
      <c r="E82" s="2" t="s">
        <v>309</v>
      </c>
      <c r="F82" s="2"/>
      <c r="G82" s="2">
        <v>76</v>
      </c>
      <c r="H82" s="2"/>
      <c r="I82" s="2"/>
      <c r="J82" s="2"/>
      <c r="K82" s="2"/>
      <c r="L82" s="2"/>
      <c r="M82" s="2"/>
      <c r="N82" s="2"/>
      <c r="O82" s="2"/>
    </row>
    <row r="83" spans="1:15" ht="33.75" customHeight="1">
      <c r="A83" s="2"/>
      <c r="B83" s="8"/>
      <c r="C83" s="2"/>
      <c r="D83" s="2"/>
      <c r="E83" s="2" t="s">
        <v>309</v>
      </c>
      <c r="F83" s="2"/>
      <c r="G83" s="2">
        <v>77</v>
      </c>
      <c r="H83" s="2"/>
      <c r="I83" s="2"/>
      <c r="J83" s="2"/>
      <c r="K83" s="2"/>
      <c r="L83" s="2"/>
      <c r="M83" s="2"/>
      <c r="N83" s="2"/>
      <c r="O83" s="2"/>
    </row>
    <row r="84" spans="1:15" ht="33.75" customHeight="1">
      <c r="A84" s="2"/>
      <c r="B84" s="8"/>
      <c r="C84" s="2"/>
      <c r="D84" s="2"/>
      <c r="E84" s="2" t="s">
        <v>309</v>
      </c>
      <c r="F84" s="2"/>
      <c r="G84" s="2">
        <v>78</v>
      </c>
      <c r="H84" s="2"/>
      <c r="I84" s="2"/>
      <c r="J84" s="2"/>
      <c r="K84" s="2"/>
      <c r="L84" s="2"/>
      <c r="M84" s="2"/>
      <c r="N84" s="2"/>
      <c r="O84" s="2"/>
    </row>
    <row r="85" spans="1:15" ht="33.75" customHeight="1">
      <c r="A85" s="2"/>
      <c r="B85" s="8"/>
      <c r="C85" s="2"/>
      <c r="D85" s="2"/>
      <c r="E85" s="2" t="s">
        <v>309</v>
      </c>
      <c r="F85" s="2"/>
      <c r="G85" s="2">
        <v>79</v>
      </c>
      <c r="H85" s="2"/>
      <c r="I85" s="2"/>
      <c r="J85" s="2"/>
      <c r="K85" s="2"/>
      <c r="L85" s="2"/>
      <c r="M85" s="2"/>
      <c r="N85" s="2"/>
      <c r="O85" s="2"/>
    </row>
    <row r="86" spans="1:15" ht="33.75" customHeight="1">
      <c r="A86" s="2"/>
      <c r="B86" s="8"/>
      <c r="C86" s="2"/>
      <c r="D86" s="2"/>
      <c r="E86" s="2" t="s">
        <v>309</v>
      </c>
      <c r="F86" s="2"/>
      <c r="G86" s="2">
        <v>80</v>
      </c>
      <c r="H86" s="2"/>
      <c r="I86" s="2"/>
      <c r="J86" s="2"/>
      <c r="K86" s="2"/>
      <c r="L86" s="2"/>
      <c r="M86" s="2"/>
      <c r="N86" s="2"/>
      <c r="O86" s="2"/>
    </row>
    <row r="87" spans="1:15" ht="33.75" customHeight="1">
      <c r="A87" s="2"/>
      <c r="B87" s="8"/>
      <c r="C87" s="2"/>
      <c r="D87" s="2"/>
      <c r="E87" s="2" t="s">
        <v>309</v>
      </c>
      <c r="F87" s="2"/>
      <c r="G87" s="2">
        <v>81</v>
      </c>
      <c r="H87" s="2"/>
      <c r="I87" s="2"/>
      <c r="J87" s="2"/>
      <c r="K87" s="2"/>
      <c r="L87" s="2"/>
      <c r="M87" s="2"/>
      <c r="N87" s="2"/>
      <c r="O87" s="2"/>
    </row>
    <row r="88" spans="1:15" ht="33.75" customHeight="1">
      <c r="A88" s="2"/>
      <c r="B88" s="8"/>
      <c r="C88" s="2"/>
      <c r="D88" s="2"/>
      <c r="E88" s="2" t="s">
        <v>309</v>
      </c>
      <c r="F88" s="2"/>
      <c r="G88" s="2">
        <v>82</v>
      </c>
      <c r="H88" s="2"/>
      <c r="I88" s="2"/>
      <c r="J88" s="2"/>
      <c r="K88" s="2"/>
      <c r="L88" s="2"/>
      <c r="M88" s="2"/>
      <c r="N88" s="2"/>
      <c r="O88" s="2"/>
    </row>
    <row r="89" spans="1:15" ht="33.75" customHeight="1">
      <c r="B89" s="8"/>
    </row>
    <row r="90" spans="1:15" ht="33.75" customHeight="1">
      <c r="B90" s="8"/>
    </row>
    <row r="91" spans="1:15" ht="33.75" customHeight="1">
      <c r="B91" s="8"/>
    </row>
    <row r="92" spans="1:15" ht="33.75" customHeight="1">
      <c r="B92" s="8"/>
    </row>
    <row r="93" spans="1:15" ht="33.75" customHeight="1">
      <c r="B93" s="8"/>
    </row>
    <row r="94" spans="1:15" ht="33.75" customHeight="1">
      <c r="B94" s="8"/>
    </row>
    <row r="95" spans="1:15" ht="33.75" customHeight="1"/>
    <row r="96" spans="1:15" ht="33.75" customHeight="1"/>
    <row r="97" ht="33.75" customHeight="1"/>
    <row r="98" ht="33.75" customHeight="1"/>
    <row r="99" ht="33.75" customHeight="1"/>
    <row r="100" ht="33.75" customHeight="1"/>
    <row r="101" ht="33.75" customHeight="1"/>
    <row r="102" ht="33.75" customHeight="1"/>
    <row r="103" ht="33.75" customHeight="1"/>
    <row r="104" ht="33.75" customHeight="1"/>
    <row r="105" ht="33.75" customHeight="1"/>
  </sheetData>
  <mergeCells count="8">
    <mergeCell ref="N4:R4"/>
    <mergeCell ref="A1:I1"/>
    <mergeCell ref="B2:C2"/>
    <mergeCell ref="H4:J4"/>
    <mergeCell ref="D5:E5"/>
    <mergeCell ref="B4:E4"/>
    <mergeCell ref="E2:H2"/>
    <mergeCell ref="J2:N2"/>
  </mergeCells>
  <dataValidations count="2">
    <dataValidation type="list" allowBlank="1" showInputMessage="1" showErrorMessage="1" sqref="C7:C60" xr:uid="{00000000-0002-0000-0400-000000000000}">
      <formula1>"ENERO,FEBRERO,MARZO,ABRIL,MAYO,JUNIO,JULIO,AGOSTO,SEPTIEMBRE,OCTUBRE,NOVIEMBRE,DICIEMBRE"</formula1>
    </dataValidation>
    <dataValidation type="list" allowBlank="1" showInputMessage="1" showErrorMessage="1" sqref="F7:F60 F62:F74" xr:uid="{00000000-0002-0000-0400-000001000000}">
      <formula1>"EFECTIVO, CHEQUE, TRANSFERENCIA,DEPOSITO"</formula1>
    </dataValidation>
  </dataValidations>
  <hyperlinks>
    <hyperlink ref="E2" r:id="rId1" xr:uid="{00000000-0004-0000-0400-000000000000}"/>
    <hyperlink ref="J2:N2" r:id="rId2" display="admision1.chincha@famisalud.com.pe" xr:uid="{B1BF992A-C798-4DF1-8C64-55BE9ED70908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81FC-AE63-4801-8946-B435EE4C3454}">
  <dimension ref="A1:O96"/>
  <sheetViews>
    <sheetView workbookViewId="0">
      <selection activeCell="B3" sqref="B3"/>
    </sheetView>
  </sheetViews>
  <sheetFormatPr defaultColWidth="11.42578125" defaultRowHeight="15"/>
  <cols>
    <col min="2" max="2" width="15.28515625" bestFit="1" customWidth="1"/>
    <col min="13" max="13" width="16.140625" customWidth="1"/>
  </cols>
  <sheetData>
    <row r="1" spans="1:14" ht="23.25">
      <c r="A1" s="664" t="s">
        <v>276</v>
      </c>
      <c r="B1" s="664"/>
      <c r="C1" s="664"/>
      <c r="D1" s="664"/>
      <c r="E1" s="664"/>
      <c r="F1" s="664"/>
      <c r="G1" s="664"/>
      <c r="H1" s="664"/>
      <c r="I1" s="664"/>
    </row>
    <row r="2" spans="1:14" ht="45" customHeight="1">
      <c r="A2" s="2" t="s">
        <v>247</v>
      </c>
      <c r="B2" s="638" t="s">
        <v>311</v>
      </c>
      <c r="C2" s="638"/>
      <c r="F2" s="639" t="s">
        <v>312</v>
      </c>
      <c r="G2" s="639"/>
      <c r="H2" s="639"/>
      <c r="I2" s="639"/>
      <c r="M2" s="410" t="s">
        <v>313</v>
      </c>
    </row>
    <row r="3" spans="1:14">
      <c r="A3" s="2" t="s">
        <v>1</v>
      </c>
      <c r="B3" s="3">
        <v>20508181796</v>
      </c>
    </row>
    <row r="4" spans="1:14" ht="46.5" customHeight="1">
      <c r="A4" s="4" t="s">
        <v>2</v>
      </c>
      <c r="B4" s="662" t="s">
        <v>314</v>
      </c>
      <c r="C4" s="662"/>
      <c r="D4" s="662"/>
      <c r="E4" s="662"/>
      <c r="H4" s="664" t="s">
        <v>315</v>
      </c>
      <c r="I4" s="664"/>
      <c r="J4" s="664"/>
      <c r="K4" s="664"/>
      <c r="L4" s="664"/>
      <c r="M4" s="664"/>
    </row>
    <row r="5" spans="1:14" ht="46.5" customHeight="1">
      <c r="A5" s="22" t="s">
        <v>4</v>
      </c>
      <c r="B5" s="23">
        <v>45127</v>
      </c>
      <c r="D5" s="665" t="s">
        <v>316</v>
      </c>
      <c r="E5" s="665"/>
      <c r="F5" s="6"/>
      <c r="G5" s="6"/>
      <c r="H5" s="664"/>
      <c r="I5" s="664"/>
      <c r="J5" s="664"/>
      <c r="K5" s="664"/>
      <c r="L5" s="664"/>
      <c r="M5" s="664"/>
    </row>
    <row r="6" spans="1:14" ht="57">
      <c r="A6" s="25" t="s">
        <v>7</v>
      </c>
      <c r="B6" s="25" t="s">
        <v>8</v>
      </c>
      <c r="C6" s="25" t="s">
        <v>9</v>
      </c>
      <c r="D6" s="25" t="s">
        <v>10</v>
      </c>
      <c r="E6" s="25" t="s">
        <v>11</v>
      </c>
      <c r="F6" s="25" t="s">
        <v>12</v>
      </c>
      <c r="G6" s="25" t="s">
        <v>13</v>
      </c>
      <c r="H6" s="25" t="s">
        <v>14</v>
      </c>
      <c r="I6" s="25" t="s">
        <v>15</v>
      </c>
      <c r="J6" s="25" t="s">
        <v>16</v>
      </c>
      <c r="K6" s="25" t="s">
        <v>19</v>
      </c>
      <c r="L6" s="25" t="s">
        <v>18</v>
      </c>
      <c r="M6" s="25" t="s">
        <v>283</v>
      </c>
      <c r="N6" s="332" t="s">
        <v>99</v>
      </c>
    </row>
    <row r="7" spans="1:14" ht="30.75">
      <c r="A7" s="7">
        <v>44072</v>
      </c>
      <c r="B7" s="8">
        <v>180</v>
      </c>
      <c r="C7" s="2" t="s">
        <v>50</v>
      </c>
      <c r="D7" s="7">
        <v>44072</v>
      </c>
      <c r="E7" s="2" t="s">
        <v>23</v>
      </c>
      <c r="F7" s="2" t="s">
        <v>28</v>
      </c>
      <c r="G7" s="2">
        <v>1</v>
      </c>
      <c r="H7" s="2">
        <v>740</v>
      </c>
      <c r="I7" s="9"/>
      <c r="J7" s="9" t="s">
        <v>317</v>
      </c>
      <c r="K7" s="9"/>
      <c r="L7" s="2" t="s">
        <v>318</v>
      </c>
      <c r="M7" s="2"/>
      <c r="N7" s="2"/>
    </row>
    <row r="8" spans="1:14" ht="30.75">
      <c r="A8" s="7">
        <v>44103</v>
      </c>
      <c r="B8" s="8">
        <v>180</v>
      </c>
      <c r="C8" s="2" t="s">
        <v>22</v>
      </c>
      <c r="D8" s="7">
        <v>44103</v>
      </c>
      <c r="E8" s="2" t="s">
        <v>23</v>
      </c>
      <c r="F8" s="2" t="s">
        <v>28</v>
      </c>
      <c r="G8" s="2">
        <v>2</v>
      </c>
      <c r="H8" s="2">
        <v>901</v>
      </c>
      <c r="I8" s="9"/>
      <c r="J8" s="9" t="s">
        <v>319</v>
      </c>
      <c r="K8" s="9"/>
      <c r="L8" s="2" t="s">
        <v>318</v>
      </c>
      <c r="M8" s="2">
        <v>70</v>
      </c>
      <c r="N8" s="2"/>
    </row>
    <row r="9" spans="1:14" ht="30.75">
      <c r="A9" s="7">
        <v>44135</v>
      </c>
      <c r="B9" s="8">
        <v>180</v>
      </c>
      <c r="C9" s="2" t="s">
        <v>54</v>
      </c>
      <c r="D9" s="7">
        <v>44135</v>
      </c>
      <c r="E9" s="2" t="s">
        <v>23</v>
      </c>
      <c r="F9" s="2" t="s">
        <v>28</v>
      </c>
      <c r="G9" s="2">
        <v>3</v>
      </c>
      <c r="H9" s="2">
        <v>1120</v>
      </c>
      <c r="I9" s="9"/>
      <c r="J9" s="9" t="s">
        <v>320</v>
      </c>
      <c r="K9" s="9"/>
      <c r="L9" s="2" t="s">
        <v>318</v>
      </c>
      <c r="M9" s="2">
        <v>55</v>
      </c>
      <c r="N9" s="2"/>
    </row>
    <row r="10" spans="1:14" ht="30.75">
      <c r="A10" s="7">
        <v>44163</v>
      </c>
      <c r="B10" s="8">
        <v>250</v>
      </c>
      <c r="C10" s="2" t="s">
        <v>27</v>
      </c>
      <c r="D10" s="7">
        <v>44163</v>
      </c>
      <c r="E10" s="2" t="s">
        <v>23</v>
      </c>
      <c r="F10" s="2" t="s">
        <v>28</v>
      </c>
      <c r="G10" s="2">
        <v>4</v>
      </c>
      <c r="H10" s="2">
        <v>1293</v>
      </c>
      <c r="I10" s="9"/>
      <c r="J10" s="9" t="s">
        <v>321</v>
      </c>
      <c r="K10" s="9"/>
      <c r="L10" s="2" t="s">
        <v>318</v>
      </c>
      <c r="M10" s="2">
        <v>43</v>
      </c>
      <c r="N10" s="2"/>
    </row>
    <row r="11" spans="1:14" ht="30.75">
      <c r="A11" s="7">
        <v>44226</v>
      </c>
      <c r="B11" s="8">
        <v>250</v>
      </c>
      <c r="C11" s="2" t="s">
        <v>32</v>
      </c>
      <c r="D11" s="7">
        <v>44226</v>
      </c>
      <c r="E11" s="2" t="s">
        <v>23</v>
      </c>
      <c r="F11" s="2" t="s">
        <v>28</v>
      </c>
      <c r="G11" s="2">
        <v>5</v>
      </c>
      <c r="H11" s="2">
        <v>1770</v>
      </c>
      <c r="I11" s="9"/>
      <c r="J11" s="9" t="s">
        <v>322</v>
      </c>
      <c r="K11" s="9"/>
      <c r="L11" s="2" t="s">
        <v>318</v>
      </c>
      <c r="M11" s="2">
        <v>90</v>
      </c>
      <c r="N11" s="2"/>
    </row>
    <row r="12" spans="1:14" ht="30.75">
      <c r="A12" s="7">
        <v>44254</v>
      </c>
      <c r="B12" s="8">
        <v>250</v>
      </c>
      <c r="C12" s="2" t="s">
        <v>34</v>
      </c>
      <c r="D12" s="7">
        <v>44254</v>
      </c>
      <c r="E12" s="2" t="s">
        <v>23</v>
      </c>
      <c r="F12" s="2" t="s">
        <v>28</v>
      </c>
      <c r="G12" s="2">
        <v>6</v>
      </c>
      <c r="H12" s="2">
        <v>2016</v>
      </c>
      <c r="I12" s="9"/>
      <c r="J12" s="9" t="s">
        <v>323</v>
      </c>
      <c r="K12" s="9"/>
      <c r="L12" s="2" t="s">
        <v>318</v>
      </c>
      <c r="M12" s="2">
        <v>120</v>
      </c>
      <c r="N12" s="2"/>
    </row>
    <row r="13" spans="1:14" ht="30.75">
      <c r="A13" s="7">
        <v>44282</v>
      </c>
      <c r="B13" s="8">
        <v>250</v>
      </c>
      <c r="C13" s="2" t="s">
        <v>38</v>
      </c>
      <c r="D13" s="7">
        <v>44282</v>
      </c>
      <c r="E13" s="2" t="s">
        <v>23</v>
      </c>
      <c r="F13" s="2" t="s">
        <v>28</v>
      </c>
      <c r="G13" s="2">
        <v>7</v>
      </c>
      <c r="H13" s="9" t="s">
        <v>290</v>
      </c>
      <c r="I13" s="9"/>
      <c r="J13" s="9" t="s">
        <v>324</v>
      </c>
      <c r="K13" s="9"/>
      <c r="L13" s="2" t="s">
        <v>318</v>
      </c>
      <c r="M13" s="2">
        <v>60</v>
      </c>
      <c r="N13" s="2"/>
    </row>
    <row r="14" spans="1:14" ht="30.75">
      <c r="A14" s="7">
        <v>44315</v>
      </c>
      <c r="B14" s="8">
        <v>250</v>
      </c>
      <c r="C14" s="2" t="s">
        <v>41</v>
      </c>
      <c r="D14" s="7">
        <v>44315</v>
      </c>
      <c r="E14" s="2" t="s">
        <v>23</v>
      </c>
      <c r="F14" s="2" t="s">
        <v>28</v>
      </c>
      <c r="G14" s="2">
        <v>8</v>
      </c>
      <c r="H14" s="9" t="s">
        <v>292</v>
      </c>
      <c r="I14" s="9"/>
      <c r="J14" s="9" t="s">
        <v>325</v>
      </c>
      <c r="K14" s="9"/>
      <c r="L14" s="2" t="s">
        <v>318</v>
      </c>
      <c r="M14" s="2">
        <v>120</v>
      </c>
      <c r="N14" s="2"/>
    </row>
    <row r="15" spans="1:14" ht="30.75">
      <c r="A15" s="7">
        <v>44345</v>
      </c>
      <c r="B15" s="8">
        <v>250</v>
      </c>
      <c r="C15" s="2" t="s">
        <v>44</v>
      </c>
      <c r="D15" s="7">
        <v>44345</v>
      </c>
      <c r="E15" s="2" t="s">
        <v>23</v>
      </c>
      <c r="F15" s="2" t="s">
        <v>28</v>
      </c>
      <c r="G15" s="2">
        <v>9</v>
      </c>
      <c r="H15" s="9" t="s">
        <v>294</v>
      </c>
      <c r="I15" s="9"/>
      <c r="J15" s="9" t="s">
        <v>326</v>
      </c>
      <c r="K15" s="9"/>
      <c r="L15" s="2" t="s">
        <v>318</v>
      </c>
      <c r="M15" s="2">
        <v>80</v>
      </c>
      <c r="N15" s="2"/>
    </row>
    <row r="16" spans="1:14" ht="30.75">
      <c r="A16" s="7">
        <v>44408</v>
      </c>
      <c r="B16" s="8">
        <v>250</v>
      </c>
      <c r="C16" s="2" t="s">
        <v>47</v>
      </c>
      <c r="D16" s="7">
        <v>44408</v>
      </c>
      <c r="E16" s="2" t="s">
        <v>23</v>
      </c>
      <c r="F16" s="2" t="s">
        <v>28</v>
      </c>
      <c r="G16" s="2">
        <v>10</v>
      </c>
      <c r="H16" s="9" t="s">
        <v>296</v>
      </c>
      <c r="I16" s="9"/>
      <c r="J16" s="9" t="s">
        <v>327</v>
      </c>
      <c r="K16" s="9"/>
      <c r="L16" s="2" t="s">
        <v>318</v>
      </c>
      <c r="M16" s="2">
        <v>68</v>
      </c>
      <c r="N16" s="2"/>
    </row>
    <row r="17" spans="1:14" ht="30.75">
      <c r="A17" s="7">
        <v>44436</v>
      </c>
      <c r="B17" s="8">
        <v>250</v>
      </c>
      <c r="C17" s="2" t="s">
        <v>50</v>
      </c>
      <c r="D17" s="7">
        <v>44436</v>
      </c>
      <c r="E17" s="2" t="s">
        <v>23</v>
      </c>
      <c r="F17" s="2" t="s">
        <v>28</v>
      </c>
      <c r="G17" s="2">
        <v>11</v>
      </c>
      <c r="H17" s="9" t="s">
        <v>298</v>
      </c>
      <c r="I17" s="9"/>
      <c r="J17" s="9" t="s">
        <v>328</v>
      </c>
      <c r="K17" s="9"/>
      <c r="L17" s="2" t="s">
        <v>318</v>
      </c>
      <c r="M17" s="2">
        <v>60</v>
      </c>
      <c r="N17" s="2"/>
    </row>
    <row r="18" spans="1:14" ht="30.75">
      <c r="A18" s="7">
        <v>44469</v>
      </c>
      <c r="B18" s="8">
        <v>250</v>
      </c>
      <c r="C18" s="2" t="s">
        <v>22</v>
      </c>
      <c r="D18" s="2"/>
      <c r="E18" s="2" t="s">
        <v>23</v>
      </c>
      <c r="F18" s="2" t="s">
        <v>28</v>
      </c>
      <c r="G18" s="2">
        <v>12</v>
      </c>
      <c r="H18" s="9" t="s">
        <v>300</v>
      </c>
      <c r="I18" s="9"/>
      <c r="J18" s="9"/>
      <c r="K18" s="9"/>
      <c r="L18" s="2" t="s">
        <v>318</v>
      </c>
      <c r="M18" s="2">
        <v>54</v>
      </c>
      <c r="N18" s="2"/>
    </row>
    <row r="19" spans="1:14" ht="30.75">
      <c r="A19" s="7">
        <v>44499</v>
      </c>
      <c r="B19" s="8">
        <v>250</v>
      </c>
      <c r="C19" s="2" t="s">
        <v>54</v>
      </c>
      <c r="D19" s="7">
        <v>44499</v>
      </c>
      <c r="E19" s="2" t="s">
        <v>23</v>
      </c>
      <c r="F19" s="2" t="s">
        <v>28</v>
      </c>
      <c r="G19" s="2">
        <v>13</v>
      </c>
      <c r="H19" s="2">
        <v>3349</v>
      </c>
      <c r="I19" s="2"/>
      <c r="J19" s="2">
        <v>7094</v>
      </c>
      <c r="K19" s="2"/>
      <c r="L19" s="2" t="s">
        <v>318</v>
      </c>
      <c r="M19" s="2">
        <v>60</v>
      </c>
      <c r="N19" s="2"/>
    </row>
    <row r="20" spans="1:14" ht="30.75">
      <c r="A20" s="7">
        <v>44530</v>
      </c>
      <c r="B20" s="8">
        <v>250</v>
      </c>
      <c r="C20" s="2" t="s">
        <v>27</v>
      </c>
      <c r="D20" s="7">
        <v>44530</v>
      </c>
      <c r="E20" s="2" t="s">
        <v>23</v>
      </c>
      <c r="F20" s="2" t="s">
        <v>28</v>
      </c>
      <c r="G20" s="2">
        <v>14</v>
      </c>
      <c r="H20" s="2">
        <v>3938</v>
      </c>
      <c r="I20" s="2"/>
      <c r="J20" s="2">
        <v>7961</v>
      </c>
      <c r="K20" s="2"/>
      <c r="L20" s="2" t="s">
        <v>329</v>
      </c>
      <c r="M20" s="2">
        <v>110</v>
      </c>
      <c r="N20" s="2"/>
    </row>
    <row r="21" spans="1:14" ht="30.75">
      <c r="A21" s="7">
        <v>44558</v>
      </c>
      <c r="B21" s="8">
        <v>250</v>
      </c>
      <c r="C21" s="2" t="s">
        <v>30</v>
      </c>
      <c r="D21" s="7">
        <v>44558</v>
      </c>
      <c r="E21" s="2" t="s">
        <v>23</v>
      </c>
      <c r="F21" s="2" t="s">
        <v>28</v>
      </c>
      <c r="G21" s="2">
        <v>15</v>
      </c>
      <c r="H21" s="2">
        <v>4496</v>
      </c>
      <c r="I21" s="2"/>
      <c r="J21" s="2">
        <v>8681</v>
      </c>
      <c r="K21" s="2"/>
      <c r="L21" s="2" t="s">
        <v>329</v>
      </c>
      <c r="M21" s="2">
        <v>32</v>
      </c>
      <c r="N21" s="2"/>
    </row>
    <row r="22" spans="1:14" ht="30.75">
      <c r="A22" s="7">
        <v>44592</v>
      </c>
      <c r="B22" s="8">
        <v>250</v>
      </c>
      <c r="C22" s="2" t="s">
        <v>32</v>
      </c>
      <c r="D22" s="7">
        <v>44592</v>
      </c>
      <c r="E22" s="2" t="s">
        <v>23</v>
      </c>
      <c r="F22" s="2" t="s">
        <v>28</v>
      </c>
      <c r="G22" s="2">
        <v>16</v>
      </c>
      <c r="H22" s="2">
        <v>4864</v>
      </c>
      <c r="I22" s="2"/>
      <c r="J22" s="2">
        <v>9908</v>
      </c>
      <c r="K22" s="2"/>
      <c r="L22" s="2" t="s">
        <v>318</v>
      </c>
      <c r="M22" s="2">
        <v>63</v>
      </c>
      <c r="N22" s="2"/>
    </row>
    <row r="23" spans="1:14" ht="30.75">
      <c r="A23" s="7">
        <v>44622</v>
      </c>
      <c r="B23" s="8">
        <v>250</v>
      </c>
      <c r="C23" s="2" t="s">
        <v>38</v>
      </c>
      <c r="D23" s="7">
        <v>44622</v>
      </c>
      <c r="E23" s="2" t="s">
        <v>23</v>
      </c>
      <c r="F23" s="2" t="s">
        <v>28</v>
      </c>
      <c r="G23" s="2">
        <v>17</v>
      </c>
      <c r="H23" s="2">
        <v>5594</v>
      </c>
      <c r="I23" s="2"/>
      <c r="J23" s="2">
        <v>11177</v>
      </c>
      <c r="K23" s="2"/>
      <c r="L23" s="2" t="s">
        <v>318</v>
      </c>
      <c r="M23" s="2">
        <v>136</v>
      </c>
      <c r="N23" s="2" t="s">
        <v>330</v>
      </c>
    </row>
    <row r="24" spans="1:14" ht="30.75">
      <c r="A24" s="7">
        <v>44650</v>
      </c>
      <c r="B24" s="8">
        <v>250</v>
      </c>
      <c r="C24" s="2" t="s">
        <v>38</v>
      </c>
      <c r="D24" s="7">
        <v>44650</v>
      </c>
      <c r="E24" s="2" t="s">
        <v>23</v>
      </c>
      <c r="F24" s="2" t="s">
        <v>28</v>
      </c>
      <c r="G24" s="2">
        <v>18</v>
      </c>
      <c r="H24" s="2">
        <v>6380</v>
      </c>
      <c r="I24" s="2"/>
      <c r="J24" s="2">
        <v>12003</v>
      </c>
      <c r="K24" s="2"/>
      <c r="L24" s="2" t="s">
        <v>318</v>
      </c>
      <c r="M24" s="2">
        <v>66</v>
      </c>
      <c r="N24" s="2"/>
    </row>
    <row r="25" spans="1:14" ht="30.75">
      <c r="A25" s="7">
        <v>44681</v>
      </c>
      <c r="B25" s="8">
        <v>250</v>
      </c>
      <c r="C25" s="2" t="s">
        <v>41</v>
      </c>
      <c r="D25" s="7">
        <v>44681</v>
      </c>
      <c r="E25" s="2" t="s">
        <v>23</v>
      </c>
      <c r="F25" s="2" t="s">
        <v>24</v>
      </c>
      <c r="G25" s="2">
        <v>19</v>
      </c>
      <c r="H25" s="2">
        <v>7032</v>
      </c>
      <c r="I25" s="2"/>
      <c r="J25" s="2">
        <v>12920</v>
      </c>
      <c r="K25" s="2"/>
      <c r="L25" s="2" t="s">
        <v>318</v>
      </c>
      <c r="M25" s="2">
        <v>200</v>
      </c>
      <c r="N25" s="2"/>
    </row>
    <row r="26" spans="1:14" ht="30.75">
      <c r="A26" s="7">
        <v>44712</v>
      </c>
      <c r="B26" s="8">
        <v>250</v>
      </c>
      <c r="C26" s="2" t="s">
        <v>44</v>
      </c>
      <c r="D26" s="7">
        <v>44712</v>
      </c>
      <c r="E26" s="2" t="s">
        <v>23</v>
      </c>
      <c r="F26" s="2" t="s">
        <v>28</v>
      </c>
      <c r="G26" s="2">
        <v>20</v>
      </c>
      <c r="H26" s="2">
        <v>7855</v>
      </c>
      <c r="I26" s="2"/>
      <c r="J26" s="2">
        <v>13999</v>
      </c>
      <c r="K26" s="2"/>
      <c r="L26" s="2" t="s">
        <v>318</v>
      </c>
      <c r="M26" s="2">
        <v>58</v>
      </c>
      <c r="N26" s="2"/>
    </row>
    <row r="27" spans="1:14" ht="30.75">
      <c r="A27" s="7">
        <v>44743</v>
      </c>
      <c r="B27" s="8">
        <v>250</v>
      </c>
      <c r="C27" s="2" t="s">
        <v>57</v>
      </c>
      <c r="D27" s="7">
        <v>44743</v>
      </c>
      <c r="E27" s="2" t="s">
        <v>23</v>
      </c>
      <c r="F27" s="2" t="s">
        <v>28</v>
      </c>
      <c r="G27" s="2">
        <v>21</v>
      </c>
      <c r="H27" s="2">
        <v>8590</v>
      </c>
      <c r="I27" s="2"/>
      <c r="J27" s="2">
        <v>14837</v>
      </c>
      <c r="K27" s="2"/>
      <c r="L27" s="2" t="s">
        <v>318</v>
      </c>
      <c r="M27" s="2">
        <v>23</v>
      </c>
      <c r="N27" s="2"/>
    </row>
    <row r="28" spans="1:14" ht="30.75">
      <c r="A28" s="7">
        <v>44788</v>
      </c>
      <c r="B28" s="8">
        <v>250</v>
      </c>
      <c r="C28" s="2" t="s">
        <v>47</v>
      </c>
      <c r="D28" s="7">
        <v>44788</v>
      </c>
      <c r="E28" s="2" t="s">
        <v>23</v>
      </c>
      <c r="F28" s="2" t="s">
        <v>28</v>
      </c>
      <c r="G28" s="2">
        <v>22</v>
      </c>
      <c r="H28" s="2">
        <v>9314</v>
      </c>
      <c r="I28" s="2"/>
      <c r="J28" s="2">
        <v>16272</v>
      </c>
      <c r="K28" s="2"/>
      <c r="L28" s="2" t="s">
        <v>318</v>
      </c>
      <c r="M28" s="2">
        <v>28</v>
      </c>
      <c r="N28" s="2"/>
    </row>
    <row r="29" spans="1:14" ht="30.75">
      <c r="A29" s="7">
        <v>44806</v>
      </c>
      <c r="B29" s="8">
        <v>250</v>
      </c>
      <c r="C29" s="2" t="s">
        <v>50</v>
      </c>
      <c r="D29" s="7">
        <v>44806</v>
      </c>
      <c r="E29" s="2" t="s">
        <v>23</v>
      </c>
      <c r="F29" s="2" t="s">
        <v>28</v>
      </c>
      <c r="G29" s="2">
        <v>23</v>
      </c>
      <c r="H29" s="2">
        <v>10107</v>
      </c>
      <c r="I29" s="2"/>
      <c r="J29" s="2">
        <v>16776</v>
      </c>
      <c r="K29" s="2"/>
      <c r="L29" s="2" t="s">
        <v>318</v>
      </c>
      <c r="M29" s="2">
        <v>49</v>
      </c>
      <c r="N29" s="2"/>
    </row>
    <row r="30" spans="1:14" ht="30.75">
      <c r="A30" s="2" t="s">
        <v>58</v>
      </c>
      <c r="B30" s="8">
        <v>250</v>
      </c>
      <c r="C30" s="2" t="s">
        <v>22</v>
      </c>
      <c r="D30" s="7">
        <v>44834</v>
      </c>
      <c r="E30" s="2" t="s">
        <v>23</v>
      </c>
      <c r="F30" s="2" t="s">
        <v>28</v>
      </c>
      <c r="G30" s="2">
        <v>24</v>
      </c>
      <c r="H30" s="2">
        <v>11188</v>
      </c>
      <c r="I30" s="2"/>
      <c r="J30" s="2">
        <v>17700</v>
      </c>
      <c r="K30" s="2"/>
      <c r="L30" s="2" t="s">
        <v>318</v>
      </c>
      <c r="M30" s="2">
        <v>52</v>
      </c>
      <c r="N30" s="2"/>
    </row>
    <row r="31" spans="1:14" ht="30.75">
      <c r="A31" s="2" t="s">
        <v>59</v>
      </c>
      <c r="B31" s="8">
        <v>250</v>
      </c>
      <c r="C31" s="2" t="s">
        <v>54</v>
      </c>
      <c r="D31" s="2" t="s">
        <v>60</v>
      </c>
      <c r="E31" s="2" t="s">
        <v>23</v>
      </c>
      <c r="F31" s="2" t="s">
        <v>24</v>
      </c>
      <c r="G31" s="2">
        <v>26</v>
      </c>
      <c r="H31" s="2">
        <v>11479</v>
      </c>
      <c r="I31" s="2"/>
      <c r="J31" s="2">
        <v>18236</v>
      </c>
      <c r="K31" s="2"/>
      <c r="L31" s="2" t="s">
        <v>318</v>
      </c>
      <c r="M31" s="2">
        <v>67</v>
      </c>
      <c r="N31" s="2"/>
    </row>
    <row r="32" spans="1:14" ht="30.75">
      <c r="A32" s="2" t="s">
        <v>61</v>
      </c>
      <c r="B32" s="8">
        <v>250</v>
      </c>
      <c r="C32" s="2" t="s">
        <v>27</v>
      </c>
      <c r="D32" s="2" t="s">
        <v>61</v>
      </c>
      <c r="E32" s="2" t="s">
        <v>23</v>
      </c>
      <c r="F32" s="2" t="s">
        <v>28</v>
      </c>
      <c r="G32" s="2">
        <v>27</v>
      </c>
      <c r="H32" s="2">
        <v>12113</v>
      </c>
      <c r="I32" s="2"/>
      <c r="J32" s="2">
        <v>19462</v>
      </c>
      <c r="K32" s="2"/>
      <c r="L32" s="2" t="s">
        <v>318</v>
      </c>
      <c r="M32" s="2">
        <v>69</v>
      </c>
      <c r="N32" s="2"/>
    </row>
    <row r="33" spans="1:14" ht="30.75">
      <c r="A33" s="2" t="s">
        <v>62</v>
      </c>
      <c r="B33" s="8">
        <v>250</v>
      </c>
      <c r="C33" s="2" t="s">
        <v>30</v>
      </c>
      <c r="D33" s="2" t="s">
        <v>331</v>
      </c>
      <c r="E33" s="2" t="s">
        <v>23</v>
      </c>
      <c r="F33" s="2" t="s">
        <v>28</v>
      </c>
      <c r="G33" s="2">
        <v>28</v>
      </c>
      <c r="H33" s="2">
        <v>13114</v>
      </c>
      <c r="I33" s="2"/>
      <c r="J33" s="2">
        <v>20445</v>
      </c>
      <c r="K33" s="2"/>
      <c r="L33" s="2" t="s">
        <v>318</v>
      </c>
      <c r="M33" s="2">
        <v>81</v>
      </c>
      <c r="N33" s="2"/>
    </row>
    <row r="34" spans="1:14" ht="30.75">
      <c r="A34" s="2" t="s">
        <v>305</v>
      </c>
      <c r="B34" s="8">
        <v>250</v>
      </c>
      <c r="C34" s="2" t="s">
        <v>32</v>
      </c>
      <c r="D34" s="2" t="s">
        <v>189</v>
      </c>
      <c r="E34" s="2" t="s">
        <v>23</v>
      </c>
      <c r="F34" s="2" t="s">
        <v>28</v>
      </c>
      <c r="G34" s="2">
        <v>29</v>
      </c>
      <c r="H34" s="2">
        <v>13706</v>
      </c>
      <c r="I34" s="2"/>
      <c r="J34" s="2">
        <v>21281</v>
      </c>
      <c r="K34" s="2"/>
      <c r="L34" s="2" t="s">
        <v>318</v>
      </c>
      <c r="M34" s="2">
        <v>85</v>
      </c>
      <c r="N34" s="2"/>
    </row>
    <row r="35" spans="1:14" ht="30.75">
      <c r="A35" s="2" t="s">
        <v>332</v>
      </c>
      <c r="B35" s="8">
        <v>250</v>
      </c>
      <c r="C35" s="2" t="s">
        <v>34</v>
      </c>
      <c r="D35" s="2" t="s">
        <v>66</v>
      </c>
      <c r="E35" s="2" t="s">
        <v>23</v>
      </c>
      <c r="F35" s="2" t="s">
        <v>24</v>
      </c>
      <c r="G35" s="2">
        <v>30</v>
      </c>
      <c r="H35" s="2">
        <v>14406</v>
      </c>
      <c r="I35" s="2"/>
      <c r="J35" s="2">
        <v>21805</v>
      </c>
      <c r="K35" s="2"/>
      <c r="L35" s="2" t="s">
        <v>318</v>
      </c>
      <c r="M35" s="2">
        <v>60</v>
      </c>
      <c r="N35" s="2"/>
    </row>
    <row r="36" spans="1:14" ht="30.75">
      <c r="A36" s="2" t="s">
        <v>67</v>
      </c>
      <c r="B36" s="8">
        <v>250</v>
      </c>
      <c r="C36" s="2" t="s">
        <v>38</v>
      </c>
      <c r="D36" s="2" t="s">
        <v>68</v>
      </c>
      <c r="E36" s="2" t="s">
        <v>23</v>
      </c>
      <c r="F36" s="2" t="s">
        <v>28</v>
      </c>
      <c r="G36" s="2">
        <v>31</v>
      </c>
      <c r="H36" s="2">
        <v>15076</v>
      </c>
      <c r="I36" s="2"/>
      <c r="J36" s="2">
        <v>22998</v>
      </c>
      <c r="K36" s="2"/>
      <c r="L36" s="2" t="s">
        <v>318</v>
      </c>
      <c r="M36" s="2">
        <v>55</v>
      </c>
      <c r="N36" s="2"/>
    </row>
    <row r="37" spans="1:14" ht="30.75">
      <c r="A37" s="2" t="s">
        <v>69</v>
      </c>
      <c r="B37" s="8">
        <v>250</v>
      </c>
      <c r="C37" s="2" t="s">
        <v>41</v>
      </c>
      <c r="D37" s="2" t="s">
        <v>69</v>
      </c>
      <c r="E37" s="2" t="s">
        <v>23</v>
      </c>
      <c r="F37" s="2" t="s">
        <v>28</v>
      </c>
      <c r="G37" s="2">
        <v>32</v>
      </c>
      <c r="H37" s="2">
        <v>15752</v>
      </c>
      <c r="I37" s="2"/>
      <c r="J37" s="2">
        <v>23432</v>
      </c>
      <c r="K37" s="2"/>
      <c r="L37" s="2" t="s">
        <v>318</v>
      </c>
      <c r="M37" s="2">
        <v>70</v>
      </c>
      <c r="N37" s="2"/>
    </row>
    <row r="38" spans="1:14" ht="30.75">
      <c r="A38" s="2" t="s">
        <v>307</v>
      </c>
      <c r="B38" s="8">
        <v>250</v>
      </c>
      <c r="C38" s="2" t="s">
        <v>44</v>
      </c>
      <c r="D38" s="2" t="s">
        <v>70</v>
      </c>
      <c r="E38" s="2" t="s">
        <v>23</v>
      </c>
      <c r="F38" s="2" t="s">
        <v>28</v>
      </c>
      <c r="G38" s="2">
        <v>33</v>
      </c>
      <c r="H38" s="2">
        <v>16528</v>
      </c>
      <c r="I38" s="2"/>
      <c r="J38" s="2">
        <v>24944</v>
      </c>
      <c r="K38" s="2"/>
      <c r="L38" s="2" t="s">
        <v>318</v>
      </c>
      <c r="M38" s="2">
        <v>115</v>
      </c>
      <c r="N38" s="2"/>
    </row>
    <row r="39" spans="1:14" ht="30.75">
      <c r="A39" s="7">
        <v>45105</v>
      </c>
      <c r="B39" s="8">
        <v>250</v>
      </c>
      <c r="C39" s="2" t="s">
        <v>57</v>
      </c>
      <c r="D39" s="7">
        <v>45104</v>
      </c>
      <c r="E39" s="2" t="s">
        <v>23</v>
      </c>
      <c r="F39" s="2" t="s">
        <v>24</v>
      </c>
      <c r="G39" s="2">
        <v>34</v>
      </c>
      <c r="H39" s="2">
        <v>17093</v>
      </c>
      <c r="I39" s="2"/>
      <c r="J39" s="2">
        <v>25649</v>
      </c>
      <c r="K39" s="2"/>
      <c r="L39" s="2" t="s">
        <v>318</v>
      </c>
      <c r="M39" s="2">
        <v>87.4</v>
      </c>
      <c r="N39" s="2"/>
    </row>
    <row r="40" spans="1:14" ht="30.75">
      <c r="A40" s="7">
        <v>45164</v>
      </c>
      <c r="B40" s="8">
        <v>250</v>
      </c>
      <c r="C40" s="2" t="s">
        <v>47</v>
      </c>
      <c r="D40" s="7">
        <v>45134</v>
      </c>
      <c r="E40" s="2" t="s">
        <v>23</v>
      </c>
      <c r="F40" s="2" t="s">
        <v>24</v>
      </c>
      <c r="G40" s="2">
        <v>35</v>
      </c>
      <c r="H40" s="2">
        <v>17971</v>
      </c>
      <c r="I40" s="2"/>
      <c r="J40" s="2">
        <v>26629</v>
      </c>
      <c r="K40" s="2"/>
      <c r="L40" s="2" t="s">
        <v>318</v>
      </c>
      <c r="M40" s="2">
        <v>105.5</v>
      </c>
      <c r="N40" s="2"/>
    </row>
    <row r="41" spans="1:14" ht="30.75">
      <c r="A41" s="7">
        <v>45209</v>
      </c>
      <c r="B41" s="8">
        <v>250</v>
      </c>
      <c r="C41" s="2" t="s">
        <v>50</v>
      </c>
      <c r="D41" s="7">
        <v>45166</v>
      </c>
      <c r="E41" s="2" t="s">
        <v>23</v>
      </c>
      <c r="F41" s="2" t="s">
        <v>24</v>
      </c>
      <c r="G41" s="2">
        <v>36</v>
      </c>
      <c r="H41" s="2">
        <v>18510</v>
      </c>
      <c r="I41" s="2"/>
      <c r="J41" s="2">
        <v>27945</v>
      </c>
      <c r="K41" s="2"/>
      <c r="L41" s="2" t="s">
        <v>318</v>
      </c>
      <c r="M41" s="2">
        <v>110</v>
      </c>
      <c r="N41" s="2"/>
    </row>
    <row r="42" spans="1:14" ht="30.75">
      <c r="A42" s="7">
        <v>45219</v>
      </c>
      <c r="B42" s="8">
        <v>250</v>
      </c>
      <c r="C42" s="2" t="s">
        <v>22</v>
      </c>
      <c r="D42" s="7">
        <v>45198</v>
      </c>
      <c r="E42" s="2" t="s">
        <v>23</v>
      </c>
      <c r="F42" s="2" t="s">
        <v>24</v>
      </c>
      <c r="G42" s="2">
        <v>37</v>
      </c>
      <c r="H42" s="2">
        <v>19421</v>
      </c>
      <c r="I42" s="2"/>
      <c r="J42" s="2">
        <v>28911</v>
      </c>
      <c r="K42" s="2"/>
      <c r="L42" s="2" t="s">
        <v>318</v>
      </c>
      <c r="M42" s="2">
        <v>148</v>
      </c>
      <c r="N42" s="2"/>
    </row>
    <row r="43" spans="1:14" ht="30.75">
      <c r="A43" s="7">
        <v>45259</v>
      </c>
      <c r="B43" s="8">
        <v>250</v>
      </c>
      <c r="C43" s="2" t="s">
        <v>54</v>
      </c>
      <c r="D43" s="7">
        <v>45230</v>
      </c>
      <c r="E43" s="2" t="s">
        <v>23</v>
      </c>
      <c r="F43" s="2" t="s">
        <v>24</v>
      </c>
      <c r="G43" s="2">
        <v>38</v>
      </c>
      <c r="H43" s="2">
        <v>20161</v>
      </c>
      <c r="I43" s="2"/>
      <c r="J43" s="2">
        <v>29763</v>
      </c>
      <c r="K43" s="2">
        <v>31864</v>
      </c>
      <c r="L43" s="2" t="s">
        <v>318</v>
      </c>
      <c r="M43" s="2">
        <v>110</v>
      </c>
      <c r="N43" s="2"/>
    </row>
    <row r="44" spans="1:14" ht="30.75">
      <c r="A44" s="7">
        <v>45286</v>
      </c>
      <c r="B44" s="8">
        <v>250</v>
      </c>
      <c r="C44" s="2" t="s">
        <v>27</v>
      </c>
      <c r="D44" s="7">
        <v>45260</v>
      </c>
      <c r="E44" s="2" t="s">
        <v>23</v>
      </c>
      <c r="F44" s="2" t="s">
        <v>24</v>
      </c>
      <c r="G44" s="2">
        <v>39</v>
      </c>
      <c r="H44" s="2">
        <v>20677</v>
      </c>
      <c r="I44" s="2"/>
      <c r="J44" s="2">
        <v>30695</v>
      </c>
      <c r="K44" s="2">
        <v>32809</v>
      </c>
      <c r="L44" s="2" t="s">
        <v>318</v>
      </c>
      <c r="M44" s="2">
        <v>145</v>
      </c>
      <c r="N44" s="2"/>
    </row>
    <row r="45" spans="1:14" ht="30.75">
      <c r="A45" s="7">
        <v>45303</v>
      </c>
      <c r="B45" s="8">
        <v>250</v>
      </c>
      <c r="C45" s="2" t="s">
        <v>30</v>
      </c>
      <c r="D45" s="7">
        <v>45289</v>
      </c>
      <c r="E45" s="2" t="s">
        <v>23</v>
      </c>
      <c r="F45" s="2" t="s">
        <v>24</v>
      </c>
      <c r="G45" s="2">
        <v>40</v>
      </c>
      <c r="H45" s="2">
        <v>21484</v>
      </c>
      <c r="I45" s="2"/>
      <c r="J45" s="2">
        <v>31530</v>
      </c>
      <c r="K45" s="2">
        <v>33669</v>
      </c>
      <c r="L45" s="2" t="s">
        <v>318</v>
      </c>
      <c r="M45" s="2">
        <v>110</v>
      </c>
      <c r="N45" s="2"/>
    </row>
    <row r="46" spans="1:14" ht="30.75">
      <c r="A46" s="7">
        <v>45330</v>
      </c>
      <c r="B46" s="8">
        <v>250</v>
      </c>
      <c r="C46" s="2" t="s">
        <v>32</v>
      </c>
      <c r="D46" s="7">
        <v>45322</v>
      </c>
      <c r="E46" s="2" t="s">
        <v>23</v>
      </c>
      <c r="F46" s="2" t="s">
        <v>24</v>
      </c>
      <c r="G46" s="2">
        <v>41</v>
      </c>
      <c r="H46" s="2">
        <v>22197</v>
      </c>
      <c r="I46" s="2"/>
      <c r="J46" s="2">
        <v>32493</v>
      </c>
      <c r="K46" s="2">
        <v>34568</v>
      </c>
      <c r="L46" s="2" t="s">
        <v>318</v>
      </c>
      <c r="M46" s="2">
        <v>125</v>
      </c>
      <c r="N46" s="2" t="s">
        <v>333</v>
      </c>
    </row>
    <row r="47" spans="1:14" ht="30.75">
      <c r="A47" s="7">
        <v>45360</v>
      </c>
      <c r="B47" s="8">
        <v>250</v>
      </c>
      <c r="C47" s="2" t="s">
        <v>34</v>
      </c>
      <c r="D47" s="7">
        <v>45351</v>
      </c>
      <c r="E47" s="2" t="s">
        <v>23</v>
      </c>
      <c r="F47" s="2" t="s">
        <v>24</v>
      </c>
      <c r="G47" s="2">
        <v>42</v>
      </c>
      <c r="H47" s="2">
        <v>22862</v>
      </c>
      <c r="I47" s="2"/>
      <c r="J47" s="2">
        <v>33375</v>
      </c>
      <c r="K47" s="2">
        <v>35466</v>
      </c>
      <c r="L47" s="2" t="s">
        <v>318</v>
      </c>
      <c r="M47" s="2">
        <v>138</v>
      </c>
      <c r="N47" s="2"/>
    </row>
    <row r="48" spans="1:14" ht="30.75">
      <c r="A48" s="7">
        <v>45384</v>
      </c>
      <c r="B48" s="8">
        <v>250</v>
      </c>
      <c r="C48" s="2" t="s">
        <v>38</v>
      </c>
      <c r="D48" s="7">
        <v>45377</v>
      </c>
      <c r="E48" s="2" t="s">
        <v>23</v>
      </c>
      <c r="F48" s="2" t="s">
        <v>28</v>
      </c>
      <c r="G48" s="2">
        <v>43</v>
      </c>
      <c r="H48" s="2">
        <v>23623</v>
      </c>
      <c r="I48" s="2"/>
      <c r="J48" s="2"/>
      <c r="K48" s="2"/>
      <c r="L48" s="2" t="s">
        <v>318</v>
      </c>
      <c r="M48" s="2">
        <v>147</v>
      </c>
      <c r="N48" s="2"/>
    </row>
    <row r="49" spans="1:15" ht="30.75">
      <c r="A49" s="7">
        <v>45440</v>
      </c>
      <c r="B49" s="8">
        <v>250</v>
      </c>
      <c r="C49" s="2" t="s">
        <v>41</v>
      </c>
      <c r="D49" s="7">
        <v>45412</v>
      </c>
      <c r="E49" s="2" t="s">
        <v>23</v>
      </c>
      <c r="F49" s="2" t="s">
        <v>24</v>
      </c>
      <c r="G49" s="2">
        <v>44</v>
      </c>
      <c r="H49" s="2">
        <v>24406</v>
      </c>
      <c r="I49" s="2"/>
      <c r="J49" s="2">
        <v>35366</v>
      </c>
      <c r="K49" s="2">
        <v>37342</v>
      </c>
      <c r="L49" s="2" t="s">
        <v>318</v>
      </c>
      <c r="M49" s="2">
        <v>148</v>
      </c>
      <c r="N49" s="2"/>
    </row>
    <row r="50" spans="1:15" ht="30.75">
      <c r="A50" s="7">
        <v>45491</v>
      </c>
      <c r="B50" s="8">
        <v>250</v>
      </c>
      <c r="C50" s="2" t="s">
        <v>44</v>
      </c>
      <c r="D50" s="7">
        <v>45443</v>
      </c>
      <c r="E50" s="2" t="s">
        <v>23</v>
      </c>
      <c r="F50" s="2" t="s">
        <v>24</v>
      </c>
      <c r="G50" s="2">
        <v>45</v>
      </c>
      <c r="H50" s="2">
        <v>25122</v>
      </c>
      <c r="I50" s="2"/>
      <c r="J50" s="2">
        <v>36270</v>
      </c>
      <c r="K50" s="2">
        <v>38281</v>
      </c>
      <c r="L50" s="2" t="s">
        <v>318</v>
      </c>
      <c r="M50" s="2">
        <v>121</v>
      </c>
      <c r="N50" s="2"/>
    </row>
    <row r="51" spans="1:15" ht="30.75">
      <c r="A51" s="7">
        <v>45491</v>
      </c>
      <c r="B51" s="8">
        <v>250</v>
      </c>
      <c r="C51" s="2" t="s">
        <v>57</v>
      </c>
      <c r="D51" s="7">
        <v>45471</v>
      </c>
      <c r="E51" s="2" t="s">
        <v>23</v>
      </c>
      <c r="F51" s="2" t="s">
        <v>24</v>
      </c>
      <c r="G51" s="2">
        <v>46</v>
      </c>
      <c r="H51" s="2">
        <v>25817</v>
      </c>
      <c r="I51" s="2"/>
      <c r="J51" s="2">
        <v>37194</v>
      </c>
      <c r="K51" s="2">
        <v>38987</v>
      </c>
      <c r="L51" s="2" t="s">
        <v>318</v>
      </c>
      <c r="M51" s="2">
        <v>142</v>
      </c>
      <c r="N51" s="2"/>
    </row>
    <row r="52" spans="1:15" ht="30.75">
      <c r="A52" s="7">
        <v>45511</v>
      </c>
      <c r="B52" s="8">
        <v>250</v>
      </c>
      <c r="C52" s="2" t="s">
        <v>47</v>
      </c>
      <c r="D52" s="7">
        <v>45504</v>
      </c>
      <c r="E52" s="2" t="s">
        <v>23</v>
      </c>
      <c r="F52" s="2" t="s">
        <v>24</v>
      </c>
      <c r="G52" s="2">
        <v>47</v>
      </c>
      <c r="H52" s="2">
        <v>26646</v>
      </c>
      <c r="I52" s="2"/>
      <c r="J52" s="2">
        <v>38171</v>
      </c>
      <c r="K52" s="2">
        <v>40308</v>
      </c>
      <c r="L52" s="2" t="s">
        <v>318</v>
      </c>
      <c r="M52" s="2">
        <v>132</v>
      </c>
      <c r="N52" s="2"/>
    </row>
    <row r="53" spans="1:15" ht="30.75">
      <c r="A53" s="7">
        <v>45546</v>
      </c>
      <c r="B53" s="8">
        <v>250</v>
      </c>
      <c r="C53" s="2" t="s">
        <v>50</v>
      </c>
      <c r="D53" s="7">
        <v>45533</v>
      </c>
      <c r="E53" s="2" t="s">
        <v>23</v>
      </c>
      <c r="F53" s="2" t="s">
        <v>24</v>
      </c>
      <c r="G53" s="2">
        <v>48</v>
      </c>
      <c r="H53" s="2">
        <v>27468</v>
      </c>
      <c r="I53" s="2"/>
      <c r="J53" s="2">
        <v>39212</v>
      </c>
      <c r="K53" s="2">
        <v>41354</v>
      </c>
      <c r="L53" s="2" t="s">
        <v>73</v>
      </c>
      <c r="M53" s="2">
        <v>80</v>
      </c>
      <c r="N53" s="2"/>
    </row>
    <row r="54" spans="1:15" ht="30.75">
      <c r="A54" s="7">
        <v>45575</v>
      </c>
      <c r="B54" s="8">
        <v>250</v>
      </c>
      <c r="C54" s="2" t="s">
        <v>22</v>
      </c>
      <c r="D54" s="7">
        <v>45563</v>
      </c>
      <c r="E54" s="2" t="s">
        <v>309</v>
      </c>
      <c r="F54" s="2" t="s">
        <v>24</v>
      </c>
      <c r="G54" s="2">
        <v>49</v>
      </c>
      <c r="H54" s="2">
        <v>28281</v>
      </c>
      <c r="I54" s="2"/>
      <c r="J54" s="2">
        <v>40228</v>
      </c>
      <c r="K54" s="2">
        <v>42409</v>
      </c>
      <c r="L54" s="2" t="s">
        <v>73</v>
      </c>
      <c r="M54" s="2">
        <v>20</v>
      </c>
      <c r="N54" s="2"/>
      <c r="O54" s="2"/>
    </row>
    <row r="55" spans="1:15" ht="30.75">
      <c r="A55" s="7">
        <v>45687</v>
      </c>
      <c r="B55" s="8">
        <v>250</v>
      </c>
      <c r="C55" s="2" t="s">
        <v>54</v>
      </c>
      <c r="D55" s="7">
        <v>45596</v>
      </c>
      <c r="E55" s="2" t="s">
        <v>23</v>
      </c>
      <c r="F55" s="2" t="s">
        <v>24</v>
      </c>
      <c r="G55" s="2">
        <v>50</v>
      </c>
      <c r="H55" s="2">
        <v>29065</v>
      </c>
      <c r="I55" s="2"/>
      <c r="J55" s="2">
        <v>41310</v>
      </c>
      <c r="K55" s="2">
        <v>43464</v>
      </c>
      <c r="L55" s="2" t="s">
        <v>318</v>
      </c>
      <c r="M55" s="2">
        <v>32.5</v>
      </c>
      <c r="N55" s="2"/>
    </row>
    <row r="56" spans="1:15" ht="30.75">
      <c r="A56" s="7">
        <v>45687</v>
      </c>
      <c r="B56" s="8">
        <v>250</v>
      </c>
      <c r="C56" s="2" t="s">
        <v>27</v>
      </c>
      <c r="D56" s="7">
        <v>45625</v>
      </c>
      <c r="E56" s="2" t="s">
        <v>23</v>
      </c>
      <c r="F56" s="2" t="s">
        <v>24</v>
      </c>
      <c r="G56" s="2">
        <v>51</v>
      </c>
      <c r="H56" s="2">
        <v>29885</v>
      </c>
      <c r="I56" s="2"/>
      <c r="J56" s="2">
        <v>42246</v>
      </c>
      <c r="K56" s="2">
        <v>44290</v>
      </c>
      <c r="L56" s="2" t="s">
        <v>318</v>
      </c>
      <c r="M56" s="2">
        <v>20.5</v>
      </c>
      <c r="N56" s="2"/>
    </row>
    <row r="57" spans="1:15" ht="30.75">
      <c r="A57" s="7">
        <v>45687</v>
      </c>
      <c r="B57" s="8">
        <v>250</v>
      </c>
      <c r="C57" s="2" t="s">
        <v>30</v>
      </c>
      <c r="D57" s="7">
        <v>45654</v>
      </c>
      <c r="E57" s="2" t="s">
        <v>23</v>
      </c>
      <c r="F57" s="2" t="s">
        <v>24</v>
      </c>
      <c r="G57" s="2">
        <v>52</v>
      </c>
      <c r="H57" s="2">
        <v>30328</v>
      </c>
      <c r="I57" s="2"/>
      <c r="J57" s="2">
        <v>43219</v>
      </c>
      <c r="K57" s="2">
        <v>45447</v>
      </c>
      <c r="L57" s="2" t="s">
        <v>318</v>
      </c>
      <c r="M57" s="2">
        <v>30.5</v>
      </c>
      <c r="N57" s="2"/>
    </row>
    <row r="58" spans="1:15" ht="30.75">
      <c r="A58" s="7">
        <v>45707</v>
      </c>
      <c r="B58" s="565">
        <v>250</v>
      </c>
      <c r="C58" s="545" t="s">
        <v>32</v>
      </c>
      <c r="D58" s="548">
        <v>45687</v>
      </c>
      <c r="E58" s="545" t="s">
        <v>23</v>
      </c>
      <c r="F58" s="545" t="s">
        <v>24</v>
      </c>
      <c r="G58" s="545">
        <v>53</v>
      </c>
      <c r="H58" s="545">
        <v>31513</v>
      </c>
      <c r="I58" s="545"/>
      <c r="J58" s="545">
        <v>44423</v>
      </c>
      <c r="K58" s="545"/>
      <c r="L58" s="545" t="s">
        <v>318</v>
      </c>
      <c r="M58" s="2">
        <v>28.7</v>
      </c>
      <c r="N58" s="2"/>
    </row>
    <row r="59" spans="1:15" ht="30.75">
      <c r="A59" s="7">
        <v>45826</v>
      </c>
      <c r="B59" s="8">
        <v>250</v>
      </c>
      <c r="C59" s="2" t="s">
        <v>34</v>
      </c>
      <c r="D59" s="7">
        <v>45716</v>
      </c>
      <c r="E59" s="2" t="s">
        <v>23</v>
      </c>
      <c r="F59" s="2" t="s">
        <v>24</v>
      </c>
      <c r="G59" s="2"/>
      <c r="H59" s="2">
        <v>32379</v>
      </c>
      <c r="I59" s="2"/>
      <c r="J59" s="2">
        <v>45468</v>
      </c>
      <c r="K59" s="2"/>
      <c r="L59" s="430" t="s">
        <v>318</v>
      </c>
      <c r="M59" s="2">
        <v>40.200000000000003</v>
      </c>
      <c r="N59" s="2"/>
    </row>
    <row r="60" spans="1:15" ht="30.75">
      <c r="A60" s="554">
        <v>45750</v>
      </c>
      <c r="B60" s="556">
        <v>250</v>
      </c>
      <c r="C60" s="553" t="s">
        <v>38</v>
      </c>
      <c r="D60" s="560">
        <v>45745</v>
      </c>
      <c r="E60" s="566" t="s">
        <v>309</v>
      </c>
      <c r="F60" s="561" t="s">
        <v>24</v>
      </c>
      <c r="G60" s="561"/>
      <c r="H60" s="561">
        <v>33220</v>
      </c>
      <c r="I60" s="561"/>
      <c r="J60" s="561">
        <v>46577</v>
      </c>
      <c r="K60" s="561"/>
      <c r="L60" s="561" t="s">
        <v>318</v>
      </c>
      <c r="M60" s="561">
        <v>30.4</v>
      </c>
      <c r="N60" s="553"/>
      <c r="O60" s="553"/>
    </row>
    <row r="61" spans="1:15" ht="30.75">
      <c r="A61" s="554">
        <v>45826</v>
      </c>
      <c r="B61" s="556">
        <v>250</v>
      </c>
      <c r="C61" s="553" t="s">
        <v>41</v>
      </c>
      <c r="D61" s="554">
        <v>45777</v>
      </c>
      <c r="E61" s="553" t="s">
        <v>23</v>
      </c>
      <c r="F61" s="553" t="s">
        <v>24</v>
      </c>
      <c r="G61" s="553"/>
      <c r="H61" s="553">
        <v>34016</v>
      </c>
      <c r="I61" s="553"/>
      <c r="J61" s="553">
        <v>47626</v>
      </c>
      <c r="K61" s="553"/>
      <c r="L61" s="571" t="s">
        <v>334</v>
      </c>
      <c r="M61" s="553">
        <v>12.5</v>
      </c>
    </row>
    <row r="62" spans="1:15" ht="30.75">
      <c r="A62" s="553" t="s">
        <v>335</v>
      </c>
      <c r="B62" s="556">
        <v>250</v>
      </c>
      <c r="C62" s="566" t="s">
        <v>44</v>
      </c>
      <c r="D62" s="576">
        <v>45808</v>
      </c>
      <c r="E62" s="566" t="s">
        <v>23</v>
      </c>
      <c r="F62" s="566" t="s">
        <v>24</v>
      </c>
      <c r="G62" s="566"/>
      <c r="H62" s="566">
        <v>34859</v>
      </c>
      <c r="I62" s="566"/>
      <c r="J62" s="566">
        <v>49990</v>
      </c>
      <c r="K62" s="566"/>
      <c r="L62" s="571" t="s">
        <v>334</v>
      </c>
      <c r="M62" s="553">
        <v>14.5</v>
      </c>
    </row>
    <row r="63" spans="1:15" ht="30.75">
      <c r="A63" s="554">
        <v>45934</v>
      </c>
      <c r="B63" s="556">
        <v>250</v>
      </c>
      <c r="C63" s="566" t="s">
        <v>57</v>
      </c>
      <c r="D63" s="576">
        <v>45834</v>
      </c>
      <c r="E63" s="566" t="s">
        <v>23</v>
      </c>
      <c r="F63" s="566" t="s">
        <v>24</v>
      </c>
      <c r="G63" s="566"/>
      <c r="H63" s="566">
        <v>35703</v>
      </c>
      <c r="I63" s="566"/>
      <c r="J63" s="566">
        <v>50006</v>
      </c>
      <c r="K63" s="566"/>
      <c r="L63" s="566" t="s">
        <v>192</v>
      </c>
      <c r="M63" s="553">
        <v>8</v>
      </c>
    </row>
    <row r="64" spans="1:15" ht="30.75">
      <c r="A64" s="554">
        <v>45934</v>
      </c>
      <c r="B64" s="556">
        <v>250</v>
      </c>
      <c r="C64" s="566" t="s">
        <v>47</v>
      </c>
      <c r="D64" s="576">
        <v>45869</v>
      </c>
      <c r="E64" s="566" t="s">
        <v>23</v>
      </c>
      <c r="F64" s="566" t="s">
        <v>24</v>
      </c>
      <c r="G64" s="566"/>
      <c r="H64" s="566">
        <v>36488</v>
      </c>
      <c r="I64" s="566"/>
      <c r="J64" s="566">
        <v>50007</v>
      </c>
      <c r="K64" s="566"/>
      <c r="L64" s="566" t="s">
        <v>192</v>
      </c>
      <c r="M64" s="553">
        <v>12</v>
      </c>
    </row>
    <row r="65" spans="1:13" ht="30.75">
      <c r="A65" s="554">
        <v>45948</v>
      </c>
      <c r="B65" s="556">
        <v>250</v>
      </c>
      <c r="C65" s="566" t="s">
        <v>50</v>
      </c>
      <c r="D65" s="554">
        <v>45897</v>
      </c>
      <c r="E65" s="553" t="s">
        <v>23</v>
      </c>
      <c r="F65" s="566" t="s">
        <v>24</v>
      </c>
      <c r="G65" s="553"/>
      <c r="H65" s="553">
        <v>37239</v>
      </c>
      <c r="I65" s="553"/>
      <c r="J65" s="553">
        <v>51336</v>
      </c>
      <c r="K65" s="553"/>
      <c r="L65" s="566" t="s">
        <v>192</v>
      </c>
      <c r="M65" s="553">
        <v>6</v>
      </c>
    </row>
    <row r="66" spans="1:13" ht="30.75">
      <c r="A66" s="554">
        <v>45974</v>
      </c>
      <c r="B66" s="556">
        <v>250</v>
      </c>
      <c r="C66" s="566" t="s">
        <v>22</v>
      </c>
      <c r="D66" s="554">
        <v>45930</v>
      </c>
      <c r="E66" s="553" t="s">
        <v>23</v>
      </c>
      <c r="F66" s="566" t="s">
        <v>24</v>
      </c>
      <c r="G66" s="553"/>
      <c r="H66" s="553">
        <v>38136</v>
      </c>
      <c r="I66" s="553"/>
      <c r="J66" s="553">
        <v>52121</v>
      </c>
      <c r="K66" s="553"/>
      <c r="L66" s="566" t="s">
        <v>192</v>
      </c>
      <c r="M66" s="553">
        <v>6.5</v>
      </c>
    </row>
    <row r="67" spans="1:13" ht="30.75">
      <c r="A67" s="554">
        <v>45987</v>
      </c>
      <c r="B67" s="556">
        <v>250</v>
      </c>
      <c r="C67" s="566" t="s">
        <v>54</v>
      </c>
      <c r="D67" s="554">
        <v>45961</v>
      </c>
      <c r="E67" s="553" t="s">
        <v>23</v>
      </c>
      <c r="F67" s="566" t="s">
        <v>24</v>
      </c>
      <c r="G67" s="553"/>
      <c r="H67" s="553">
        <v>39003</v>
      </c>
      <c r="I67" s="553"/>
      <c r="J67" s="553">
        <v>53322</v>
      </c>
      <c r="K67" s="553"/>
      <c r="L67" s="566" t="s">
        <v>192</v>
      </c>
      <c r="M67" s="553">
        <v>10</v>
      </c>
    </row>
    <row r="68" spans="1:13" ht="30.75">
      <c r="A68" s="554">
        <v>45995</v>
      </c>
      <c r="B68" s="556">
        <v>250</v>
      </c>
      <c r="C68" s="566" t="s">
        <v>27</v>
      </c>
      <c r="D68" s="554">
        <v>45988</v>
      </c>
      <c r="E68" s="553" t="s">
        <v>23</v>
      </c>
      <c r="F68" s="566" t="s">
        <v>24</v>
      </c>
      <c r="G68" s="553"/>
      <c r="H68" s="553">
        <v>39835</v>
      </c>
      <c r="I68" s="553"/>
      <c r="J68" s="553">
        <v>54614</v>
      </c>
      <c r="K68" s="553"/>
      <c r="L68" s="566" t="s">
        <v>192</v>
      </c>
      <c r="M68" s="553">
        <v>9.5</v>
      </c>
    </row>
    <row r="69" spans="1:13" ht="30.75">
      <c r="A69" s="554">
        <v>46030</v>
      </c>
      <c r="B69" s="556">
        <v>250</v>
      </c>
      <c r="C69" s="566" t="s">
        <v>30</v>
      </c>
      <c r="D69" s="554">
        <v>46021</v>
      </c>
      <c r="E69" s="553" t="s">
        <v>23</v>
      </c>
      <c r="F69" s="566" t="s">
        <v>24</v>
      </c>
      <c r="G69" s="553"/>
      <c r="H69" s="553">
        <v>40635</v>
      </c>
      <c r="I69" s="553"/>
      <c r="J69" s="553">
        <v>55639</v>
      </c>
      <c r="K69" s="553"/>
      <c r="L69" s="566" t="s">
        <v>192</v>
      </c>
      <c r="M69" s="553">
        <v>5.6</v>
      </c>
    </row>
    <row r="70" spans="1:13" ht="30.75">
      <c r="A70" s="554">
        <v>46059</v>
      </c>
      <c r="B70" s="556">
        <v>250</v>
      </c>
      <c r="C70" s="566" t="s">
        <v>32</v>
      </c>
      <c r="D70" s="554">
        <v>46052</v>
      </c>
      <c r="E70" s="553" t="s">
        <v>23</v>
      </c>
      <c r="F70" s="566" t="s">
        <v>24</v>
      </c>
      <c r="G70" s="553"/>
      <c r="H70" s="553">
        <v>41596</v>
      </c>
      <c r="I70" s="553"/>
      <c r="J70" s="553">
        <v>56455</v>
      </c>
      <c r="K70" s="553"/>
      <c r="L70" s="566" t="s">
        <v>192</v>
      </c>
      <c r="M70" s="553">
        <v>7.5</v>
      </c>
    </row>
    <row r="71" spans="1:13" ht="30.75">
      <c r="A71" s="554">
        <v>46086</v>
      </c>
      <c r="B71" s="600">
        <v>250</v>
      </c>
      <c r="C71" s="553" t="s">
        <v>34</v>
      </c>
      <c r="D71" s="554">
        <v>46081</v>
      </c>
      <c r="E71" s="553" t="s">
        <v>23</v>
      </c>
      <c r="F71" s="553" t="s">
        <v>24</v>
      </c>
      <c r="G71" s="553"/>
      <c r="H71" s="553">
        <v>42438</v>
      </c>
      <c r="I71" s="553"/>
      <c r="J71" s="553">
        <v>58370</v>
      </c>
      <c r="K71" s="553"/>
      <c r="L71" s="566" t="s">
        <v>192</v>
      </c>
      <c r="M71" s="553">
        <v>25</v>
      </c>
    </row>
    <row r="72" spans="1:13" ht="30.75">
      <c r="A72" s="554">
        <v>46119</v>
      </c>
      <c r="B72" s="600">
        <v>250</v>
      </c>
      <c r="C72" s="553" t="s">
        <v>38</v>
      </c>
      <c r="D72" s="554">
        <v>46112</v>
      </c>
      <c r="E72" s="553" t="s">
        <v>23</v>
      </c>
      <c r="F72" s="553" t="s">
        <v>24</v>
      </c>
      <c r="G72" s="553"/>
      <c r="H72" s="553">
        <v>43279</v>
      </c>
      <c r="I72" s="553"/>
      <c r="J72" s="553">
        <v>59779</v>
      </c>
      <c r="K72" s="553"/>
      <c r="L72" s="553" t="s">
        <v>192</v>
      </c>
      <c r="M72" s="553">
        <v>15</v>
      </c>
    </row>
    <row r="73" spans="1:13" ht="30.75">
      <c r="A73" s="554">
        <v>46071</v>
      </c>
      <c r="B73" s="600">
        <v>250</v>
      </c>
      <c r="C73" s="553" t="s">
        <v>41</v>
      </c>
      <c r="D73" s="554">
        <v>46142</v>
      </c>
      <c r="E73" s="553" t="s">
        <v>23</v>
      </c>
      <c r="F73" s="553" t="s">
        <v>24</v>
      </c>
      <c r="G73" s="553"/>
      <c r="H73" s="553">
        <v>43904</v>
      </c>
      <c r="I73" s="553"/>
      <c r="J73" s="553">
        <v>60968</v>
      </c>
      <c r="K73" s="553"/>
      <c r="L73" s="553" t="s">
        <v>192</v>
      </c>
      <c r="M73" s="553">
        <v>13.5</v>
      </c>
    </row>
    <row r="74" spans="1:13" ht="30.75">
      <c r="A74" s="553"/>
      <c r="B74" s="553"/>
      <c r="C74" s="553"/>
      <c r="D74" s="554">
        <v>46170</v>
      </c>
      <c r="E74" s="553" t="s">
        <v>23</v>
      </c>
      <c r="F74" s="553"/>
      <c r="G74" s="553"/>
      <c r="H74" s="553"/>
      <c r="I74" s="553"/>
      <c r="J74" s="553">
        <v>62069</v>
      </c>
      <c r="K74" s="553"/>
      <c r="L74" s="553"/>
      <c r="M74" s="553">
        <v>3.5</v>
      </c>
    </row>
    <row r="75" spans="1:13" ht="30.75">
      <c r="A75" s="553"/>
      <c r="B75" s="553"/>
      <c r="C75" s="553"/>
      <c r="D75" s="553"/>
      <c r="E75" s="553" t="s">
        <v>23</v>
      </c>
      <c r="F75" s="553"/>
      <c r="G75" s="553"/>
      <c r="H75" s="553"/>
      <c r="I75" s="553"/>
      <c r="J75" s="553"/>
      <c r="K75" s="553"/>
      <c r="L75" s="553"/>
      <c r="M75" s="553"/>
    </row>
    <row r="76" spans="1:13" ht="30.75">
      <c r="A76" s="553"/>
      <c r="B76" s="553"/>
      <c r="C76" s="553"/>
      <c r="D76" s="553"/>
      <c r="E76" s="553" t="s">
        <v>23</v>
      </c>
      <c r="F76" s="553"/>
      <c r="G76" s="553"/>
      <c r="H76" s="553"/>
      <c r="I76" s="553"/>
      <c r="J76" s="553"/>
      <c r="K76" s="553"/>
      <c r="L76" s="553"/>
      <c r="M76" s="553"/>
    </row>
    <row r="77" spans="1:13" ht="30.75">
      <c r="A77" s="553"/>
      <c r="B77" s="553"/>
      <c r="C77" s="553"/>
      <c r="D77" s="553"/>
      <c r="E77" s="553" t="s">
        <v>23</v>
      </c>
      <c r="F77" s="553"/>
      <c r="G77" s="553"/>
      <c r="H77" s="553"/>
      <c r="I77" s="553"/>
      <c r="J77" s="553"/>
      <c r="K77" s="553"/>
      <c r="L77" s="553"/>
      <c r="M77" s="553"/>
    </row>
    <row r="78" spans="1:13" ht="30.75">
      <c r="A78" s="553"/>
      <c r="B78" s="553"/>
      <c r="C78" s="553"/>
      <c r="D78" s="553"/>
      <c r="E78" s="553" t="s">
        <v>23</v>
      </c>
      <c r="F78" s="553"/>
      <c r="G78" s="553"/>
      <c r="H78" s="553"/>
      <c r="I78" s="553"/>
      <c r="J78" s="553"/>
      <c r="K78" s="553"/>
      <c r="L78" s="553"/>
      <c r="M78" s="553"/>
    </row>
    <row r="79" spans="1:13" ht="30.75">
      <c r="A79" s="553"/>
      <c r="B79" s="553"/>
      <c r="C79" s="553"/>
      <c r="D79" s="553"/>
      <c r="E79" s="553" t="s">
        <v>23</v>
      </c>
      <c r="F79" s="553"/>
      <c r="G79" s="553"/>
      <c r="H79" s="553"/>
      <c r="I79" s="553"/>
      <c r="J79" s="553"/>
      <c r="K79" s="553"/>
      <c r="L79" s="553"/>
      <c r="M79" s="553"/>
    </row>
    <row r="80" spans="1:13" ht="30.75">
      <c r="A80" s="553"/>
      <c r="B80" s="553"/>
      <c r="C80" s="553"/>
      <c r="D80" s="553"/>
      <c r="E80" s="553" t="s">
        <v>23</v>
      </c>
      <c r="F80" s="553"/>
      <c r="G80" s="553"/>
      <c r="H80" s="553"/>
      <c r="I80" s="553"/>
      <c r="J80" s="553"/>
      <c r="K80" s="553"/>
      <c r="L80" s="553"/>
    </row>
    <row r="81" spans="1:12" ht="30.75">
      <c r="A81" s="553"/>
      <c r="B81" s="553"/>
      <c r="C81" s="553"/>
      <c r="D81" s="553"/>
      <c r="E81" s="553" t="s">
        <v>23</v>
      </c>
      <c r="F81" s="553"/>
      <c r="G81" s="553"/>
      <c r="H81" s="553"/>
      <c r="I81" s="553"/>
      <c r="J81" s="553"/>
      <c r="K81" s="553"/>
      <c r="L81" s="553"/>
    </row>
    <row r="82" spans="1:12" ht="30.75">
      <c r="A82" s="553"/>
      <c r="B82" s="553"/>
      <c r="C82" s="553"/>
      <c r="D82" s="553"/>
      <c r="E82" s="553" t="s">
        <v>23</v>
      </c>
      <c r="F82" s="553"/>
      <c r="G82" s="553"/>
      <c r="H82" s="553"/>
      <c r="I82" s="553"/>
      <c r="J82" s="553"/>
      <c r="K82" s="553"/>
      <c r="L82" s="553"/>
    </row>
    <row r="83" spans="1:12" ht="30.75">
      <c r="A83" s="553"/>
      <c r="B83" s="553"/>
      <c r="C83" s="553"/>
      <c r="D83" s="553"/>
      <c r="E83" s="553" t="s">
        <v>23</v>
      </c>
      <c r="F83" s="553"/>
      <c r="G83" s="553"/>
      <c r="H83" s="553"/>
      <c r="I83" s="553"/>
      <c r="J83" s="553"/>
      <c r="K83" s="553"/>
      <c r="L83" s="553"/>
    </row>
    <row r="84" spans="1:12" ht="30.75">
      <c r="A84" s="553"/>
      <c r="B84" s="553"/>
      <c r="C84" s="553"/>
      <c r="D84" s="553"/>
      <c r="E84" s="553" t="s">
        <v>23</v>
      </c>
      <c r="F84" s="553"/>
      <c r="G84" s="553"/>
      <c r="H84" s="553"/>
      <c r="I84" s="553"/>
      <c r="J84" s="553"/>
      <c r="K84" s="553"/>
      <c r="L84" s="553"/>
    </row>
    <row r="85" spans="1:12" ht="30.75">
      <c r="A85" s="553"/>
      <c r="B85" s="553"/>
      <c r="C85" s="553"/>
      <c r="D85" s="553"/>
      <c r="E85" s="553" t="s">
        <v>23</v>
      </c>
      <c r="F85" s="553"/>
      <c r="G85" s="553"/>
      <c r="H85" s="553"/>
      <c r="I85" s="553"/>
      <c r="J85" s="553"/>
      <c r="K85" s="553"/>
      <c r="L85" s="553"/>
    </row>
    <row r="86" spans="1:12" ht="30.75">
      <c r="E86" s="553" t="s">
        <v>23</v>
      </c>
    </row>
    <row r="87" spans="1:12" ht="30.75">
      <c r="E87" s="553" t="s">
        <v>23</v>
      </c>
    </row>
    <row r="88" spans="1:12" ht="30.75">
      <c r="E88" s="553" t="s">
        <v>23</v>
      </c>
    </row>
    <row r="89" spans="1:12" ht="30.75">
      <c r="E89" s="553" t="s">
        <v>23</v>
      </c>
    </row>
    <row r="90" spans="1:12" ht="30.75">
      <c r="E90" s="553" t="s">
        <v>23</v>
      </c>
    </row>
    <row r="91" spans="1:12" ht="30.75">
      <c r="E91" s="553" t="s">
        <v>23</v>
      </c>
    </row>
    <row r="92" spans="1:12" ht="30.75">
      <c r="E92" s="553" t="s">
        <v>23</v>
      </c>
    </row>
    <row r="93" spans="1:12" ht="30.75">
      <c r="E93" s="553" t="s">
        <v>23</v>
      </c>
    </row>
    <row r="94" spans="1:12" ht="30.75">
      <c r="E94" s="553" t="s">
        <v>23</v>
      </c>
    </row>
    <row r="95" spans="1:12" ht="30.75">
      <c r="E95" s="553" t="s">
        <v>23</v>
      </c>
    </row>
    <row r="96" spans="1:12" ht="30.75">
      <c r="E96" s="553" t="s">
        <v>23</v>
      </c>
    </row>
  </sheetData>
  <mergeCells count="6">
    <mergeCell ref="A1:I1"/>
    <mergeCell ref="B2:C2"/>
    <mergeCell ref="D5:E5"/>
    <mergeCell ref="B4:E4"/>
    <mergeCell ref="H4:M5"/>
    <mergeCell ref="F2:I2"/>
  </mergeCells>
  <dataValidations count="2">
    <dataValidation type="list" allowBlank="1" showInputMessage="1" showErrorMessage="1" sqref="C7:C73" xr:uid="{00000000-0002-0000-0500-000000000000}">
      <formula1>"ENERO,FEBRERO,MARZO,ABRIL,MAYO,JUNIO,JULIO,AGOSTO,SEPTIEMBRE,OCTUBRE,NOVIEMBRE,DICIEMBRE"</formula1>
    </dataValidation>
    <dataValidation type="list" allowBlank="1" showInputMessage="1" showErrorMessage="1" sqref="F7:F60" xr:uid="{00000000-0002-0000-0500-000001000000}">
      <formula1>"EFECTIVO, CHEQUE, TRANSFERENCIA,DEPOSITO"</formula1>
    </dataValidation>
  </dataValidations>
  <hyperlinks>
    <hyperlink ref="F2:I2" r:id="rId1" display="CONTABILIDAD.CHINCHA@FAMISALUD.COM.PE" xr:uid="{111251FF-A635-4187-9425-690B8909F6C1}"/>
    <hyperlink ref="B4:E4" r:id="rId2" display="CONTABILIDAD.CHINCHA@FAMISALUD.COM.PE , " xr:uid="{649CA937-7504-40D2-BF5C-14D6706F4E51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3517-8647-4752-9009-64A85EA65F6F}">
  <sheetPr>
    <tabColor rgb="FFFF0000"/>
  </sheetPr>
  <dimension ref="A1:O381"/>
  <sheetViews>
    <sheetView workbookViewId="0">
      <selection sqref="A1:I1"/>
    </sheetView>
  </sheetViews>
  <sheetFormatPr defaultColWidth="11.42578125" defaultRowHeight="15"/>
  <cols>
    <col min="1" max="1" width="15.7109375" customWidth="1"/>
    <col min="2" max="2" width="26.42578125" customWidth="1"/>
    <col min="3" max="3" width="21.5703125" style="269" customWidth="1"/>
    <col min="6" max="6" width="13.28515625" bestFit="1" customWidth="1"/>
    <col min="8" max="8" width="14.7109375" customWidth="1"/>
    <col min="11" max="11" width="13.85546875" customWidth="1"/>
    <col min="13" max="13" width="16.28515625" customWidth="1"/>
    <col min="14" max="14" width="13.28515625" customWidth="1"/>
    <col min="19" max="19" width="13.28515625" bestFit="1" customWidth="1"/>
  </cols>
  <sheetData>
    <row r="1" spans="1:13" ht="23.25">
      <c r="A1" s="666" t="s">
        <v>336</v>
      </c>
      <c r="B1" s="666"/>
      <c r="C1" s="666"/>
      <c r="D1" s="666"/>
      <c r="E1" s="666"/>
      <c r="F1" s="666"/>
      <c r="G1" s="666"/>
      <c r="H1" s="666"/>
      <c r="I1" s="666"/>
    </row>
    <row r="2" spans="1:13" ht="30">
      <c r="A2" s="2" t="s">
        <v>93</v>
      </c>
      <c r="C2" s="625"/>
    </row>
    <row r="3" spans="1:13">
      <c r="A3" s="2" t="s">
        <v>1</v>
      </c>
      <c r="B3">
        <v>20514612669</v>
      </c>
      <c r="C3" s="625"/>
    </row>
    <row r="4" spans="1:13" ht="31.5">
      <c r="A4" s="4" t="s">
        <v>2</v>
      </c>
      <c r="B4" s="3" t="s">
        <v>337</v>
      </c>
      <c r="C4" s="625"/>
      <c r="E4" s="26"/>
      <c r="F4" s="33"/>
      <c r="G4" s="667" t="s">
        <v>338</v>
      </c>
      <c r="H4" s="667"/>
      <c r="I4" s="667"/>
      <c r="J4" s="667"/>
      <c r="K4" s="34"/>
      <c r="L4" s="34"/>
    </row>
    <row r="5" spans="1:13" ht="46.5">
      <c r="A5" s="30" t="s">
        <v>4</v>
      </c>
      <c r="B5" s="31">
        <v>44653</v>
      </c>
      <c r="C5" s="625"/>
      <c r="D5" s="6"/>
      <c r="E5" s="6"/>
      <c r="F5" s="669" t="s">
        <v>339</v>
      </c>
      <c r="G5" s="669"/>
      <c r="H5" s="669"/>
      <c r="I5" s="34"/>
      <c r="J5" s="668" t="s">
        <v>340</v>
      </c>
      <c r="K5" s="668"/>
      <c r="L5" s="668"/>
    </row>
    <row r="6" spans="1:13" ht="18.75">
      <c r="A6" s="32"/>
      <c r="B6" s="32"/>
      <c r="C6" s="670" t="s">
        <v>341</v>
      </c>
      <c r="D6" s="671"/>
      <c r="E6" s="672"/>
      <c r="F6" s="32"/>
      <c r="G6" s="32"/>
      <c r="H6" s="32"/>
      <c r="I6" s="32"/>
      <c r="J6" s="32"/>
      <c r="K6" s="34"/>
    </row>
    <row r="7" spans="1:13" ht="57">
      <c r="A7" s="32" t="s">
        <v>7</v>
      </c>
      <c r="B7" s="32" t="s">
        <v>8</v>
      </c>
      <c r="C7" s="32" t="s">
        <v>10</v>
      </c>
      <c r="D7" s="32" t="s">
        <v>11</v>
      </c>
      <c r="E7" s="32" t="s">
        <v>12</v>
      </c>
      <c r="F7" s="32" t="s">
        <v>342</v>
      </c>
      <c r="G7" s="32" t="s">
        <v>14</v>
      </c>
      <c r="H7" s="32" t="s">
        <v>343</v>
      </c>
      <c r="I7" s="32" t="s">
        <v>16</v>
      </c>
      <c r="J7" s="32" t="s">
        <v>18</v>
      </c>
      <c r="K7" s="32" t="s">
        <v>99</v>
      </c>
      <c r="L7" s="329" t="s">
        <v>19</v>
      </c>
      <c r="M7" s="329" t="s">
        <v>17</v>
      </c>
    </row>
    <row r="8" spans="1:13" ht="30.75">
      <c r="A8" s="7">
        <v>44186</v>
      </c>
      <c r="B8" s="8"/>
      <c r="C8" s="444">
        <v>44107</v>
      </c>
      <c r="D8" s="2" t="s">
        <v>23</v>
      </c>
      <c r="E8" s="2" t="s">
        <v>24</v>
      </c>
      <c r="F8" s="2">
        <v>243</v>
      </c>
      <c r="G8" s="2">
        <v>1149</v>
      </c>
      <c r="H8" s="9" t="s">
        <v>344</v>
      </c>
      <c r="I8" s="9" t="s">
        <v>345</v>
      </c>
      <c r="J8" s="2" t="s">
        <v>26</v>
      </c>
      <c r="K8" s="2"/>
      <c r="L8" s="2"/>
      <c r="M8" s="2"/>
    </row>
    <row r="9" spans="1:13" ht="30.75">
      <c r="A9" s="7">
        <v>44186</v>
      </c>
      <c r="B9" s="8"/>
      <c r="C9" s="444">
        <v>44110</v>
      </c>
      <c r="D9" s="2" t="s">
        <v>23</v>
      </c>
      <c r="E9" s="2" t="s">
        <v>24</v>
      </c>
      <c r="F9" s="2">
        <v>100.72</v>
      </c>
      <c r="G9" s="2">
        <v>1149</v>
      </c>
      <c r="H9" s="9" t="s">
        <v>346</v>
      </c>
      <c r="I9" s="9" t="s">
        <v>347</v>
      </c>
      <c r="J9" s="2" t="s">
        <v>26</v>
      </c>
      <c r="K9" s="2"/>
      <c r="L9" s="2"/>
      <c r="M9" s="2"/>
    </row>
    <row r="10" spans="1:13" ht="30.75">
      <c r="A10" s="7">
        <v>44186</v>
      </c>
      <c r="B10" s="8"/>
      <c r="C10" s="444">
        <v>44112</v>
      </c>
      <c r="D10" s="2" t="s">
        <v>23</v>
      </c>
      <c r="E10" s="2" t="s">
        <v>24</v>
      </c>
      <c r="F10" s="2">
        <v>107.57</v>
      </c>
      <c r="G10" s="2">
        <v>1149</v>
      </c>
      <c r="H10" s="9" t="s">
        <v>348</v>
      </c>
      <c r="I10" s="9" t="s">
        <v>349</v>
      </c>
      <c r="J10" s="2" t="s">
        <v>26</v>
      </c>
      <c r="K10" s="2"/>
      <c r="L10" s="2"/>
      <c r="M10" s="2"/>
    </row>
    <row r="11" spans="1:13" ht="30.75">
      <c r="A11" s="7">
        <v>44186</v>
      </c>
      <c r="B11" s="8"/>
      <c r="C11" s="444">
        <v>44114</v>
      </c>
      <c r="D11" s="2" t="s">
        <v>23</v>
      </c>
      <c r="E11" s="2" t="s">
        <v>24</v>
      </c>
      <c r="F11" s="2">
        <v>100.45</v>
      </c>
      <c r="G11" s="2">
        <v>1149</v>
      </c>
      <c r="H11" s="9" t="s">
        <v>350</v>
      </c>
      <c r="I11" s="9" t="s">
        <v>351</v>
      </c>
      <c r="J11" s="2" t="s">
        <v>26</v>
      </c>
      <c r="K11" s="2"/>
      <c r="L11" s="2"/>
      <c r="M11" s="2"/>
    </row>
    <row r="12" spans="1:13" ht="30.75">
      <c r="A12" s="7">
        <v>44186</v>
      </c>
      <c r="B12" s="8"/>
      <c r="C12" s="444">
        <v>44117</v>
      </c>
      <c r="D12" s="2" t="s">
        <v>23</v>
      </c>
      <c r="E12" s="2" t="s">
        <v>24</v>
      </c>
      <c r="F12" s="2">
        <v>103.95</v>
      </c>
      <c r="G12" s="2">
        <v>1149</v>
      </c>
      <c r="H12" s="9" t="s">
        <v>352</v>
      </c>
      <c r="I12" s="9" t="s">
        <v>353</v>
      </c>
      <c r="J12" s="2" t="s">
        <v>26</v>
      </c>
      <c r="K12" s="2"/>
      <c r="L12" s="2"/>
      <c r="M12" s="2"/>
    </row>
    <row r="13" spans="1:13" ht="30.75">
      <c r="A13" s="7">
        <v>44186</v>
      </c>
      <c r="B13" s="8"/>
      <c r="C13" s="444">
        <v>44119</v>
      </c>
      <c r="D13" s="2" t="s">
        <v>23</v>
      </c>
      <c r="E13" s="2" t="s">
        <v>24</v>
      </c>
      <c r="F13" s="2">
        <v>91</v>
      </c>
      <c r="G13" s="2">
        <v>1149</v>
      </c>
      <c r="H13" s="9" t="s">
        <v>354</v>
      </c>
      <c r="I13" s="9" t="s">
        <v>355</v>
      </c>
      <c r="J13" s="2" t="s">
        <v>26</v>
      </c>
      <c r="K13" s="2"/>
      <c r="L13" s="2"/>
      <c r="M13" s="2"/>
    </row>
    <row r="14" spans="1:13" ht="30.75">
      <c r="A14" s="7">
        <v>44186</v>
      </c>
      <c r="B14" s="8"/>
      <c r="C14" s="444">
        <v>44121</v>
      </c>
      <c r="D14" s="2" t="s">
        <v>23</v>
      </c>
      <c r="E14" s="2" t="s">
        <v>24</v>
      </c>
      <c r="F14" s="2">
        <v>87</v>
      </c>
      <c r="G14" s="2">
        <v>1149</v>
      </c>
      <c r="H14" s="9" t="s">
        <v>356</v>
      </c>
      <c r="I14" s="9" t="s">
        <v>357</v>
      </c>
      <c r="J14" s="2" t="s">
        <v>26</v>
      </c>
      <c r="K14" s="2"/>
      <c r="L14" s="2"/>
      <c r="M14" s="2"/>
    </row>
    <row r="15" spans="1:13" ht="30.75">
      <c r="A15" s="7">
        <v>44186</v>
      </c>
      <c r="B15" s="8"/>
      <c r="C15" s="444">
        <v>44124</v>
      </c>
      <c r="D15" s="2" t="s">
        <v>23</v>
      </c>
      <c r="E15" s="2" t="s">
        <v>24</v>
      </c>
      <c r="F15" s="2">
        <v>90</v>
      </c>
      <c r="G15" s="2">
        <v>1149</v>
      </c>
      <c r="H15" s="9" t="s">
        <v>358</v>
      </c>
      <c r="I15" s="9" t="s">
        <v>359</v>
      </c>
      <c r="J15" s="2" t="s">
        <v>26</v>
      </c>
      <c r="K15" s="2"/>
      <c r="L15" s="2"/>
      <c r="M15" s="2"/>
    </row>
    <row r="16" spans="1:13" ht="30.75">
      <c r="A16" s="7">
        <v>44186</v>
      </c>
      <c r="B16" s="8"/>
      <c r="C16" s="444">
        <v>44126</v>
      </c>
      <c r="D16" s="2" t="s">
        <v>23</v>
      </c>
      <c r="E16" s="2" t="s">
        <v>24</v>
      </c>
      <c r="F16" s="2">
        <v>88</v>
      </c>
      <c r="G16" s="2">
        <v>1149</v>
      </c>
      <c r="H16" s="9" t="s">
        <v>360</v>
      </c>
      <c r="I16" s="9" t="s">
        <v>361</v>
      </c>
      <c r="J16" s="2" t="s">
        <v>26</v>
      </c>
      <c r="K16" s="2"/>
      <c r="L16" s="2"/>
      <c r="M16" s="2"/>
    </row>
    <row r="17" spans="1:13" ht="30.75">
      <c r="A17" s="7">
        <v>44186</v>
      </c>
      <c r="B17" s="8"/>
      <c r="C17" s="444">
        <v>44128</v>
      </c>
      <c r="D17" s="2" t="s">
        <v>23</v>
      </c>
      <c r="E17" s="2" t="s">
        <v>24</v>
      </c>
      <c r="F17" s="2">
        <v>137.75</v>
      </c>
      <c r="G17" s="2">
        <v>1149</v>
      </c>
      <c r="H17" s="9" t="s">
        <v>362</v>
      </c>
      <c r="I17" s="9" t="s">
        <v>363</v>
      </c>
      <c r="J17" s="2" t="s">
        <v>26</v>
      </c>
      <c r="K17" s="2"/>
      <c r="L17" s="2"/>
      <c r="M17" s="2"/>
    </row>
    <row r="18" spans="1:13" ht="30.75">
      <c r="A18" s="7">
        <v>44186</v>
      </c>
      <c r="B18" s="8"/>
      <c r="C18" s="444">
        <v>44131</v>
      </c>
      <c r="D18" s="2" t="s">
        <v>23</v>
      </c>
      <c r="E18" s="2" t="s">
        <v>24</v>
      </c>
      <c r="F18" s="2">
        <v>105.3</v>
      </c>
      <c r="G18" s="2">
        <v>1149</v>
      </c>
      <c r="H18" s="9" t="s">
        <v>364</v>
      </c>
      <c r="I18" s="9" t="s">
        <v>365</v>
      </c>
      <c r="J18" s="2" t="s">
        <v>26</v>
      </c>
      <c r="K18" s="2"/>
      <c r="L18" s="2"/>
      <c r="M18" s="2"/>
    </row>
    <row r="19" spans="1:13" ht="30.75">
      <c r="A19" s="7">
        <v>44186</v>
      </c>
      <c r="B19" s="8"/>
      <c r="C19" s="444">
        <v>44133</v>
      </c>
      <c r="D19" s="2" t="s">
        <v>23</v>
      </c>
      <c r="E19" s="2" t="s">
        <v>24</v>
      </c>
      <c r="F19" s="2">
        <v>91.8</v>
      </c>
      <c r="G19" s="2">
        <v>1149</v>
      </c>
      <c r="H19" s="9" t="s">
        <v>366</v>
      </c>
      <c r="I19" s="9" t="s">
        <v>367</v>
      </c>
      <c r="J19" s="2" t="s">
        <v>26</v>
      </c>
      <c r="K19" s="2"/>
      <c r="L19" s="2"/>
      <c r="M19" s="2"/>
    </row>
    <row r="20" spans="1:13" ht="30.75">
      <c r="A20" s="7">
        <v>44186</v>
      </c>
      <c r="B20" s="2"/>
      <c r="C20" s="444">
        <v>44135</v>
      </c>
      <c r="D20" s="2" t="s">
        <v>23</v>
      </c>
      <c r="E20" s="2" t="s">
        <v>24</v>
      </c>
      <c r="F20" s="2">
        <v>100.2</v>
      </c>
      <c r="G20" s="2">
        <v>1149</v>
      </c>
      <c r="H20" s="9" t="s">
        <v>368</v>
      </c>
      <c r="I20" s="9" t="s">
        <v>368</v>
      </c>
      <c r="J20" s="2" t="s">
        <v>26</v>
      </c>
      <c r="K20" s="2"/>
      <c r="L20" s="2"/>
      <c r="M20" s="2"/>
    </row>
    <row r="21" spans="1:13" ht="41.25">
      <c r="A21" s="2"/>
      <c r="B21" s="2"/>
      <c r="C21" s="445" t="s">
        <v>369</v>
      </c>
      <c r="D21" s="42"/>
      <c r="E21" s="42"/>
      <c r="F21" s="43">
        <v>1446.74</v>
      </c>
      <c r="G21" s="42"/>
      <c r="H21" s="44" t="s">
        <v>370</v>
      </c>
      <c r="I21" s="44"/>
      <c r="J21" s="42"/>
      <c r="K21" s="2"/>
      <c r="L21" s="2"/>
      <c r="M21" s="2"/>
    </row>
    <row r="22" spans="1:13" ht="32.25">
      <c r="A22" s="55">
        <v>44188</v>
      </c>
      <c r="B22" s="54"/>
      <c r="C22" s="446">
        <v>44138</v>
      </c>
      <c r="D22" s="53" t="s">
        <v>23</v>
      </c>
      <c r="E22" s="53" t="s">
        <v>24</v>
      </c>
      <c r="F22" s="57">
        <v>101.4</v>
      </c>
      <c r="G22" s="57">
        <v>1317</v>
      </c>
      <c r="H22" s="58" t="s">
        <v>371</v>
      </c>
      <c r="I22" s="58" t="s">
        <v>371</v>
      </c>
      <c r="J22" s="57" t="s">
        <v>26</v>
      </c>
      <c r="K22" s="53"/>
      <c r="L22" s="2"/>
      <c r="M22" s="2"/>
    </row>
    <row r="23" spans="1:13" ht="32.25">
      <c r="A23" s="55">
        <v>44188</v>
      </c>
      <c r="B23" s="53"/>
      <c r="C23" s="447">
        <v>44140</v>
      </c>
      <c r="D23" s="53" t="s">
        <v>23</v>
      </c>
      <c r="E23" s="53" t="s">
        <v>24</v>
      </c>
      <c r="F23" s="53">
        <v>98.2</v>
      </c>
      <c r="G23" s="57">
        <v>1317</v>
      </c>
      <c r="H23" s="56" t="s">
        <v>372</v>
      </c>
      <c r="I23" s="56" t="s">
        <v>372</v>
      </c>
      <c r="J23" s="57" t="s">
        <v>26</v>
      </c>
      <c r="K23" s="53"/>
      <c r="L23" s="2"/>
      <c r="M23" s="2"/>
    </row>
    <row r="24" spans="1:13" ht="32.25">
      <c r="A24" s="55">
        <v>44188</v>
      </c>
      <c r="B24" s="53"/>
      <c r="C24" s="447">
        <v>44142</v>
      </c>
      <c r="D24" s="53" t="s">
        <v>23</v>
      </c>
      <c r="E24" s="53" t="s">
        <v>24</v>
      </c>
      <c r="F24" s="53">
        <v>94.3</v>
      </c>
      <c r="G24" s="57">
        <v>1317</v>
      </c>
      <c r="H24" s="56" t="s">
        <v>373</v>
      </c>
      <c r="I24" s="56" t="s">
        <v>373</v>
      </c>
      <c r="J24" s="57" t="s">
        <v>26</v>
      </c>
      <c r="K24" s="53"/>
      <c r="L24" s="2"/>
      <c r="M24" s="2"/>
    </row>
    <row r="25" spans="1:13" ht="32.25">
      <c r="A25" s="55">
        <v>44188</v>
      </c>
      <c r="B25" s="53"/>
      <c r="C25" s="447">
        <v>44145</v>
      </c>
      <c r="D25" s="53" t="s">
        <v>23</v>
      </c>
      <c r="E25" s="53" t="s">
        <v>24</v>
      </c>
      <c r="F25" s="53">
        <v>98.3</v>
      </c>
      <c r="G25" s="57">
        <v>1317</v>
      </c>
      <c r="H25" s="56" t="s">
        <v>374</v>
      </c>
      <c r="I25" s="56" t="s">
        <v>375</v>
      </c>
      <c r="J25" s="57" t="s">
        <v>26</v>
      </c>
      <c r="K25" s="53"/>
      <c r="L25" s="2"/>
      <c r="M25" s="2"/>
    </row>
    <row r="26" spans="1:13" ht="32.25">
      <c r="A26" s="55">
        <v>44188</v>
      </c>
      <c r="B26" s="53"/>
      <c r="C26" s="447">
        <v>44147</v>
      </c>
      <c r="D26" s="53" t="s">
        <v>23</v>
      </c>
      <c r="E26" s="53" t="s">
        <v>24</v>
      </c>
      <c r="F26" s="53">
        <v>100.4</v>
      </c>
      <c r="G26" s="57">
        <v>1317</v>
      </c>
      <c r="H26" s="56" t="s">
        <v>376</v>
      </c>
      <c r="I26" s="56" t="s">
        <v>376</v>
      </c>
      <c r="J26" s="57" t="s">
        <v>26</v>
      </c>
      <c r="K26" s="53"/>
      <c r="L26" s="2"/>
      <c r="M26" s="2"/>
    </row>
    <row r="27" spans="1:13" ht="32.25">
      <c r="A27" s="55">
        <v>44188</v>
      </c>
      <c r="B27" s="53"/>
      <c r="C27" s="447">
        <v>44149</v>
      </c>
      <c r="D27" s="53" t="s">
        <v>23</v>
      </c>
      <c r="E27" s="53" t="s">
        <v>24</v>
      </c>
      <c r="F27" s="53">
        <v>110</v>
      </c>
      <c r="G27" s="57">
        <v>1317</v>
      </c>
      <c r="H27" s="56" t="s">
        <v>377</v>
      </c>
      <c r="I27" s="56" t="s">
        <v>377</v>
      </c>
      <c r="J27" s="57" t="s">
        <v>26</v>
      </c>
      <c r="K27" s="53"/>
      <c r="L27" s="2"/>
      <c r="M27" s="2"/>
    </row>
    <row r="28" spans="1:13" ht="32.25">
      <c r="A28" s="55">
        <v>44188</v>
      </c>
      <c r="B28" s="53"/>
      <c r="C28" s="447">
        <v>44152</v>
      </c>
      <c r="D28" s="53" t="s">
        <v>23</v>
      </c>
      <c r="E28" s="53" t="s">
        <v>24</v>
      </c>
      <c r="F28" s="53">
        <v>108.4</v>
      </c>
      <c r="G28" s="57">
        <v>1317</v>
      </c>
      <c r="H28" s="56" t="s">
        <v>378</v>
      </c>
      <c r="I28" s="56" t="s">
        <v>378</v>
      </c>
      <c r="J28" s="57" t="s">
        <v>26</v>
      </c>
      <c r="K28" s="53"/>
      <c r="L28" s="2"/>
      <c r="M28" s="2"/>
    </row>
    <row r="29" spans="1:13" ht="32.25">
      <c r="A29" s="55">
        <v>44188</v>
      </c>
      <c r="B29" s="53"/>
      <c r="C29" s="447">
        <v>44154</v>
      </c>
      <c r="D29" s="53" t="s">
        <v>23</v>
      </c>
      <c r="E29" s="53" t="s">
        <v>24</v>
      </c>
      <c r="F29" s="53">
        <v>88.2</v>
      </c>
      <c r="G29" s="57">
        <v>1317</v>
      </c>
      <c r="H29" s="56" t="s">
        <v>379</v>
      </c>
      <c r="I29" s="56" t="s">
        <v>379</v>
      </c>
      <c r="J29" s="57" t="s">
        <v>26</v>
      </c>
      <c r="K29" s="53"/>
      <c r="L29" s="2"/>
      <c r="M29" s="2"/>
    </row>
    <row r="30" spans="1:13" ht="32.25">
      <c r="A30" s="55">
        <v>44188</v>
      </c>
      <c r="B30" s="53"/>
      <c r="C30" s="447">
        <v>44156</v>
      </c>
      <c r="D30" s="53" t="s">
        <v>23</v>
      </c>
      <c r="E30" s="53" t="s">
        <v>24</v>
      </c>
      <c r="F30" s="53">
        <v>102.7</v>
      </c>
      <c r="G30" s="57">
        <v>1317</v>
      </c>
      <c r="H30" s="56" t="s">
        <v>380</v>
      </c>
      <c r="I30" s="56" t="s">
        <v>380</v>
      </c>
      <c r="J30" s="57" t="s">
        <v>26</v>
      </c>
      <c r="K30" s="53"/>
      <c r="L30" s="2"/>
      <c r="M30" s="2"/>
    </row>
    <row r="31" spans="1:13" ht="32.25">
      <c r="A31" s="55">
        <v>44188</v>
      </c>
      <c r="B31" s="53"/>
      <c r="C31" s="447">
        <v>44159</v>
      </c>
      <c r="D31" s="53" t="s">
        <v>23</v>
      </c>
      <c r="E31" s="53" t="s">
        <v>24</v>
      </c>
      <c r="F31" s="53">
        <v>100.2</v>
      </c>
      <c r="G31" s="57">
        <v>1317</v>
      </c>
      <c r="H31" s="56" t="s">
        <v>381</v>
      </c>
      <c r="I31" s="56" t="s">
        <v>381</v>
      </c>
      <c r="J31" s="57" t="s">
        <v>26</v>
      </c>
      <c r="K31" s="53"/>
      <c r="L31" s="2"/>
      <c r="M31" s="2"/>
    </row>
    <row r="32" spans="1:13" ht="32.25">
      <c r="A32" s="55">
        <v>44188</v>
      </c>
      <c r="B32" s="53"/>
      <c r="C32" s="447">
        <v>44161</v>
      </c>
      <c r="D32" s="53" t="s">
        <v>23</v>
      </c>
      <c r="E32" s="53" t="s">
        <v>24</v>
      </c>
      <c r="F32" s="53">
        <v>97.7</v>
      </c>
      <c r="G32" s="57">
        <v>1317</v>
      </c>
      <c r="H32" s="56" t="s">
        <v>382</v>
      </c>
      <c r="I32" s="56" t="s">
        <v>383</v>
      </c>
      <c r="J32" s="57" t="s">
        <v>26</v>
      </c>
      <c r="K32" s="53"/>
      <c r="L32" s="2"/>
      <c r="M32" s="2"/>
    </row>
    <row r="33" spans="1:13" ht="32.25">
      <c r="A33" s="55">
        <v>44188</v>
      </c>
      <c r="B33" s="53"/>
      <c r="C33" s="447">
        <v>44163</v>
      </c>
      <c r="D33" s="53" t="s">
        <v>23</v>
      </c>
      <c r="E33" s="53" t="s">
        <v>24</v>
      </c>
      <c r="F33" s="53">
        <v>93.7</v>
      </c>
      <c r="G33" s="57">
        <v>1317</v>
      </c>
      <c r="H33" s="56" t="s">
        <v>384</v>
      </c>
      <c r="I33" s="56" t="s">
        <v>384</v>
      </c>
      <c r="J33" s="57" t="s">
        <v>26</v>
      </c>
      <c r="K33" s="53"/>
      <c r="L33" s="2"/>
      <c r="M33" s="2"/>
    </row>
    <row r="34" spans="1:13" ht="41.25">
      <c r="A34" s="53"/>
      <c r="B34" s="53"/>
      <c r="C34" s="445" t="s">
        <v>385</v>
      </c>
      <c r="D34" s="53" t="s">
        <v>23</v>
      </c>
      <c r="E34" s="53"/>
      <c r="F34" s="59">
        <v>1193.5</v>
      </c>
      <c r="G34" s="53"/>
      <c r="H34" s="60" t="s">
        <v>386</v>
      </c>
      <c r="I34" s="56"/>
      <c r="J34" s="53"/>
      <c r="K34" s="53"/>
      <c r="L34" s="2"/>
      <c r="M34" s="2"/>
    </row>
    <row r="35" spans="1:13" ht="30.75">
      <c r="A35" s="80">
        <v>44233</v>
      </c>
      <c r="B35" s="81"/>
      <c r="C35" s="448">
        <v>44166</v>
      </c>
      <c r="D35" s="81" t="s">
        <v>23</v>
      </c>
      <c r="E35" s="81" t="s">
        <v>24</v>
      </c>
      <c r="F35" s="81">
        <v>81</v>
      </c>
      <c r="G35" s="81">
        <v>1608</v>
      </c>
      <c r="H35" s="82" t="s">
        <v>387</v>
      </c>
      <c r="I35" s="82" t="s">
        <v>388</v>
      </c>
      <c r="J35" s="81" t="s">
        <v>26</v>
      </c>
      <c r="K35" s="81"/>
      <c r="L35" s="2"/>
      <c r="M35" s="2"/>
    </row>
    <row r="36" spans="1:13" ht="30.75">
      <c r="A36" s="80">
        <v>44233</v>
      </c>
      <c r="B36" s="83"/>
      <c r="C36" s="449">
        <v>44168</v>
      </c>
      <c r="D36" s="81" t="s">
        <v>23</v>
      </c>
      <c r="E36" s="81" t="s">
        <v>24</v>
      </c>
      <c r="F36" s="84">
        <v>80</v>
      </c>
      <c r="G36" s="81">
        <v>1608</v>
      </c>
      <c r="H36" s="82" t="s">
        <v>389</v>
      </c>
      <c r="I36" s="82" t="s">
        <v>390</v>
      </c>
      <c r="J36" s="81" t="s">
        <v>26</v>
      </c>
      <c r="K36" s="81"/>
      <c r="L36" s="2"/>
      <c r="M36" s="2"/>
    </row>
    <row r="37" spans="1:13" ht="30.75">
      <c r="A37" s="80">
        <v>44233</v>
      </c>
      <c r="B37" s="81"/>
      <c r="C37" s="448">
        <v>44170</v>
      </c>
      <c r="D37" s="81" t="s">
        <v>23</v>
      </c>
      <c r="E37" s="81" t="s">
        <v>24</v>
      </c>
      <c r="F37" s="81">
        <v>80</v>
      </c>
      <c r="G37" s="81">
        <v>1608</v>
      </c>
      <c r="H37" s="82" t="s">
        <v>391</v>
      </c>
      <c r="I37" s="82" t="s">
        <v>392</v>
      </c>
      <c r="J37" s="81" t="s">
        <v>26</v>
      </c>
      <c r="K37" s="81"/>
      <c r="L37" s="2"/>
      <c r="M37" s="2"/>
    </row>
    <row r="38" spans="1:13" ht="30.75">
      <c r="A38" s="80">
        <v>44233</v>
      </c>
      <c r="B38" s="81"/>
      <c r="C38" s="448">
        <v>44173</v>
      </c>
      <c r="D38" s="81" t="s">
        <v>23</v>
      </c>
      <c r="E38" s="81" t="s">
        <v>24</v>
      </c>
      <c r="F38" s="81">
        <v>85.1</v>
      </c>
      <c r="G38" s="81">
        <v>1608</v>
      </c>
      <c r="H38" s="82" t="s">
        <v>393</v>
      </c>
      <c r="I38" s="82" t="s">
        <v>394</v>
      </c>
      <c r="J38" s="81" t="s">
        <v>26</v>
      </c>
      <c r="K38" s="81"/>
      <c r="L38" s="2"/>
      <c r="M38" s="2"/>
    </row>
    <row r="39" spans="1:13" ht="30.75">
      <c r="A39" s="80">
        <v>44233</v>
      </c>
      <c r="B39" s="81"/>
      <c r="C39" s="448">
        <v>44175</v>
      </c>
      <c r="D39" s="81" t="s">
        <v>23</v>
      </c>
      <c r="E39" s="81" t="s">
        <v>24</v>
      </c>
      <c r="F39" s="81">
        <v>85</v>
      </c>
      <c r="G39" s="81">
        <v>1608</v>
      </c>
      <c r="H39" s="82" t="s">
        <v>395</v>
      </c>
      <c r="I39" s="82" t="s">
        <v>396</v>
      </c>
      <c r="J39" s="81" t="s">
        <v>26</v>
      </c>
      <c r="K39" s="81"/>
      <c r="L39" s="2"/>
      <c r="M39" s="2"/>
    </row>
    <row r="40" spans="1:13" ht="30.75">
      <c r="A40" s="80">
        <v>44233</v>
      </c>
      <c r="B40" s="81"/>
      <c r="C40" s="448">
        <v>44177</v>
      </c>
      <c r="D40" s="81" t="s">
        <v>23</v>
      </c>
      <c r="E40" s="81" t="s">
        <v>24</v>
      </c>
      <c r="F40" s="81">
        <v>85</v>
      </c>
      <c r="G40" s="81">
        <v>1608</v>
      </c>
      <c r="H40" s="82" t="s">
        <v>397</v>
      </c>
      <c r="I40" s="82" t="s">
        <v>398</v>
      </c>
      <c r="J40" s="81" t="s">
        <v>26</v>
      </c>
      <c r="K40" s="81"/>
      <c r="L40" s="2"/>
      <c r="M40" s="2"/>
    </row>
    <row r="41" spans="1:13" ht="30.75">
      <c r="A41" s="80">
        <v>44233</v>
      </c>
      <c r="B41" s="81"/>
      <c r="C41" s="448">
        <v>44180</v>
      </c>
      <c r="D41" s="81" t="s">
        <v>23</v>
      </c>
      <c r="E41" s="81" t="s">
        <v>24</v>
      </c>
      <c r="F41" s="81">
        <v>71.2</v>
      </c>
      <c r="G41" s="81">
        <v>1608</v>
      </c>
      <c r="H41" s="82" t="s">
        <v>399</v>
      </c>
      <c r="I41" s="82" t="s">
        <v>400</v>
      </c>
      <c r="J41" s="81" t="s">
        <v>26</v>
      </c>
      <c r="K41" s="81"/>
      <c r="L41" s="2"/>
      <c r="M41" s="2"/>
    </row>
    <row r="42" spans="1:13" ht="30.75">
      <c r="A42" s="80">
        <v>44233</v>
      </c>
      <c r="B42" s="81"/>
      <c r="C42" s="448">
        <v>44182</v>
      </c>
      <c r="D42" s="81" t="s">
        <v>23</v>
      </c>
      <c r="E42" s="81" t="s">
        <v>24</v>
      </c>
      <c r="F42" s="81">
        <v>69</v>
      </c>
      <c r="G42" s="81">
        <v>1608</v>
      </c>
      <c r="H42" s="82" t="s">
        <v>401</v>
      </c>
      <c r="I42" s="82" t="s">
        <v>402</v>
      </c>
      <c r="J42" s="81" t="s">
        <v>26</v>
      </c>
      <c r="K42" s="81"/>
      <c r="L42" s="2"/>
      <c r="M42" s="2"/>
    </row>
    <row r="43" spans="1:13" ht="30.75">
      <c r="A43" s="80">
        <v>44233</v>
      </c>
      <c r="B43" s="81"/>
      <c r="C43" s="448">
        <v>44184</v>
      </c>
      <c r="D43" s="81" t="s">
        <v>23</v>
      </c>
      <c r="E43" s="81" t="s">
        <v>24</v>
      </c>
      <c r="F43" s="81">
        <v>69</v>
      </c>
      <c r="G43" s="81">
        <v>1608</v>
      </c>
      <c r="H43" s="82" t="s">
        <v>403</v>
      </c>
      <c r="I43" s="82" t="s">
        <v>404</v>
      </c>
      <c r="J43" s="81" t="s">
        <v>26</v>
      </c>
      <c r="K43" s="81"/>
      <c r="L43" s="2"/>
      <c r="M43" s="2"/>
    </row>
    <row r="44" spans="1:13" ht="30.75">
      <c r="A44" s="80">
        <v>44233</v>
      </c>
      <c r="B44" s="81"/>
      <c r="C44" s="448">
        <v>44187</v>
      </c>
      <c r="D44" s="81" t="s">
        <v>23</v>
      </c>
      <c r="E44" s="81" t="s">
        <v>24</v>
      </c>
      <c r="F44" s="81">
        <v>112</v>
      </c>
      <c r="G44" s="81">
        <v>1608</v>
      </c>
      <c r="H44" s="82" t="s">
        <v>405</v>
      </c>
      <c r="I44" s="82" t="s">
        <v>406</v>
      </c>
      <c r="J44" s="81" t="s">
        <v>26</v>
      </c>
      <c r="K44" s="81"/>
      <c r="L44" s="2"/>
      <c r="M44" s="2"/>
    </row>
    <row r="45" spans="1:13" ht="30.75">
      <c r="A45" s="80">
        <v>44233</v>
      </c>
      <c r="B45" s="81"/>
      <c r="C45" s="448">
        <v>44189</v>
      </c>
      <c r="D45" s="81" t="s">
        <v>23</v>
      </c>
      <c r="E45" s="81" t="s">
        <v>24</v>
      </c>
      <c r="F45" s="81">
        <v>110</v>
      </c>
      <c r="G45" s="81">
        <v>1608</v>
      </c>
      <c r="H45" s="82" t="s">
        <v>407</v>
      </c>
      <c r="I45" s="82" t="s">
        <v>408</v>
      </c>
      <c r="J45" s="81" t="s">
        <v>26</v>
      </c>
      <c r="K45" s="81"/>
      <c r="L45" s="2"/>
      <c r="M45" s="2"/>
    </row>
    <row r="46" spans="1:13" ht="30.75">
      <c r="A46" s="80">
        <v>44233</v>
      </c>
      <c r="B46" s="81"/>
      <c r="C46" s="448">
        <v>44191</v>
      </c>
      <c r="D46" s="81" t="s">
        <v>23</v>
      </c>
      <c r="E46" s="81" t="s">
        <v>24</v>
      </c>
      <c r="F46" s="81">
        <v>110</v>
      </c>
      <c r="G46" s="81">
        <v>1608</v>
      </c>
      <c r="H46" s="82" t="s">
        <v>409</v>
      </c>
      <c r="I46" s="82" t="s">
        <v>410</v>
      </c>
      <c r="J46" s="81" t="s">
        <v>26</v>
      </c>
      <c r="K46" s="81"/>
      <c r="L46" s="2"/>
      <c r="M46" s="2"/>
    </row>
    <row r="47" spans="1:13" ht="30.75">
      <c r="A47" s="80">
        <v>44233</v>
      </c>
      <c r="B47" s="81"/>
      <c r="C47" s="448">
        <v>44194</v>
      </c>
      <c r="D47" s="81" t="s">
        <v>23</v>
      </c>
      <c r="E47" s="81" t="s">
        <v>24</v>
      </c>
      <c r="F47" s="81">
        <v>101.3</v>
      </c>
      <c r="G47" s="81">
        <v>1608</v>
      </c>
      <c r="H47" s="82" t="s">
        <v>411</v>
      </c>
      <c r="I47" s="82" t="s">
        <v>412</v>
      </c>
      <c r="J47" s="81" t="s">
        <v>26</v>
      </c>
      <c r="K47" s="81"/>
      <c r="L47" s="2"/>
      <c r="M47" s="2"/>
    </row>
    <row r="48" spans="1:13" ht="30.75">
      <c r="A48" s="80">
        <v>44233</v>
      </c>
      <c r="B48" s="81"/>
      <c r="C48" s="448">
        <v>44196</v>
      </c>
      <c r="D48" s="81" t="s">
        <v>23</v>
      </c>
      <c r="E48" s="81" t="s">
        <v>24</v>
      </c>
      <c r="F48" s="81">
        <v>104.3</v>
      </c>
      <c r="G48" s="81">
        <v>1608</v>
      </c>
      <c r="H48" s="82" t="s">
        <v>413</v>
      </c>
      <c r="I48" s="82" t="s">
        <v>414</v>
      </c>
      <c r="J48" s="81" t="s">
        <v>26</v>
      </c>
      <c r="K48" s="81"/>
      <c r="L48" s="2"/>
      <c r="M48" s="2"/>
    </row>
    <row r="49" spans="1:13" ht="37.5">
      <c r="A49" s="2"/>
      <c r="B49" s="2"/>
      <c r="C49" s="450" t="s">
        <v>415</v>
      </c>
      <c r="D49" s="62" t="s">
        <v>23</v>
      </c>
      <c r="E49" s="62"/>
      <c r="F49" s="63">
        <v>1242.9000000000001</v>
      </c>
      <c r="G49" s="62"/>
      <c r="H49" s="65" t="s">
        <v>416</v>
      </c>
      <c r="I49" s="64"/>
      <c r="J49" s="62"/>
      <c r="K49" s="2"/>
      <c r="L49" s="2"/>
      <c r="M49" s="2"/>
    </row>
    <row r="50" spans="1:13" ht="30.75">
      <c r="A50" s="85">
        <v>44233</v>
      </c>
      <c r="B50" s="86"/>
      <c r="C50" s="451">
        <v>44198</v>
      </c>
      <c r="D50" s="86" t="s">
        <v>23</v>
      </c>
      <c r="E50" s="86" t="s">
        <v>24</v>
      </c>
      <c r="F50" s="86">
        <v>104.3</v>
      </c>
      <c r="G50" s="86">
        <v>1816</v>
      </c>
      <c r="H50" s="87" t="s">
        <v>417</v>
      </c>
      <c r="I50" s="87" t="s">
        <v>418</v>
      </c>
      <c r="J50" s="86"/>
      <c r="K50" s="86" t="s">
        <v>26</v>
      </c>
      <c r="L50" s="2"/>
      <c r="M50" s="2"/>
    </row>
    <row r="51" spans="1:13" ht="30.75">
      <c r="A51" s="85">
        <v>44233</v>
      </c>
      <c r="B51" s="86"/>
      <c r="C51" s="451">
        <v>44201</v>
      </c>
      <c r="D51" s="86" t="s">
        <v>23</v>
      </c>
      <c r="E51" s="86" t="s">
        <v>24</v>
      </c>
      <c r="F51" s="86">
        <v>107.4</v>
      </c>
      <c r="G51" s="86">
        <v>1816</v>
      </c>
      <c r="H51" s="88" t="s">
        <v>419</v>
      </c>
      <c r="I51" s="87" t="s">
        <v>420</v>
      </c>
      <c r="J51" s="86"/>
      <c r="K51" s="86" t="s">
        <v>26</v>
      </c>
      <c r="L51" s="2"/>
      <c r="M51" s="2"/>
    </row>
    <row r="52" spans="1:13" ht="30.75">
      <c r="A52" s="85">
        <v>44233</v>
      </c>
      <c r="B52" s="86"/>
      <c r="C52" s="451">
        <v>44203</v>
      </c>
      <c r="D52" s="86" t="s">
        <v>23</v>
      </c>
      <c r="E52" s="86" t="s">
        <v>24</v>
      </c>
      <c r="F52" s="86">
        <v>76.099999999999994</v>
      </c>
      <c r="G52" s="86">
        <v>1816</v>
      </c>
      <c r="H52" s="87" t="s">
        <v>421</v>
      </c>
      <c r="I52" s="87" t="s">
        <v>422</v>
      </c>
      <c r="J52" s="86"/>
      <c r="K52" s="86" t="s">
        <v>26</v>
      </c>
      <c r="L52" s="2"/>
      <c r="M52" s="2"/>
    </row>
    <row r="53" spans="1:13" ht="30.75">
      <c r="A53" s="85">
        <v>44233</v>
      </c>
      <c r="B53" s="86"/>
      <c r="C53" s="451">
        <v>44205</v>
      </c>
      <c r="D53" s="86" t="s">
        <v>23</v>
      </c>
      <c r="E53" s="86" t="s">
        <v>24</v>
      </c>
      <c r="F53" s="86">
        <v>76</v>
      </c>
      <c r="G53" s="86">
        <v>1816</v>
      </c>
      <c r="H53" s="87" t="s">
        <v>423</v>
      </c>
      <c r="I53" s="87" t="s">
        <v>424</v>
      </c>
      <c r="J53" s="86"/>
      <c r="K53" s="86" t="s">
        <v>26</v>
      </c>
      <c r="L53" s="2"/>
      <c r="M53" s="2"/>
    </row>
    <row r="54" spans="1:13" ht="30.75">
      <c r="A54" s="85">
        <v>44233</v>
      </c>
      <c r="B54" s="86"/>
      <c r="C54" s="451">
        <v>44208</v>
      </c>
      <c r="D54" s="86" t="s">
        <v>23</v>
      </c>
      <c r="E54" s="86" t="s">
        <v>24</v>
      </c>
      <c r="F54" s="86">
        <v>65.099999999999994</v>
      </c>
      <c r="G54" s="86">
        <v>1816</v>
      </c>
      <c r="H54" s="87" t="s">
        <v>425</v>
      </c>
      <c r="I54" s="87" t="s">
        <v>426</v>
      </c>
      <c r="J54" s="86"/>
      <c r="K54" s="86" t="s">
        <v>26</v>
      </c>
      <c r="L54" s="2"/>
      <c r="M54" s="2"/>
    </row>
    <row r="55" spans="1:13" ht="30.75">
      <c r="A55" s="85">
        <v>44233</v>
      </c>
      <c r="B55" s="86"/>
      <c r="C55" s="451">
        <v>44210</v>
      </c>
      <c r="D55" s="86" t="s">
        <v>23</v>
      </c>
      <c r="E55" s="86" t="s">
        <v>24</v>
      </c>
      <c r="F55" s="86">
        <v>63</v>
      </c>
      <c r="G55" s="86">
        <v>1816</v>
      </c>
      <c r="H55" s="87" t="s">
        <v>427</v>
      </c>
      <c r="I55" s="87" t="s">
        <v>428</v>
      </c>
      <c r="J55" s="86"/>
      <c r="K55" s="86" t="s">
        <v>26</v>
      </c>
      <c r="L55" s="2"/>
      <c r="M55" s="2"/>
    </row>
    <row r="56" spans="1:13" ht="30.75">
      <c r="A56" s="85">
        <v>44233</v>
      </c>
      <c r="B56" s="86"/>
      <c r="C56" s="451">
        <v>44212</v>
      </c>
      <c r="D56" s="86" t="s">
        <v>23</v>
      </c>
      <c r="E56" s="86" t="s">
        <v>24</v>
      </c>
      <c r="F56" s="86">
        <v>63</v>
      </c>
      <c r="G56" s="86">
        <v>1816</v>
      </c>
      <c r="H56" s="87" t="s">
        <v>429</v>
      </c>
      <c r="I56" s="87" t="s">
        <v>430</v>
      </c>
      <c r="J56" s="86"/>
      <c r="K56" s="86" t="s">
        <v>26</v>
      </c>
      <c r="L56" s="2"/>
      <c r="M56" s="2"/>
    </row>
    <row r="57" spans="1:13" ht="30.75">
      <c r="A57" s="85">
        <v>44233</v>
      </c>
      <c r="B57" s="86"/>
      <c r="C57" s="451">
        <v>44215</v>
      </c>
      <c r="D57" s="86" t="s">
        <v>23</v>
      </c>
      <c r="E57" s="86" t="s">
        <v>24</v>
      </c>
      <c r="F57" s="86">
        <v>88.9</v>
      </c>
      <c r="G57" s="86">
        <v>1816</v>
      </c>
      <c r="H57" s="87" t="s">
        <v>431</v>
      </c>
      <c r="I57" s="87" t="s">
        <v>432</v>
      </c>
      <c r="J57" s="86"/>
      <c r="K57" s="86" t="s">
        <v>26</v>
      </c>
      <c r="L57" s="2"/>
      <c r="M57" s="2"/>
    </row>
    <row r="58" spans="1:13" ht="30.75">
      <c r="A58" s="85">
        <v>44233</v>
      </c>
      <c r="B58" s="86"/>
      <c r="C58" s="451">
        <v>44210</v>
      </c>
      <c r="D58" s="86" t="s">
        <v>23</v>
      </c>
      <c r="E58" s="86" t="s">
        <v>24</v>
      </c>
      <c r="F58" s="86">
        <v>63</v>
      </c>
      <c r="G58" s="86">
        <v>1816</v>
      </c>
      <c r="H58" s="87" t="s">
        <v>427</v>
      </c>
      <c r="I58" s="87" t="s">
        <v>428</v>
      </c>
      <c r="J58" s="86"/>
      <c r="K58" s="86" t="s">
        <v>26</v>
      </c>
      <c r="L58" s="2"/>
      <c r="M58" s="2"/>
    </row>
    <row r="59" spans="1:13" ht="30.75">
      <c r="A59" s="85">
        <v>44233</v>
      </c>
      <c r="B59" s="86"/>
      <c r="C59" s="451">
        <v>44217</v>
      </c>
      <c r="D59" s="86" t="s">
        <v>23</v>
      </c>
      <c r="E59" s="86" t="s">
        <v>24</v>
      </c>
      <c r="F59" s="86">
        <v>87</v>
      </c>
      <c r="G59" s="86">
        <v>1816</v>
      </c>
      <c r="H59" s="87" t="s">
        <v>433</v>
      </c>
      <c r="I59" s="87" t="s">
        <v>434</v>
      </c>
      <c r="J59" s="86"/>
      <c r="K59" s="86" t="s">
        <v>26</v>
      </c>
      <c r="L59" s="2"/>
      <c r="M59" s="2"/>
    </row>
    <row r="60" spans="1:13" ht="30.75">
      <c r="A60" s="85">
        <v>44233</v>
      </c>
      <c r="B60" s="86"/>
      <c r="C60" s="451">
        <v>44219</v>
      </c>
      <c r="D60" s="86" t="s">
        <v>23</v>
      </c>
      <c r="E60" s="86" t="s">
        <v>24</v>
      </c>
      <c r="F60" s="86">
        <v>87</v>
      </c>
      <c r="G60" s="86">
        <v>1816</v>
      </c>
      <c r="H60" s="87" t="s">
        <v>435</v>
      </c>
      <c r="I60" s="87" t="s">
        <v>436</v>
      </c>
      <c r="J60" s="86"/>
      <c r="K60" s="86" t="s">
        <v>26</v>
      </c>
      <c r="L60" s="2"/>
      <c r="M60" s="2"/>
    </row>
    <row r="61" spans="1:13" ht="30.75">
      <c r="A61" s="85">
        <v>44233</v>
      </c>
      <c r="B61" s="86"/>
      <c r="C61" s="451">
        <v>44222</v>
      </c>
      <c r="D61" s="86" t="s">
        <v>23</v>
      </c>
      <c r="E61" s="86" t="s">
        <v>24</v>
      </c>
      <c r="F61" s="86">
        <v>108.2</v>
      </c>
      <c r="G61" s="86">
        <v>1816</v>
      </c>
      <c r="H61" s="87" t="s">
        <v>437</v>
      </c>
      <c r="I61" s="87" t="s">
        <v>438</v>
      </c>
      <c r="J61" s="86"/>
      <c r="K61" s="86" t="s">
        <v>26</v>
      </c>
      <c r="L61" s="2"/>
      <c r="M61" s="2"/>
    </row>
    <row r="62" spans="1:13" ht="30.75">
      <c r="A62" s="85">
        <v>44233</v>
      </c>
      <c r="B62" s="86"/>
      <c r="C62" s="451">
        <v>44224</v>
      </c>
      <c r="D62" s="86" t="s">
        <v>23</v>
      </c>
      <c r="E62" s="86" t="s">
        <v>24</v>
      </c>
      <c r="F62" s="86">
        <v>109</v>
      </c>
      <c r="G62" s="86">
        <v>1816</v>
      </c>
      <c r="H62" s="87" t="s">
        <v>439</v>
      </c>
      <c r="I62" s="87" t="s">
        <v>440</v>
      </c>
      <c r="J62" s="86"/>
      <c r="K62" s="86" t="s">
        <v>26</v>
      </c>
      <c r="L62" s="2"/>
      <c r="M62" s="2"/>
    </row>
    <row r="63" spans="1:13" ht="30.75">
      <c r="A63" s="85">
        <v>44233</v>
      </c>
      <c r="B63" s="86"/>
      <c r="C63" s="451">
        <v>44226</v>
      </c>
      <c r="D63" s="86" t="s">
        <v>23</v>
      </c>
      <c r="E63" s="86" t="s">
        <v>24</v>
      </c>
      <c r="F63" s="86">
        <v>106</v>
      </c>
      <c r="G63" s="86">
        <v>1816</v>
      </c>
      <c r="H63" s="87" t="s">
        <v>322</v>
      </c>
      <c r="I63" s="87" t="s">
        <v>441</v>
      </c>
      <c r="J63" s="86"/>
      <c r="K63" s="86" t="s">
        <v>26</v>
      </c>
      <c r="L63" s="2"/>
      <c r="M63" s="2"/>
    </row>
    <row r="64" spans="1:13" ht="18.75">
      <c r="A64" s="2"/>
      <c r="B64" s="2"/>
      <c r="C64" s="450" t="s">
        <v>442</v>
      </c>
      <c r="D64" s="2"/>
      <c r="E64" s="2"/>
      <c r="F64" s="66">
        <v>1204</v>
      </c>
      <c r="G64" s="2"/>
      <c r="H64" s="64" t="s">
        <v>443</v>
      </c>
      <c r="I64" s="9"/>
      <c r="J64" s="2"/>
      <c r="K64" s="2"/>
      <c r="L64" s="2"/>
      <c r="M64" s="2"/>
    </row>
    <row r="65" spans="1:13" ht="30.75">
      <c r="A65" s="77">
        <v>44302</v>
      </c>
      <c r="B65" s="89">
        <v>483</v>
      </c>
      <c r="C65" s="452">
        <v>44229</v>
      </c>
      <c r="D65" s="78" t="s">
        <v>23</v>
      </c>
      <c r="E65" s="78" t="s">
        <v>24</v>
      </c>
      <c r="F65" s="78">
        <v>138</v>
      </c>
      <c r="G65" s="79" t="s">
        <v>444</v>
      </c>
      <c r="H65" s="79" t="s">
        <v>445</v>
      </c>
      <c r="I65" s="79" t="s">
        <v>446</v>
      </c>
      <c r="J65" s="78"/>
      <c r="K65" s="78" t="s">
        <v>26</v>
      </c>
      <c r="L65" s="2"/>
      <c r="M65" s="2"/>
    </row>
    <row r="66" spans="1:13" ht="30.75">
      <c r="A66" s="77">
        <v>44302</v>
      </c>
      <c r="B66" s="89">
        <v>491.75</v>
      </c>
      <c r="C66" s="452">
        <v>44231</v>
      </c>
      <c r="D66" s="78" t="s">
        <v>23</v>
      </c>
      <c r="E66" s="78" t="s">
        <v>24</v>
      </c>
      <c r="F66" s="78">
        <v>140.5</v>
      </c>
      <c r="G66" s="79" t="s">
        <v>444</v>
      </c>
      <c r="H66" s="79" t="s">
        <v>447</v>
      </c>
      <c r="I66" s="79" t="s">
        <v>448</v>
      </c>
      <c r="J66" s="78"/>
      <c r="K66" s="78" t="s">
        <v>26</v>
      </c>
      <c r="L66" s="2"/>
      <c r="M66" s="2"/>
    </row>
    <row r="67" spans="1:13" ht="30.75">
      <c r="A67" s="77">
        <v>44302</v>
      </c>
      <c r="B67" s="89">
        <v>483</v>
      </c>
      <c r="C67" s="452">
        <v>44233</v>
      </c>
      <c r="D67" s="78" t="s">
        <v>23</v>
      </c>
      <c r="E67" s="78" t="s">
        <v>24</v>
      </c>
      <c r="F67" s="78">
        <v>138</v>
      </c>
      <c r="G67" s="79" t="s">
        <v>444</v>
      </c>
      <c r="H67" s="79" t="s">
        <v>449</v>
      </c>
      <c r="I67" s="79" t="s">
        <v>450</v>
      </c>
      <c r="J67" s="78"/>
      <c r="K67" s="78" t="s">
        <v>26</v>
      </c>
      <c r="L67" s="2"/>
      <c r="M67" s="2"/>
    </row>
    <row r="68" spans="1:13" ht="30.75">
      <c r="A68" s="77">
        <v>44302</v>
      </c>
      <c r="B68" s="89">
        <v>294</v>
      </c>
      <c r="C68" s="452">
        <v>44236</v>
      </c>
      <c r="D68" s="78" t="s">
        <v>23</v>
      </c>
      <c r="E68" s="78" t="s">
        <v>24</v>
      </c>
      <c r="F68" s="78">
        <v>84</v>
      </c>
      <c r="G68" s="79" t="s">
        <v>444</v>
      </c>
      <c r="H68" s="79" t="s">
        <v>451</v>
      </c>
      <c r="I68" s="79" t="s">
        <v>452</v>
      </c>
      <c r="J68" s="78"/>
      <c r="K68" s="78" t="s">
        <v>26</v>
      </c>
      <c r="L68" s="2"/>
      <c r="M68" s="2"/>
    </row>
    <row r="69" spans="1:13" ht="30.75">
      <c r="A69" s="77">
        <v>44302</v>
      </c>
      <c r="B69" s="89">
        <v>301.35000000000002</v>
      </c>
      <c r="C69" s="452">
        <v>44238</v>
      </c>
      <c r="D69" s="78" t="s">
        <v>23</v>
      </c>
      <c r="E69" s="78" t="s">
        <v>24</v>
      </c>
      <c r="F69" s="78">
        <v>86.1</v>
      </c>
      <c r="G69" s="79" t="s">
        <v>444</v>
      </c>
      <c r="H69" s="79" t="s">
        <v>453</v>
      </c>
      <c r="I69" s="79" t="s">
        <v>454</v>
      </c>
      <c r="J69" s="78"/>
      <c r="K69" s="78" t="s">
        <v>26</v>
      </c>
      <c r="L69" s="2"/>
      <c r="M69" s="2"/>
    </row>
    <row r="70" spans="1:13" ht="30.75">
      <c r="A70" s="77">
        <v>44302</v>
      </c>
      <c r="B70" s="89">
        <v>294</v>
      </c>
      <c r="C70" s="452">
        <v>44240</v>
      </c>
      <c r="D70" s="78" t="s">
        <v>23</v>
      </c>
      <c r="E70" s="78" t="s">
        <v>24</v>
      </c>
      <c r="F70" s="78">
        <v>84</v>
      </c>
      <c r="G70" s="79" t="s">
        <v>444</v>
      </c>
      <c r="H70" s="79" t="s">
        <v>455</v>
      </c>
      <c r="I70" s="79" t="s">
        <v>456</v>
      </c>
      <c r="J70" s="78"/>
      <c r="K70" s="78" t="s">
        <v>26</v>
      </c>
      <c r="L70" s="2"/>
      <c r="M70" s="2"/>
    </row>
    <row r="71" spans="1:13" ht="30.75">
      <c r="A71" s="77">
        <v>44302</v>
      </c>
      <c r="B71" s="89">
        <v>371</v>
      </c>
      <c r="C71" s="452">
        <v>44243</v>
      </c>
      <c r="D71" s="78" t="s">
        <v>23</v>
      </c>
      <c r="E71" s="78" t="s">
        <v>24</v>
      </c>
      <c r="F71" s="78">
        <v>106</v>
      </c>
      <c r="G71" s="79" t="s">
        <v>444</v>
      </c>
      <c r="H71" s="79" t="s">
        <v>457</v>
      </c>
      <c r="I71" s="79" t="s">
        <v>458</v>
      </c>
      <c r="J71" s="78"/>
      <c r="K71" s="78" t="s">
        <v>26</v>
      </c>
      <c r="L71" s="2"/>
      <c r="M71" s="2"/>
    </row>
    <row r="72" spans="1:13" ht="30.75">
      <c r="A72" s="77">
        <v>44302</v>
      </c>
      <c r="B72" s="89">
        <v>379.4</v>
      </c>
      <c r="C72" s="452">
        <v>44245</v>
      </c>
      <c r="D72" s="78" t="s">
        <v>23</v>
      </c>
      <c r="E72" s="78" t="s">
        <v>24</v>
      </c>
      <c r="F72" s="78">
        <v>108.4</v>
      </c>
      <c r="G72" s="79" t="s">
        <v>444</v>
      </c>
      <c r="H72" s="79" t="s">
        <v>459</v>
      </c>
      <c r="I72" s="79" t="s">
        <v>460</v>
      </c>
      <c r="J72" s="78"/>
      <c r="K72" s="78" t="s">
        <v>26</v>
      </c>
      <c r="L72" s="2"/>
      <c r="M72" s="2"/>
    </row>
    <row r="73" spans="1:13" ht="30.75">
      <c r="A73" s="77">
        <v>44302</v>
      </c>
      <c r="B73" s="89">
        <v>371</v>
      </c>
      <c r="C73" s="452">
        <v>44247</v>
      </c>
      <c r="D73" s="78" t="s">
        <v>23</v>
      </c>
      <c r="E73" s="78" t="s">
        <v>24</v>
      </c>
      <c r="F73" s="78">
        <v>106</v>
      </c>
      <c r="G73" s="79" t="s">
        <v>444</v>
      </c>
      <c r="H73" s="79" t="s">
        <v>461</v>
      </c>
      <c r="I73" s="79" t="s">
        <v>462</v>
      </c>
      <c r="J73" s="78"/>
      <c r="K73" s="78" t="s">
        <v>26</v>
      </c>
      <c r="L73" s="2"/>
      <c r="M73" s="2"/>
    </row>
    <row r="74" spans="1:13" ht="30.75">
      <c r="A74" s="77">
        <v>44302</v>
      </c>
      <c r="B74" s="89">
        <v>360.5</v>
      </c>
      <c r="C74" s="452">
        <v>44250</v>
      </c>
      <c r="D74" s="78" t="s">
        <v>23</v>
      </c>
      <c r="E74" s="78" t="s">
        <v>24</v>
      </c>
      <c r="F74" s="78">
        <v>103</v>
      </c>
      <c r="G74" s="79" t="s">
        <v>444</v>
      </c>
      <c r="H74" s="79" t="s">
        <v>463</v>
      </c>
      <c r="I74" s="79" t="s">
        <v>464</v>
      </c>
      <c r="J74" s="78"/>
      <c r="K74" s="78" t="s">
        <v>26</v>
      </c>
      <c r="L74" s="2"/>
      <c r="M74" s="2"/>
    </row>
    <row r="75" spans="1:13" ht="30.75">
      <c r="A75" s="77">
        <v>44302</v>
      </c>
      <c r="B75" s="89">
        <v>369.25</v>
      </c>
      <c r="C75" s="452">
        <v>44252</v>
      </c>
      <c r="D75" s="78" t="s">
        <v>23</v>
      </c>
      <c r="E75" s="78" t="s">
        <v>24</v>
      </c>
      <c r="F75" s="78">
        <v>105.5</v>
      </c>
      <c r="G75" s="79" t="s">
        <v>444</v>
      </c>
      <c r="H75" s="79" t="s">
        <v>465</v>
      </c>
      <c r="I75" s="79" t="s">
        <v>466</v>
      </c>
      <c r="J75" s="78"/>
      <c r="K75" s="78" t="s">
        <v>26</v>
      </c>
      <c r="L75" s="2"/>
      <c r="M75" s="2"/>
    </row>
    <row r="76" spans="1:13" ht="30.75">
      <c r="A76" s="77">
        <v>44302</v>
      </c>
      <c r="B76" s="89">
        <v>360.5</v>
      </c>
      <c r="C76" s="452">
        <v>44254</v>
      </c>
      <c r="D76" s="78" t="s">
        <v>23</v>
      </c>
      <c r="E76" s="78" t="s">
        <v>24</v>
      </c>
      <c r="F76" s="78">
        <v>103</v>
      </c>
      <c r="G76" s="79" t="s">
        <v>444</v>
      </c>
      <c r="H76" s="79" t="s">
        <v>467</v>
      </c>
      <c r="I76" s="79" t="s">
        <v>468</v>
      </c>
      <c r="J76" s="78"/>
      <c r="K76" s="78" t="s">
        <v>26</v>
      </c>
      <c r="L76" s="2"/>
      <c r="M76" s="2"/>
    </row>
    <row r="77" spans="1:13" ht="30.75">
      <c r="A77" s="2"/>
      <c r="B77" s="2"/>
      <c r="C77" s="450" t="s">
        <v>469</v>
      </c>
      <c r="D77" s="2" t="s">
        <v>23</v>
      </c>
      <c r="E77" s="2" t="s">
        <v>24</v>
      </c>
      <c r="F77" s="90">
        <v>1302.5</v>
      </c>
      <c r="G77" s="2"/>
      <c r="H77" s="92">
        <v>4558.75</v>
      </c>
      <c r="I77" s="91"/>
      <c r="J77" s="2"/>
      <c r="K77" s="2"/>
      <c r="L77" s="2"/>
      <c r="M77" s="2"/>
    </row>
    <row r="78" spans="1:13" ht="30.75">
      <c r="A78" s="111">
        <v>44338</v>
      </c>
      <c r="B78" s="110">
        <v>346.5</v>
      </c>
      <c r="C78" s="453">
        <v>44257</v>
      </c>
      <c r="D78" s="109" t="s">
        <v>23</v>
      </c>
      <c r="E78" s="109" t="s">
        <v>24</v>
      </c>
      <c r="F78" s="109">
        <v>99</v>
      </c>
      <c r="G78" s="112" t="s">
        <v>470</v>
      </c>
      <c r="H78" s="112" t="s">
        <v>471</v>
      </c>
      <c r="I78" s="112" t="s">
        <v>472</v>
      </c>
      <c r="J78" s="109"/>
      <c r="K78" s="109" t="s">
        <v>26</v>
      </c>
      <c r="L78" s="2"/>
      <c r="M78" s="2"/>
    </row>
    <row r="79" spans="1:13" ht="30.75">
      <c r="A79" s="111">
        <v>44338</v>
      </c>
      <c r="B79" s="110">
        <v>357</v>
      </c>
      <c r="C79" s="453">
        <v>44259</v>
      </c>
      <c r="D79" s="109" t="s">
        <v>23</v>
      </c>
      <c r="E79" s="109" t="s">
        <v>24</v>
      </c>
      <c r="F79" s="109">
        <v>102</v>
      </c>
      <c r="G79" s="112" t="s">
        <v>470</v>
      </c>
      <c r="H79" s="112" t="s">
        <v>473</v>
      </c>
      <c r="I79" s="112" t="s">
        <v>474</v>
      </c>
      <c r="J79" s="109"/>
      <c r="K79" s="109" t="s">
        <v>26</v>
      </c>
      <c r="L79" s="2"/>
      <c r="M79" s="2"/>
    </row>
    <row r="80" spans="1:13" ht="30.75">
      <c r="A80" s="111">
        <v>44338</v>
      </c>
      <c r="B80" s="110">
        <v>341.95</v>
      </c>
      <c r="C80" s="453">
        <v>44261</v>
      </c>
      <c r="D80" s="109" t="s">
        <v>23</v>
      </c>
      <c r="E80" s="109" t="s">
        <v>24</v>
      </c>
      <c r="F80" s="109">
        <v>97.7</v>
      </c>
      <c r="G80" s="112" t="s">
        <v>470</v>
      </c>
      <c r="H80" s="112" t="s">
        <v>475</v>
      </c>
      <c r="I80" s="112" t="s">
        <v>476</v>
      </c>
      <c r="J80" s="109"/>
      <c r="K80" s="109" t="s">
        <v>26</v>
      </c>
      <c r="L80" s="2"/>
      <c r="M80" s="2"/>
    </row>
    <row r="81" spans="1:13" ht="30.75">
      <c r="A81" s="111">
        <v>44338</v>
      </c>
      <c r="B81" s="110">
        <v>357</v>
      </c>
      <c r="C81" s="453">
        <v>44264</v>
      </c>
      <c r="D81" s="109" t="s">
        <v>23</v>
      </c>
      <c r="E81" s="109" t="s">
        <v>24</v>
      </c>
      <c r="F81" s="109">
        <v>102</v>
      </c>
      <c r="G81" s="112" t="s">
        <v>470</v>
      </c>
      <c r="H81" s="112" t="s">
        <v>477</v>
      </c>
      <c r="I81" s="112" t="s">
        <v>478</v>
      </c>
      <c r="J81" s="109"/>
      <c r="K81" s="109" t="s">
        <v>26</v>
      </c>
      <c r="L81" s="2"/>
      <c r="M81" s="2"/>
    </row>
    <row r="82" spans="1:13" ht="30.75">
      <c r="A82" s="111">
        <v>44338</v>
      </c>
      <c r="B82" s="110">
        <v>327.25</v>
      </c>
      <c r="C82" s="453">
        <v>44266</v>
      </c>
      <c r="D82" s="109" t="s">
        <v>23</v>
      </c>
      <c r="E82" s="109" t="s">
        <v>24</v>
      </c>
      <c r="F82" s="109">
        <v>93.5</v>
      </c>
      <c r="G82" s="112" t="s">
        <v>470</v>
      </c>
      <c r="H82" s="112" t="s">
        <v>479</v>
      </c>
      <c r="I82" s="112" t="s">
        <v>480</v>
      </c>
      <c r="J82" s="109"/>
      <c r="K82" s="109" t="s">
        <v>26</v>
      </c>
      <c r="L82" s="2"/>
      <c r="M82" s="2"/>
    </row>
    <row r="83" spans="1:13" ht="30.75">
      <c r="A83" s="111">
        <v>44338</v>
      </c>
      <c r="B83" s="110">
        <v>352.45</v>
      </c>
      <c r="C83" s="453">
        <v>44268</v>
      </c>
      <c r="D83" s="109" t="s">
        <v>23</v>
      </c>
      <c r="E83" s="109" t="s">
        <v>24</v>
      </c>
      <c r="F83" s="109">
        <v>100.7</v>
      </c>
      <c r="G83" s="112" t="s">
        <v>470</v>
      </c>
      <c r="H83" s="112" t="s">
        <v>481</v>
      </c>
      <c r="I83" s="112" t="s">
        <v>482</v>
      </c>
      <c r="J83" s="109"/>
      <c r="K83" s="109" t="s">
        <v>26</v>
      </c>
      <c r="L83" s="2"/>
      <c r="M83" s="2"/>
    </row>
    <row r="84" spans="1:13" ht="30.75">
      <c r="A84" s="111">
        <v>44338</v>
      </c>
      <c r="B84" s="110">
        <v>357</v>
      </c>
      <c r="C84" s="453">
        <v>44271</v>
      </c>
      <c r="D84" s="109" t="s">
        <v>23</v>
      </c>
      <c r="E84" s="109" t="s">
        <v>24</v>
      </c>
      <c r="F84" s="109">
        <v>102</v>
      </c>
      <c r="G84" s="112" t="s">
        <v>470</v>
      </c>
      <c r="H84" s="112" t="s">
        <v>483</v>
      </c>
      <c r="I84" s="112" t="s">
        <v>484</v>
      </c>
      <c r="J84" s="109"/>
      <c r="K84" s="109" t="s">
        <v>26</v>
      </c>
      <c r="L84" s="2"/>
      <c r="M84" s="2"/>
    </row>
    <row r="85" spans="1:13" ht="30.75">
      <c r="A85" s="111">
        <v>44338</v>
      </c>
      <c r="B85" s="110">
        <v>357</v>
      </c>
      <c r="C85" s="453">
        <v>44273</v>
      </c>
      <c r="D85" s="109" t="s">
        <v>23</v>
      </c>
      <c r="E85" s="109" t="s">
        <v>24</v>
      </c>
      <c r="F85" s="109">
        <v>102</v>
      </c>
      <c r="G85" s="112" t="s">
        <v>470</v>
      </c>
      <c r="H85" s="112" t="s">
        <v>485</v>
      </c>
      <c r="I85" s="112" t="s">
        <v>486</v>
      </c>
      <c r="J85" s="109"/>
      <c r="K85" s="109" t="s">
        <v>26</v>
      </c>
      <c r="L85" s="2"/>
      <c r="M85" s="2"/>
    </row>
    <row r="86" spans="1:13" ht="30.75">
      <c r="A86" s="111">
        <v>44338</v>
      </c>
      <c r="B86" s="110">
        <v>361.9</v>
      </c>
      <c r="C86" s="453">
        <v>44275</v>
      </c>
      <c r="D86" s="109" t="s">
        <v>23</v>
      </c>
      <c r="E86" s="109" t="s">
        <v>24</v>
      </c>
      <c r="F86" s="109">
        <v>103.4</v>
      </c>
      <c r="G86" s="112" t="s">
        <v>470</v>
      </c>
      <c r="H86" s="112" t="s">
        <v>487</v>
      </c>
      <c r="I86" s="112" t="s">
        <v>488</v>
      </c>
      <c r="J86" s="109"/>
      <c r="K86" s="109" t="s">
        <v>26</v>
      </c>
      <c r="L86" s="2"/>
      <c r="M86" s="2"/>
    </row>
    <row r="87" spans="1:13" ht="30.75">
      <c r="A87" s="111">
        <v>44338</v>
      </c>
      <c r="B87" s="110">
        <v>357</v>
      </c>
      <c r="C87" s="453">
        <v>44278</v>
      </c>
      <c r="D87" s="109" t="s">
        <v>23</v>
      </c>
      <c r="E87" s="109" t="s">
        <v>24</v>
      </c>
      <c r="F87" s="109">
        <v>102</v>
      </c>
      <c r="G87" s="112" t="s">
        <v>470</v>
      </c>
      <c r="H87" s="112" t="s">
        <v>489</v>
      </c>
      <c r="I87" s="112" t="s">
        <v>490</v>
      </c>
      <c r="J87" s="109"/>
      <c r="K87" s="109" t="s">
        <v>26</v>
      </c>
      <c r="L87" s="2"/>
      <c r="M87" s="2"/>
    </row>
    <row r="88" spans="1:13" ht="30.75">
      <c r="A88" s="111">
        <v>44338</v>
      </c>
      <c r="B88" s="110">
        <v>413</v>
      </c>
      <c r="C88" s="453">
        <v>44280</v>
      </c>
      <c r="D88" s="109" t="s">
        <v>23</v>
      </c>
      <c r="E88" s="109" t="s">
        <v>24</v>
      </c>
      <c r="F88" s="109">
        <v>118</v>
      </c>
      <c r="G88" s="112" t="s">
        <v>470</v>
      </c>
      <c r="H88" s="112" t="s">
        <v>491</v>
      </c>
      <c r="I88" s="112" t="s">
        <v>492</v>
      </c>
      <c r="J88" s="109"/>
      <c r="K88" s="109" t="s">
        <v>26</v>
      </c>
      <c r="L88" s="2"/>
      <c r="M88" s="2"/>
    </row>
    <row r="89" spans="1:13" ht="30.75">
      <c r="A89" s="111">
        <v>44338</v>
      </c>
      <c r="B89" s="110">
        <v>414.75</v>
      </c>
      <c r="C89" s="453">
        <v>44282</v>
      </c>
      <c r="D89" s="109" t="s">
        <v>23</v>
      </c>
      <c r="E89" s="109" t="s">
        <v>24</v>
      </c>
      <c r="F89" s="109">
        <v>118.5</v>
      </c>
      <c r="G89" s="112" t="s">
        <v>470</v>
      </c>
      <c r="H89" s="112" t="s">
        <v>493</v>
      </c>
      <c r="I89" s="112" t="s">
        <v>494</v>
      </c>
      <c r="J89" s="109"/>
      <c r="K89" s="109" t="s">
        <v>26</v>
      </c>
      <c r="L89" s="2"/>
      <c r="M89" s="2"/>
    </row>
    <row r="90" spans="1:13" ht="30.75">
      <c r="A90" s="111">
        <v>44338</v>
      </c>
      <c r="B90" s="110">
        <v>393.75</v>
      </c>
      <c r="C90" s="453">
        <v>44285</v>
      </c>
      <c r="D90" s="109" t="s">
        <v>23</v>
      </c>
      <c r="E90" s="109" t="s">
        <v>24</v>
      </c>
      <c r="F90" s="109">
        <v>112.5</v>
      </c>
      <c r="G90" s="112" t="s">
        <v>470</v>
      </c>
      <c r="H90" s="112" t="s">
        <v>495</v>
      </c>
      <c r="I90" s="112" t="s">
        <v>496</v>
      </c>
      <c r="J90" s="109"/>
      <c r="K90" s="109" t="s">
        <v>26</v>
      </c>
      <c r="L90" s="2"/>
      <c r="M90" s="2"/>
    </row>
    <row r="91" spans="1:13" ht="30.75">
      <c r="A91" s="2"/>
      <c r="B91" s="116" t="s">
        <v>497</v>
      </c>
      <c r="C91" s="444"/>
      <c r="D91" s="2" t="s">
        <v>23</v>
      </c>
      <c r="E91" s="2" t="s">
        <v>24</v>
      </c>
      <c r="F91" s="93" t="s">
        <v>498</v>
      </c>
      <c r="G91" s="93"/>
      <c r="H91" s="94" t="s">
        <v>499</v>
      </c>
      <c r="I91" s="9"/>
      <c r="J91" s="2"/>
      <c r="K91" s="2"/>
      <c r="L91" s="2"/>
      <c r="M91" s="2"/>
    </row>
    <row r="92" spans="1:13" ht="30.75">
      <c r="A92" s="114">
        <v>44338</v>
      </c>
      <c r="B92" s="117">
        <v>339.5</v>
      </c>
      <c r="C92" s="454">
        <v>44287</v>
      </c>
      <c r="D92" s="113" t="s">
        <v>23</v>
      </c>
      <c r="E92" s="113" t="s">
        <v>24</v>
      </c>
      <c r="F92" s="113">
        <v>97</v>
      </c>
      <c r="G92" s="115" t="s">
        <v>500</v>
      </c>
      <c r="H92" s="115" t="s">
        <v>501</v>
      </c>
      <c r="I92" s="115" t="s">
        <v>502</v>
      </c>
      <c r="J92" s="113"/>
      <c r="K92" s="113" t="s">
        <v>26</v>
      </c>
      <c r="L92" s="2"/>
      <c r="M92" s="2"/>
    </row>
    <row r="93" spans="1:13" ht="30.75">
      <c r="A93" s="114">
        <v>44338</v>
      </c>
      <c r="B93" s="103">
        <v>336.35</v>
      </c>
      <c r="C93" s="455">
        <v>44289</v>
      </c>
      <c r="D93" s="104" t="s">
        <v>23</v>
      </c>
      <c r="E93" s="104" t="s">
        <v>24</v>
      </c>
      <c r="F93" s="104">
        <v>96.1</v>
      </c>
      <c r="G93" s="115" t="s">
        <v>500</v>
      </c>
      <c r="H93" s="105" t="s">
        <v>503</v>
      </c>
      <c r="I93" s="105" t="s">
        <v>504</v>
      </c>
      <c r="J93" s="104"/>
      <c r="K93" s="113" t="s">
        <v>26</v>
      </c>
      <c r="L93" s="2"/>
      <c r="M93" s="2"/>
    </row>
    <row r="94" spans="1:13" ht="30.75">
      <c r="A94" s="114">
        <v>44338</v>
      </c>
      <c r="B94" s="103">
        <v>346.5</v>
      </c>
      <c r="C94" s="455">
        <v>44292</v>
      </c>
      <c r="D94" s="104" t="s">
        <v>23</v>
      </c>
      <c r="E94" s="104" t="s">
        <v>24</v>
      </c>
      <c r="F94" s="104">
        <v>99</v>
      </c>
      <c r="G94" s="115" t="s">
        <v>500</v>
      </c>
      <c r="H94" s="105" t="s">
        <v>505</v>
      </c>
      <c r="I94" s="105" t="s">
        <v>506</v>
      </c>
      <c r="J94" s="104"/>
      <c r="K94" s="113" t="s">
        <v>26</v>
      </c>
      <c r="L94" s="2"/>
      <c r="M94" s="2"/>
    </row>
    <row r="95" spans="1:13" ht="30.75">
      <c r="A95" s="114">
        <v>44338</v>
      </c>
      <c r="B95" s="103">
        <v>343</v>
      </c>
      <c r="C95" s="455">
        <v>44294</v>
      </c>
      <c r="D95" s="104" t="s">
        <v>23</v>
      </c>
      <c r="E95" s="104" t="s">
        <v>24</v>
      </c>
      <c r="F95" s="104">
        <v>98</v>
      </c>
      <c r="G95" s="115" t="s">
        <v>500</v>
      </c>
      <c r="H95" s="105" t="s">
        <v>507</v>
      </c>
      <c r="I95" s="105" t="s">
        <v>508</v>
      </c>
      <c r="J95" s="104"/>
      <c r="K95" s="113" t="s">
        <v>26</v>
      </c>
      <c r="L95" s="2"/>
      <c r="M95" s="2"/>
    </row>
    <row r="96" spans="1:13" ht="30.75">
      <c r="A96" s="114">
        <v>44338</v>
      </c>
      <c r="B96" s="103">
        <v>336</v>
      </c>
      <c r="C96" s="455">
        <v>44296</v>
      </c>
      <c r="D96" s="104" t="s">
        <v>23</v>
      </c>
      <c r="E96" s="104" t="s">
        <v>24</v>
      </c>
      <c r="F96" s="104">
        <v>96</v>
      </c>
      <c r="G96" s="115" t="s">
        <v>500</v>
      </c>
      <c r="H96" s="105" t="s">
        <v>509</v>
      </c>
      <c r="I96" s="105" t="s">
        <v>510</v>
      </c>
      <c r="J96" s="104"/>
      <c r="K96" s="113" t="s">
        <v>26</v>
      </c>
      <c r="L96" s="2"/>
      <c r="M96" s="2"/>
    </row>
    <row r="97" spans="1:13" ht="30.75">
      <c r="A97" s="114">
        <v>44338</v>
      </c>
      <c r="B97" s="103">
        <v>360.5</v>
      </c>
      <c r="C97" s="455">
        <v>44299</v>
      </c>
      <c r="D97" s="104" t="s">
        <v>23</v>
      </c>
      <c r="E97" s="104" t="s">
        <v>24</v>
      </c>
      <c r="F97" s="104">
        <v>103</v>
      </c>
      <c r="G97" s="115" t="s">
        <v>500</v>
      </c>
      <c r="H97" s="105" t="s">
        <v>511</v>
      </c>
      <c r="I97" s="105" t="s">
        <v>512</v>
      </c>
      <c r="J97" s="104"/>
      <c r="K97" s="113" t="s">
        <v>26</v>
      </c>
      <c r="L97" s="2"/>
      <c r="M97" s="2"/>
    </row>
    <row r="98" spans="1:13" ht="30.75">
      <c r="A98" s="114">
        <v>44338</v>
      </c>
      <c r="B98" s="103">
        <v>364.17</v>
      </c>
      <c r="C98" s="455">
        <v>44301</v>
      </c>
      <c r="D98" s="104" t="s">
        <v>23</v>
      </c>
      <c r="E98" s="104" t="s">
        <v>24</v>
      </c>
      <c r="F98" s="104">
        <v>104.05</v>
      </c>
      <c r="G98" s="115" t="s">
        <v>500</v>
      </c>
      <c r="H98" s="105" t="s">
        <v>513</v>
      </c>
      <c r="I98" s="105" t="s">
        <v>514</v>
      </c>
      <c r="J98" s="104"/>
      <c r="K98" s="113" t="s">
        <v>26</v>
      </c>
      <c r="L98" s="2"/>
      <c r="M98" s="2"/>
    </row>
    <row r="99" spans="1:13" ht="30.75">
      <c r="A99" s="114">
        <v>44338</v>
      </c>
      <c r="B99" s="103">
        <v>346.85</v>
      </c>
      <c r="C99" s="455">
        <v>44303</v>
      </c>
      <c r="D99" s="104" t="s">
        <v>23</v>
      </c>
      <c r="E99" s="104" t="s">
        <v>24</v>
      </c>
      <c r="F99" s="104">
        <v>99.1</v>
      </c>
      <c r="G99" s="115" t="s">
        <v>500</v>
      </c>
      <c r="H99" s="105" t="s">
        <v>515</v>
      </c>
      <c r="I99" s="105" t="s">
        <v>516</v>
      </c>
      <c r="J99" s="104"/>
      <c r="K99" s="113" t="s">
        <v>26</v>
      </c>
      <c r="L99" s="2"/>
      <c r="M99" s="2"/>
    </row>
    <row r="100" spans="1:13" ht="30.75">
      <c r="A100" s="114">
        <v>44338</v>
      </c>
      <c r="B100" s="103">
        <v>337.75</v>
      </c>
      <c r="C100" s="455">
        <v>44306</v>
      </c>
      <c r="D100" s="104" t="s">
        <v>23</v>
      </c>
      <c r="E100" s="104" t="s">
        <v>24</v>
      </c>
      <c r="F100" s="104">
        <v>96.5</v>
      </c>
      <c r="G100" s="115" t="s">
        <v>500</v>
      </c>
      <c r="H100" s="105" t="s">
        <v>517</v>
      </c>
      <c r="I100" s="105" t="s">
        <v>518</v>
      </c>
      <c r="J100" s="104"/>
      <c r="K100" s="113" t="s">
        <v>26</v>
      </c>
      <c r="L100" s="2"/>
      <c r="M100" s="2"/>
    </row>
    <row r="101" spans="1:13" ht="30.75">
      <c r="A101" s="114">
        <v>44338</v>
      </c>
      <c r="B101" s="103">
        <v>341.07</v>
      </c>
      <c r="C101" s="455">
        <v>44308</v>
      </c>
      <c r="D101" s="104" t="s">
        <v>23</v>
      </c>
      <c r="E101" s="104" t="s">
        <v>24</v>
      </c>
      <c r="F101" s="104">
        <v>97.45</v>
      </c>
      <c r="G101" s="115" t="s">
        <v>500</v>
      </c>
      <c r="H101" s="105" t="s">
        <v>519</v>
      </c>
      <c r="I101" s="105" t="s">
        <v>520</v>
      </c>
      <c r="J101" s="104"/>
      <c r="K101" s="113" t="s">
        <v>26</v>
      </c>
      <c r="L101" s="2"/>
      <c r="M101" s="2"/>
    </row>
    <row r="102" spans="1:13" ht="30.75">
      <c r="A102" s="114">
        <v>44338</v>
      </c>
      <c r="B102" s="103">
        <v>342.65</v>
      </c>
      <c r="C102" s="455">
        <v>44310</v>
      </c>
      <c r="D102" s="104" t="s">
        <v>23</v>
      </c>
      <c r="E102" s="104" t="s">
        <v>24</v>
      </c>
      <c r="F102" s="104">
        <v>97.9</v>
      </c>
      <c r="G102" s="115" t="s">
        <v>500</v>
      </c>
      <c r="H102" s="105" t="s">
        <v>521</v>
      </c>
      <c r="I102" s="105" t="s">
        <v>522</v>
      </c>
      <c r="J102" s="104"/>
      <c r="K102" s="113" t="s">
        <v>26</v>
      </c>
      <c r="L102" s="2"/>
      <c r="M102" s="2"/>
    </row>
    <row r="103" spans="1:13" ht="30.75">
      <c r="A103" s="114">
        <v>44338</v>
      </c>
      <c r="B103" s="103">
        <v>356.82</v>
      </c>
      <c r="C103" s="455">
        <v>44313</v>
      </c>
      <c r="D103" s="104" t="s">
        <v>23</v>
      </c>
      <c r="E103" s="104" t="s">
        <v>24</v>
      </c>
      <c r="F103" s="104">
        <v>101.95</v>
      </c>
      <c r="G103" s="115" t="s">
        <v>500</v>
      </c>
      <c r="H103" s="105" t="s">
        <v>523</v>
      </c>
      <c r="I103" s="105" t="s">
        <v>524</v>
      </c>
      <c r="J103" s="104"/>
      <c r="K103" s="113" t="s">
        <v>26</v>
      </c>
      <c r="L103" s="2"/>
      <c r="M103" s="2"/>
    </row>
    <row r="104" spans="1:13" ht="30.75">
      <c r="A104" s="114">
        <v>44338</v>
      </c>
      <c r="B104" s="103">
        <v>327.25</v>
      </c>
      <c r="C104" s="455">
        <v>44315</v>
      </c>
      <c r="D104" s="104" t="s">
        <v>23</v>
      </c>
      <c r="E104" s="104" t="s">
        <v>24</v>
      </c>
      <c r="F104" s="104">
        <v>93.5</v>
      </c>
      <c r="G104" s="115" t="s">
        <v>500</v>
      </c>
      <c r="H104" s="105" t="s">
        <v>525</v>
      </c>
      <c r="I104" s="105" t="s">
        <v>526</v>
      </c>
      <c r="J104" s="104"/>
      <c r="K104" s="113" t="s">
        <v>26</v>
      </c>
      <c r="L104" s="2"/>
      <c r="M104" s="2"/>
    </row>
    <row r="105" spans="1:13" ht="30.75">
      <c r="A105" s="2"/>
      <c r="B105" s="2" t="s">
        <v>527</v>
      </c>
      <c r="C105" s="444"/>
      <c r="D105" s="2" t="s">
        <v>23</v>
      </c>
      <c r="E105" s="2" t="s">
        <v>24</v>
      </c>
      <c r="F105" s="2"/>
      <c r="G105" s="2"/>
      <c r="H105" s="9"/>
      <c r="I105" s="9"/>
      <c r="J105" s="2"/>
      <c r="K105" s="2"/>
      <c r="L105" s="2"/>
      <c r="M105" s="2"/>
    </row>
    <row r="106" spans="1:13" ht="30.75">
      <c r="A106" s="124">
        <v>44355</v>
      </c>
      <c r="B106" s="123">
        <v>322</v>
      </c>
      <c r="C106" s="456">
        <v>44317</v>
      </c>
      <c r="D106" s="122" t="s">
        <v>23</v>
      </c>
      <c r="E106" s="122" t="s">
        <v>24</v>
      </c>
      <c r="F106" s="122">
        <v>92</v>
      </c>
      <c r="G106" s="122">
        <v>930</v>
      </c>
      <c r="H106" s="125" t="s">
        <v>528</v>
      </c>
      <c r="I106" s="125" t="s">
        <v>529</v>
      </c>
      <c r="J106" s="122"/>
      <c r="K106" s="122" t="s">
        <v>26</v>
      </c>
      <c r="L106" s="2"/>
      <c r="M106" s="2"/>
    </row>
    <row r="107" spans="1:13" ht="30.75">
      <c r="A107" s="124">
        <v>44393</v>
      </c>
      <c r="B107" s="123">
        <v>329</v>
      </c>
      <c r="C107" s="456">
        <v>44320</v>
      </c>
      <c r="D107" s="122" t="s">
        <v>23</v>
      </c>
      <c r="E107" s="122" t="s">
        <v>24</v>
      </c>
      <c r="F107" s="122">
        <v>94</v>
      </c>
      <c r="G107" s="122">
        <v>930</v>
      </c>
      <c r="H107" s="125" t="s">
        <v>530</v>
      </c>
      <c r="I107" s="125" t="s">
        <v>531</v>
      </c>
      <c r="J107" s="122"/>
      <c r="K107" s="122" t="s">
        <v>26</v>
      </c>
      <c r="L107" s="2"/>
      <c r="M107" s="2"/>
    </row>
    <row r="108" spans="1:13" ht="30.75">
      <c r="A108" s="124">
        <v>44393</v>
      </c>
      <c r="B108" s="123">
        <v>318.5</v>
      </c>
      <c r="C108" s="456">
        <v>44322</v>
      </c>
      <c r="D108" s="122" t="s">
        <v>23</v>
      </c>
      <c r="E108" s="122" t="s">
        <v>24</v>
      </c>
      <c r="F108" s="122">
        <v>91</v>
      </c>
      <c r="G108" s="122">
        <v>930</v>
      </c>
      <c r="H108" s="125" t="s">
        <v>532</v>
      </c>
      <c r="I108" s="125" t="s">
        <v>533</v>
      </c>
      <c r="J108" s="122"/>
      <c r="K108" s="122" t="s">
        <v>26</v>
      </c>
      <c r="L108" s="2"/>
      <c r="M108" s="2"/>
    </row>
    <row r="109" spans="1:13" ht="30.75">
      <c r="A109" s="124">
        <v>44393</v>
      </c>
      <c r="B109" s="123">
        <v>315</v>
      </c>
      <c r="C109" s="456">
        <v>44324</v>
      </c>
      <c r="D109" s="122" t="s">
        <v>23</v>
      </c>
      <c r="E109" s="122" t="s">
        <v>24</v>
      </c>
      <c r="F109" s="122">
        <v>90</v>
      </c>
      <c r="G109" s="122">
        <v>930</v>
      </c>
      <c r="H109" s="125" t="s">
        <v>534</v>
      </c>
      <c r="I109" s="125" t="s">
        <v>535</v>
      </c>
      <c r="J109" s="122"/>
      <c r="K109" s="122" t="s">
        <v>26</v>
      </c>
      <c r="L109" s="2"/>
      <c r="M109" s="2"/>
    </row>
    <row r="110" spans="1:13" ht="30.75">
      <c r="A110" s="124">
        <v>44393</v>
      </c>
      <c r="B110" s="123">
        <v>332.5</v>
      </c>
      <c r="C110" s="456">
        <v>44327</v>
      </c>
      <c r="D110" s="122" t="s">
        <v>23</v>
      </c>
      <c r="E110" s="122" t="s">
        <v>24</v>
      </c>
      <c r="F110" s="122">
        <v>95</v>
      </c>
      <c r="G110" s="122">
        <v>930</v>
      </c>
      <c r="H110" s="125" t="s">
        <v>536</v>
      </c>
      <c r="I110" s="125" t="s">
        <v>537</v>
      </c>
      <c r="J110" s="122"/>
      <c r="K110" s="122" t="s">
        <v>26</v>
      </c>
      <c r="L110" s="2"/>
      <c r="M110" s="2"/>
    </row>
    <row r="111" spans="1:13" ht="30.75">
      <c r="A111" s="124">
        <v>44393</v>
      </c>
      <c r="B111" s="123">
        <v>339.5</v>
      </c>
      <c r="C111" s="456">
        <v>44329</v>
      </c>
      <c r="D111" s="122" t="s">
        <v>23</v>
      </c>
      <c r="E111" s="122" t="s">
        <v>24</v>
      </c>
      <c r="F111" s="122">
        <v>97</v>
      </c>
      <c r="G111" s="122">
        <v>930</v>
      </c>
      <c r="H111" s="125" t="s">
        <v>538</v>
      </c>
      <c r="I111" s="125" t="s">
        <v>539</v>
      </c>
      <c r="J111" s="122"/>
      <c r="K111" s="122" t="s">
        <v>26</v>
      </c>
      <c r="L111" s="2"/>
      <c r="M111" s="2"/>
    </row>
    <row r="112" spans="1:13" ht="30.75">
      <c r="A112" s="124">
        <v>44393</v>
      </c>
      <c r="B112" s="123">
        <v>332.5</v>
      </c>
      <c r="C112" s="456">
        <v>44331</v>
      </c>
      <c r="D112" s="122" t="s">
        <v>23</v>
      </c>
      <c r="E112" s="122" t="s">
        <v>24</v>
      </c>
      <c r="F112" s="122">
        <v>95</v>
      </c>
      <c r="G112" s="122">
        <v>930</v>
      </c>
      <c r="H112" s="125" t="s">
        <v>540</v>
      </c>
      <c r="I112" s="125" t="s">
        <v>541</v>
      </c>
      <c r="J112" s="122"/>
      <c r="K112" s="122" t="s">
        <v>26</v>
      </c>
      <c r="L112" s="2"/>
      <c r="M112" s="2"/>
    </row>
    <row r="113" spans="1:13" ht="30.75">
      <c r="A113" s="124">
        <v>44393</v>
      </c>
      <c r="B113" s="123">
        <v>325.5</v>
      </c>
      <c r="C113" s="456">
        <v>44334</v>
      </c>
      <c r="D113" s="122" t="s">
        <v>23</v>
      </c>
      <c r="E113" s="122" t="s">
        <v>24</v>
      </c>
      <c r="F113" s="122">
        <v>93</v>
      </c>
      <c r="G113" s="122">
        <v>930</v>
      </c>
      <c r="H113" s="125" t="s">
        <v>542</v>
      </c>
      <c r="I113" s="125" t="s">
        <v>543</v>
      </c>
      <c r="J113" s="122"/>
      <c r="K113" s="122" t="s">
        <v>26</v>
      </c>
      <c r="L113" s="2"/>
      <c r="M113" s="2"/>
    </row>
    <row r="114" spans="1:13" ht="30.75">
      <c r="A114" s="124">
        <v>44393</v>
      </c>
      <c r="B114" s="123">
        <v>325.5</v>
      </c>
      <c r="C114" s="456">
        <v>44336</v>
      </c>
      <c r="D114" s="122" t="s">
        <v>23</v>
      </c>
      <c r="E114" s="122" t="s">
        <v>24</v>
      </c>
      <c r="F114" s="122">
        <v>93</v>
      </c>
      <c r="G114" s="122">
        <v>930</v>
      </c>
      <c r="H114" s="125" t="s">
        <v>544</v>
      </c>
      <c r="I114" s="125" t="s">
        <v>545</v>
      </c>
      <c r="J114" s="122"/>
      <c r="K114" s="122" t="s">
        <v>26</v>
      </c>
      <c r="L114" s="2"/>
      <c r="M114" s="2"/>
    </row>
    <row r="115" spans="1:13" ht="30.75">
      <c r="A115" s="124">
        <v>44393</v>
      </c>
      <c r="B115" s="123">
        <v>336</v>
      </c>
      <c r="C115" s="456">
        <v>44338</v>
      </c>
      <c r="D115" s="122" t="s">
        <v>23</v>
      </c>
      <c r="E115" s="122" t="s">
        <v>24</v>
      </c>
      <c r="F115" s="122">
        <v>96</v>
      </c>
      <c r="G115" s="122">
        <v>930</v>
      </c>
      <c r="H115" s="125" t="s">
        <v>546</v>
      </c>
      <c r="I115" s="125" t="s">
        <v>547</v>
      </c>
      <c r="J115" s="122"/>
      <c r="K115" s="122" t="s">
        <v>26</v>
      </c>
      <c r="L115" s="2"/>
      <c r="M115" s="2"/>
    </row>
    <row r="116" spans="1:13" ht="30.75">
      <c r="A116" s="124">
        <v>44393</v>
      </c>
      <c r="B116" s="123">
        <v>325.5</v>
      </c>
      <c r="C116" s="456">
        <v>44341</v>
      </c>
      <c r="D116" s="122" t="s">
        <v>23</v>
      </c>
      <c r="E116" s="122" t="s">
        <v>24</v>
      </c>
      <c r="F116" s="122">
        <v>93</v>
      </c>
      <c r="G116" s="122">
        <v>930</v>
      </c>
      <c r="H116" s="125" t="s">
        <v>548</v>
      </c>
      <c r="I116" s="125" t="s">
        <v>549</v>
      </c>
      <c r="J116" s="122"/>
      <c r="K116" s="122" t="s">
        <v>26</v>
      </c>
      <c r="L116" s="2"/>
      <c r="M116" s="2"/>
    </row>
    <row r="117" spans="1:13" ht="30.75">
      <c r="A117" s="124">
        <v>44393</v>
      </c>
      <c r="B117" s="123">
        <v>329</v>
      </c>
      <c r="C117" s="456">
        <v>44343</v>
      </c>
      <c r="D117" s="122" t="s">
        <v>23</v>
      </c>
      <c r="E117" s="122" t="s">
        <v>24</v>
      </c>
      <c r="F117" s="122">
        <v>94</v>
      </c>
      <c r="G117" s="122">
        <v>930</v>
      </c>
      <c r="H117" s="125" t="s">
        <v>550</v>
      </c>
      <c r="I117" s="125" t="s">
        <v>551</v>
      </c>
      <c r="J117" s="122"/>
      <c r="K117" s="122" t="s">
        <v>26</v>
      </c>
      <c r="L117" s="2"/>
      <c r="M117" s="2"/>
    </row>
    <row r="118" spans="1:13" ht="30.75">
      <c r="A118" s="124">
        <v>44393</v>
      </c>
      <c r="B118" s="123">
        <v>339.5</v>
      </c>
      <c r="C118" s="456">
        <v>44345</v>
      </c>
      <c r="D118" s="122" t="s">
        <v>23</v>
      </c>
      <c r="E118" s="122" t="s">
        <v>24</v>
      </c>
      <c r="F118" s="122">
        <v>97</v>
      </c>
      <c r="G118" s="122">
        <v>930</v>
      </c>
      <c r="H118" s="125" t="s">
        <v>552</v>
      </c>
      <c r="I118" s="125" t="s">
        <v>553</v>
      </c>
      <c r="J118" s="122"/>
      <c r="K118" s="122" t="s">
        <v>26</v>
      </c>
      <c r="L118" s="2"/>
      <c r="M118" s="2"/>
    </row>
    <row r="119" spans="1:13" ht="37.5">
      <c r="A119" s="62"/>
      <c r="B119" s="116">
        <v>4270</v>
      </c>
      <c r="C119" s="450"/>
      <c r="D119" s="62" t="s">
        <v>23</v>
      </c>
      <c r="E119" s="62" t="s">
        <v>24</v>
      </c>
      <c r="F119" s="62" t="s">
        <v>554</v>
      </c>
      <c r="G119" s="62"/>
      <c r="H119" s="64"/>
      <c r="I119" s="64"/>
      <c r="J119" s="62"/>
      <c r="K119" s="62"/>
      <c r="L119" s="2"/>
      <c r="M119" s="2"/>
    </row>
    <row r="120" spans="1:13" ht="30.75">
      <c r="A120" s="128">
        <v>44427</v>
      </c>
      <c r="B120" s="127">
        <v>378</v>
      </c>
      <c r="C120" s="457">
        <v>44348</v>
      </c>
      <c r="D120" s="126" t="s">
        <v>23</v>
      </c>
      <c r="E120" s="126" t="s">
        <v>24</v>
      </c>
      <c r="F120" s="126">
        <v>108</v>
      </c>
      <c r="G120" s="126">
        <v>1299</v>
      </c>
      <c r="H120" s="129" t="s">
        <v>555</v>
      </c>
      <c r="I120" s="129" t="s">
        <v>556</v>
      </c>
      <c r="J120" s="126"/>
      <c r="K120" s="126" t="s">
        <v>56</v>
      </c>
      <c r="L120" s="2"/>
      <c r="M120" s="2"/>
    </row>
    <row r="121" spans="1:13" ht="30.75">
      <c r="A121" s="128">
        <v>44428</v>
      </c>
      <c r="B121" s="127">
        <v>371</v>
      </c>
      <c r="C121" s="457">
        <v>44350</v>
      </c>
      <c r="D121" s="126" t="s">
        <v>23</v>
      </c>
      <c r="E121" s="126" t="s">
        <v>24</v>
      </c>
      <c r="F121" s="126">
        <v>106</v>
      </c>
      <c r="G121" s="126">
        <v>1299</v>
      </c>
      <c r="H121" s="129" t="s">
        <v>557</v>
      </c>
      <c r="I121" s="129" t="s">
        <v>558</v>
      </c>
      <c r="J121" s="126"/>
      <c r="K121" s="126" t="s">
        <v>56</v>
      </c>
      <c r="L121" s="2"/>
      <c r="M121" s="2"/>
    </row>
    <row r="122" spans="1:13" ht="30.75">
      <c r="A122" s="128">
        <v>44429</v>
      </c>
      <c r="B122" s="127">
        <v>385</v>
      </c>
      <c r="C122" s="457">
        <v>44352</v>
      </c>
      <c r="D122" s="126" t="s">
        <v>23</v>
      </c>
      <c r="E122" s="126" t="s">
        <v>24</v>
      </c>
      <c r="F122" s="126">
        <v>110</v>
      </c>
      <c r="G122" s="126">
        <v>1299</v>
      </c>
      <c r="H122" s="129" t="s">
        <v>559</v>
      </c>
      <c r="I122" s="129" t="s">
        <v>560</v>
      </c>
      <c r="J122" s="126"/>
      <c r="K122" s="126" t="s">
        <v>56</v>
      </c>
      <c r="L122" s="2"/>
      <c r="M122" s="2"/>
    </row>
    <row r="123" spans="1:13" ht="30.75">
      <c r="A123" s="128">
        <v>44430</v>
      </c>
      <c r="B123" s="127">
        <v>378</v>
      </c>
      <c r="C123" s="457">
        <v>44355</v>
      </c>
      <c r="D123" s="126" t="s">
        <v>23</v>
      </c>
      <c r="E123" s="126" t="s">
        <v>24</v>
      </c>
      <c r="F123" s="126">
        <v>108</v>
      </c>
      <c r="G123" s="126">
        <v>1299</v>
      </c>
      <c r="H123" s="129" t="s">
        <v>561</v>
      </c>
      <c r="I123" s="129" t="s">
        <v>562</v>
      </c>
      <c r="J123" s="126"/>
      <c r="K123" s="126" t="s">
        <v>56</v>
      </c>
      <c r="L123" s="2"/>
      <c r="M123" s="2"/>
    </row>
    <row r="124" spans="1:13" ht="30.75">
      <c r="A124" s="128">
        <v>44431</v>
      </c>
      <c r="B124" s="127">
        <v>374.5</v>
      </c>
      <c r="C124" s="457">
        <v>44357</v>
      </c>
      <c r="D124" s="126" t="s">
        <v>23</v>
      </c>
      <c r="E124" s="126" t="s">
        <v>24</v>
      </c>
      <c r="F124" s="126">
        <v>107</v>
      </c>
      <c r="G124" s="126">
        <v>1299</v>
      </c>
      <c r="H124" s="129" t="s">
        <v>563</v>
      </c>
      <c r="I124" s="129" t="s">
        <v>564</v>
      </c>
      <c r="J124" s="126"/>
      <c r="K124" s="126" t="s">
        <v>56</v>
      </c>
      <c r="L124" s="2"/>
      <c r="M124" s="2"/>
    </row>
    <row r="125" spans="1:13" ht="30.75">
      <c r="A125" s="128">
        <v>44432</v>
      </c>
      <c r="B125" s="127">
        <v>381.5</v>
      </c>
      <c r="C125" s="457">
        <v>44359</v>
      </c>
      <c r="D125" s="126" t="s">
        <v>23</v>
      </c>
      <c r="E125" s="126" t="s">
        <v>24</v>
      </c>
      <c r="F125" s="126">
        <v>109</v>
      </c>
      <c r="G125" s="126">
        <v>1299</v>
      </c>
      <c r="H125" s="129" t="s">
        <v>565</v>
      </c>
      <c r="I125" s="129" t="s">
        <v>566</v>
      </c>
      <c r="J125" s="126"/>
      <c r="K125" s="126" t="s">
        <v>56</v>
      </c>
      <c r="L125" s="2"/>
      <c r="M125" s="2"/>
    </row>
    <row r="126" spans="1:13" ht="30.75">
      <c r="A126" s="128">
        <v>44433</v>
      </c>
      <c r="B126" s="127">
        <v>378</v>
      </c>
      <c r="C126" s="457">
        <v>44362</v>
      </c>
      <c r="D126" s="126" t="s">
        <v>23</v>
      </c>
      <c r="E126" s="126" t="s">
        <v>24</v>
      </c>
      <c r="F126" s="126">
        <v>108</v>
      </c>
      <c r="G126" s="126">
        <v>1299</v>
      </c>
      <c r="H126" s="129" t="s">
        <v>567</v>
      </c>
      <c r="I126" s="129" t="s">
        <v>568</v>
      </c>
      <c r="J126" s="126"/>
      <c r="K126" s="126" t="s">
        <v>56</v>
      </c>
      <c r="L126" s="2"/>
      <c r="M126" s="2"/>
    </row>
    <row r="127" spans="1:13" ht="30.75">
      <c r="A127" s="128">
        <v>44434</v>
      </c>
      <c r="B127" s="127">
        <v>371</v>
      </c>
      <c r="C127" s="457">
        <v>44364</v>
      </c>
      <c r="D127" s="126" t="s">
        <v>23</v>
      </c>
      <c r="E127" s="126" t="s">
        <v>24</v>
      </c>
      <c r="F127" s="126">
        <v>106</v>
      </c>
      <c r="G127" s="126">
        <v>1299</v>
      </c>
      <c r="H127" s="129" t="s">
        <v>569</v>
      </c>
      <c r="I127" s="129" t="s">
        <v>570</v>
      </c>
      <c r="J127" s="126"/>
      <c r="K127" s="126" t="s">
        <v>56</v>
      </c>
      <c r="L127" s="2"/>
      <c r="M127" s="2"/>
    </row>
    <row r="128" spans="1:13" ht="30.75">
      <c r="A128" s="128">
        <v>44435</v>
      </c>
      <c r="B128" s="127">
        <v>385</v>
      </c>
      <c r="C128" s="457">
        <v>44366</v>
      </c>
      <c r="D128" s="126" t="s">
        <v>23</v>
      </c>
      <c r="E128" s="126" t="s">
        <v>24</v>
      </c>
      <c r="F128" s="126">
        <v>110</v>
      </c>
      <c r="G128" s="126">
        <v>1299</v>
      </c>
      <c r="H128" s="129" t="s">
        <v>571</v>
      </c>
      <c r="I128" s="129" t="s">
        <v>572</v>
      </c>
      <c r="J128" s="126"/>
      <c r="K128" s="126" t="s">
        <v>56</v>
      </c>
      <c r="L128" s="2"/>
      <c r="M128" s="2"/>
    </row>
    <row r="129" spans="1:13" ht="30.75">
      <c r="A129" s="128">
        <v>44436</v>
      </c>
      <c r="B129" s="127">
        <v>374.5</v>
      </c>
      <c r="C129" s="457">
        <v>44369</v>
      </c>
      <c r="D129" s="126" t="s">
        <v>23</v>
      </c>
      <c r="E129" s="126" t="s">
        <v>24</v>
      </c>
      <c r="F129" s="126">
        <v>107</v>
      </c>
      <c r="G129" s="126">
        <v>1299</v>
      </c>
      <c r="H129" s="129" t="s">
        <v>573</v>
      </c>
      <c r="I129" s="129" t="s">
        <v>574</v>
      </c>
      <c r="J129" s="126"/>
      <c r="K129" s="126" t="s">
        <v>56</v>
      </c>
      <c r="L129" s="2"/>
      <c r="M129" s="2"/>
    </row>
    <row r="130" spans="1:13" ht="30.75">
      <c r="A130" s="128">
        <v>44437</v>
      </c>
      <c r="B130" s="127">
        <v>381.5</v>
      </c>
      <c r="C130" s="457">
        <v>44371</v>
      </c>
      <c r="D130" s="126" t="s">
        <v>23</v>
      </c>
      <c r="E130" s="126" t="s">
        <v>24</v>
      </c>
      <c r="F130" s="126">
        <v>109</v>
      </c>
      <c r="G130" s="126">
        <v>1299</v>
      </c>
      <c r="H130" s="129" t="s">
        <v>575</v>
      </c>
      <c r="I130" s="129" t="s">
        <v>576</v>
      </c>
      <c r="J130" s="126"/>
      <c r="K130" s="126" t="s">
        <v>56</v>
      </c>
      <c r="L130" s="2"/>
      <c r="M130" s="2"/>
    </row>
    <row r="131" spans="1:13" ht="30.75">
      <c r="A131" s="128">
        <v>44438</v>
      </c>
      <c r="B131" s="127">
        <v>378</v>
      </c>
      <c r="C131" s="457">
        <v>44373</v>
      </c>
      <c r="D131" s="126" t="s">
        <v>23</v>
      </c>
      <c r="E131" s="126" t="s">
        <v>24</v>
      </c>
      <c r="F131" s="126">
        <v>108</v>
      </c>
      <c r="G131" s="126">
        <v>1299</v>
      </c>
      <c r="H131" s="129" t="s">
        <v>577</v>
      </c>
      <c r="I131" s="129" t="s">
        <v>578</v>
      </c>
      <c r="J131" s="126"/>
      <c r="K131" s="126" t="s">
        <v>56</v>
      </c>
      <c r="L131" s="2"/>
      <c r="M131" s="2"/>
    </row>
    <row r="132" spans="1:13" ht="30.75">
      <c r="A132" s="128">
        <v>44439</v>
      </c>
      <c r="B132" s="127">
        <v>381.5</v>
      </c>
      <c r="C132" s="457">
        <v>44376</v>
      </c>
      <c r="D132" s="126" t="s">
        <v>23</v>
      </c>
      <c r="E132" s="126" t="s">
        <v>24</v>
      </c>
      <c r="F132" s="126">
        <v>109</v>
      </c>
      <c r="G132" s="126">
        <v>1299</v>
      </c>
      <c r="H132" s="129" t="s">
        <v>579</v>
      </c>
      <c r="I132" s="129" t="s">
        <v>580</v>
      </c>
      <c r="J132" s="126"/>
      <c r="K132" s="126" t="s">
        <v>56</v>
      </c>
      <c r="L132" s="2"/>
      <c r="M132" s="2"/>
    </row>
    <row r="133" spans="1:13" ht="30.75">
      <c r="A133" s="128">
        <v>44440</v>
      </c>
      <c r="B133" s="130">
        <v>4917.5</v>
      </c>
      <c r="C133" s="457"/>
      <c r="D133" s="131"/>
      <c r="E133" s="126" t="s">
        <v>24</v>
      </c>
      <c r="F133" s="132" t="s">
        <v>581</v>
      </c>
      <c r="G133" s="126"/>
      <c r="H133" s="129"/>
      <c r="I133" s="129"/>
      <c r="J133" s="126"/>
      <c r="K133" s="126"/>
      <c r="L133" s="2"/>
      <c r="M133" s="2"/>
    </row>
    <row r="134" spans="1:13" ht="30.75">
      <c r="A134" s="7">
        <v>44428</v>
      </c>
      <c r="B134" s="8">
        <f>Tabla3567345678935681920[[#This Row],[KILOS]]*3.5</f>
        <v>332.5</v>
      </c>
      <c r="C134" s="444">
        <v>44378</v>
      </c>
      <c r="D134" s="2" t="s">
        <v>23</v>
      </c>
      <c r="E134" s="2" t="s">
        <v>24</v>
      </c>
      <c r="F134" s="2">
        <v>95</v>
      </c>
      <c r="G134" s="2">
        <v>1733</v>
      </c>
      <c r="H134" s="9" t="s">
        <v>582</v>
      </c>
      <c r="I134" s="9" t="s">
        <v>583</v>
      </c>
      <c r="J134" s="2"/>
      <c r="K134" s="2" t="s">
        <v>56</v>
      </c>
      <c r="L134" s="2"/>
      <c r="M134" s="2"/>
    </row>
    <row r="135" spans="1:13" ht="30.75">
      <c r="A135" s="7">
        <v>44429</v>
      </c>
      <c r="B135" s="8">
        <f>Tabla3567345678935681920[[#This Row],[KILOS]]*3.5</f>
        <v>343</v>
      </c>
      <c r="C135" s="444">
        <v>44380</v>
      </c>
      <c r="D135" s="2" t="s">
        <v>23</v>
      </c>
      <c r="E135" s="2" t="s">
        <v>24</v>
      </c>
      <c r="F135" s="2">
        <v>98</v>
      </c>
      <c r="G135" s="2">
        <v>1733</v>
      </c>
      <c r="H135" s="9" t="s">
        <v>584</v>
      </c>
      <c r="I135" s="2">
        <v>4546</v>
      </c>
      <c r="J135" s="2"/>
      <c r="K135" s="2" t="s">
        <v>56</v>
      </c>
      <c r="L135" s="2"/>
      <c r="M135" s="2"/>
    </row>
    <row r="136" spans="1:13" ht="30.75">
      <c r="A136" s="7">
        <v>44430</v>
      </c>
      <c r="B136" s="8">
        <f>Tabla3567345678935681920[[#This Row],[KILOS]]*3.5</f>
        <v>357</v>
      </c>
      <c r="C136" s="444">
        <v>44383</v>
      </c>
      <c r="D136" s="2" t="s">
        <v>23</v>
      </c>
      <c r="E136" s="2" t="s">
        <v>24</v>
      </c>
      <c r="F136" s="2">
        <v>102</v>
      </c>
      <c r="G136" s="2">
        <v>1733</v>
      </c>
      <c r="H136" s="9" t="s">
        <v>585</v>
      </c>
      <c r="I136" s="9" t="s">
        <v>586</v>
      </c>
      <c r="J136" s="2"/>
      <c r="K136" s="2" t="s">
        <v>56</v>
      </c>
      <c r="L136" s="2"/>
      <c r="M136" s="2"/>
    </row>
    <row r="137" spans="1:13" ht="30.75">
      <c r="A137" s="7">
        <v>44431</v>
      </c>
      <c r="B137" s="8">
        <f>Tabla3567345678935681920[[#This Row],[KILOS]]*3.5</f>
        <v>353.5</v>
      </c>
      <c r="C137" s="444">
        <v>44385</v>
      </c>
      <c r="D137" s="2" t="s">
        <v>23</v>
      </c>
      <c r="E137" s="2" t="s">
        <v>24</v>
      </c>
      <c r="F137" s="2">
        <v>101</v>
      </c>
      <c r="G137" s="2">
        <v>1733</v>
      </c>
      <c r="H137" s="9" t="s">
        <v>587</v>
      </c>
      <c r="I137" s="9" t="s">
        <v>588</v>
      </c>
      <c r="J137" s="2"/>
      <c r="K137" s="2" t="s">
        <v>56</v>
      </c>
      <c r="L137" s="2"/>
      <c r="M137" s="2"/>
    </row>
    <row r="138" spans="1:13" ht="30.75">
      <c r="A138" s="7">
        <v>44432</v>
      </c>
      <c r="B138" s="8">
        <f>Tabla3567345678935681920[[#This Row],[KILOS]]*3.5</f>
        <v>343</v>
      </c>
      <c r="C138" s="444">
        <v>44387</v>
      </c>
      <c r="D138" s="2" t="s">
        <v>23</v>
      </c>
      <c r="E138" s="2" t="s">
        <v>24</v>
      </c>
      <c r="F138" s="2">
        <v>98</v>
      </c>
      <c r="G138" s="2">
        <v>1733</v>
      </c>
      <c r="H138" s="9" t="s">
        <v>589</v>
      </c>
      <c r="I138" s="9" t="s">
        <v>590</v>
      </c>
      <c r="J138" s="2"/>
      <c r="K138" s="2" t="s">
        <v>56</v>
      </c>
      <c r="L138" s="2"/>
      <c r="M138" s="2"/>
    </row>
    <row r="139" spans="1:13" ht="30.75">
      <c r="A139" s="7">
        <v>44433</v>
      </c>
      <c r="B139" s="8">
        <f>Tabla3567345678935681920[[#This Row],[KILOS]]*3.5</f>
        <v>353.5</v>
      </c>
      <c r="C139" s="444">
        <v>44390</v>
      </c>
      <c r="D139" s="2" t="s">
        <v>23</v>
      </c>
      <c r="E139" s="2" t="s">
        <v>24</v>
      </c>
      <c r="F139" s="2">
        <v>101</v>
      </c>
      <c r="G139" s="2">
        <v>1733</v>
      </c>
      <c r="H139" s="9" t="s">
        <v>591</v>
      </c>
      <c r="I139" s="9" t="s">
        <v>592</v>
      </c>
      <c r="J139" s="2"/>
      <c r="K139" s="2" t="s">
        <v>56</v>
      </c>
      <c r="L139" s="2"/>
      <c r="M139" s="2"/>
    </row>
    <row r="140" spans="1:13" ht="30.75">
      <c r="A140" s="7">
        <v>44434</v>
      </c>
      <c r="B140" s="8">
        <f>Tabla3567345678935681920[[#This Row],[KILOS]]*3.5</f>
        <v>343</v>
      </c>
      <c r="C140" s="444">
        <v>44392</v>
      </c>
      <c r="D140" s="2" t="s">
        <v>23</v>
      </c>
      <c r="E140" s="2" t="s">
        <v>24</v>
      </c>
      <c r="F140" s="2">
        <v>98</v>
      </c>
      <c r="G140" s="2">
        <v>1733</v>
      </c>
      <c r="H140" s="9" t="s">
        <v>593</v>
      </c>
      <c r="I140" s="9" t="s">
        <v>594</v>
      </c>
      <c r="J140" s="2"/>
      <c r="K140" s="2" t="s">
        <v>56</v>
      </c>
      <c r="L140" s="2"/>
      <c r="M140" s="2"/>
    </row>
    <row r="141" spans="1:13" ht="30.75">
      <c r="A141" s="7">
        <v>44435</v>
      </c>
      <c r="B141" s="8">
        <f>Tabla3567345678935681920[[#This Row],[KILOS]]*3.5</f>
        <v>346.5</v>
      </c>
      <c r="C141" s="444">
        <v>44394</v>
      </c>
      <c r="D141" s="2" t="s">
        <v>23</v>
      </c>
      <c r="E141" s="2" t="s">
        <v>24</v>
      </c>
      <c r="F141" s="2">
        <v>99</v>
      </c>
      <c r="G141" s="2">
        <v>1733</v>
      </c>
      <c r="H141" s="9" t="s">
        <v>595</v>
      </c>
      <c r="I141" s="9" t="s">
        <v>596</v>
      </c>
      <c r="J141" s="2"/>
      <c r="K141" s="2" t="s">
        <v>56</v>
      </c>
      <c r="L141" s="2"/>
      <c r="M141" s="2"/>
    </row>
    <row r="142" spans="1:13" ht="30.75">
      <c r="A142" s="7">
        <v>44436</v>
      </c>
      <c r="B142" s="8">
        <f>Tabla3567345678935681920[[#This Row],[KILOS]]*3.5</f>
        <v>353.5</v>
      </c>
      <c r="C142" s="444">
        <v>44397</v>
      </c>
      <c r="D142" s="2" t="s">
        <v>23</v>
      </c>
      <c r="E142" s="2" t="s">
        <v>24</v>
      </c>
      <c r="F142" s="2">
        <v>101</v>
      </c>
      <c r="G142" s="2">
        <v>1733</v>
      </c>
      <c r="H142" s="9" t="s">
        <v>597</v>
      </c>
      <c r="I142" s="9" t="s">
        <v>598</v>
      </c>
      <c r="J142" s="2"/>
      <c r="K142" s="2" t="s">
        <v>56</v>
      </c>
      <c r="L142" s="2"/>
      <c r="M142" s="2"/>
    </row>
    <row r="143" spans="1:13" ht="30.75">
      <c r="A143" s="7">
        <v>44437</v>
      </c>
      <c r="B143" s="8">
        <f>Tabla3567345678935681920[[#This Row],[KILOS]]*3.5</f>
        <v>357</v>
      </c>
      <c r="C143" s="444">
        <v>44399</v>
      </c>
      <c r="D143" s="2" t="s">
        <v>23</v>
      </c>
      <c r="E143" s="2" t="s">
        <v>24</v>
      </c>
      <c r="F143" s="2">
        <v>102</v>
      </c>
      <c r="G143" s="2">
        <v>1733</v>
      </c>
      <c r="H143" s="9" t="s">
        <v>599</v>
      </c>
      <c r="I143" s="9" t="s">
        <v>600</v>
      </c>
      <c r="J143" s="2"/>
      <c r="K143" s="2" t="s">
        <v>56</v>
      </c>
      <c r="L143" s="2"/>
      <c r="M143" s="2"/>
    </row>
    <row r="144" spans="1:13" ht="30.75">
      <c r="A144" s="7">
        <v>44438</v>
      </c>
      <c r="B144" s="8">
        <f>Tabla3567345678935681920[[#This Row],[KILOS]]*3.5</f>
        <v>332.5</v>
      </c>
      <c r="C144" s="444">
        <v>44401</v>
      </c>
      <c r="D144" s="2" t="s">
        <v>23</v>
      </c>
      <c r="E144" s="2" t="s">
        <v>24</v>
      </c>
      <c r="F144" s="2">
        <v>95</v>
      </c>
      <c r="G144" s="2">
        <v>1733</v>
      </c>
      <c r="H144" s="9" t="s">
        <v>601</v>
      </c>
      <c r="I144" s="9" t="s">
        <v>602</v>
      </c>
      <c r="J144" s="2"/>
      <c r="K144" s="2" t="s">
        <v>56</v>
      </c>
      <c r="L144" s="2"/>
      <c r="M144" s="2"/>
    </row>
    <row r="145" spans="1:15" ht="30.75">
      <c r="A145" s="7">
        <v>44439</v>
      </c>
      <c r="B145" s="8">
        <f>Tabla3567345678935681920[[#This Row],[KILOS]]*3.5</f>
        <v>343</v>
      </c>
      <c r="C145" s="444">
        <v>44404</v>
      </c>
      <c r="D145" s="2" t="s">
        <v>23</v>
      </c>
      <c r="E145" s="2" t="s">
        <v>24</v>
      </c>
      <c r="F145" s="2">
        <v>98</v>
      </c>
      <c r="G145" s="2">
        <v>1733</v>
      </c>
      <c r="H145" s="9" t="s">
        <v>603</v>
      </c>
      <c r="I145" s="9" t="s">
        <v>604</v>
      </c>
      <c r="J145" s="2"/>
      <c r="K145" s="2" t="s">
        <v>56</v>
      </c>
      <c r="L145" s="2"/>
      <c r="M145" s="2"/>
    </row>
    <row r="146" spans="1:15" ht="30.75">
      <c r="A146" s="7">
        <v>44440</v>
      </c>
      <c r="B146" s="8">
        <f>Tabla3567345678935681920[[#This Row],[KILOS]]*3.5</f>
        <v>353.5</v>
      </c>
      <c r="C146" s="444">
        <v>44406</v>
      </c>
      <c r="D146" s="2" t="s">
        <v>23</v>
      </c>
      <c r="E146" s="2" t="s">
        <v>24</v>
      </c>
      <c r="F146" s="2">
        <v>101</v>
      </c>
      <c r="G146" s="2">
        <v>1733</v>
      </c>
      <c r="H146" s="9" t="s">
        <v>605</v>
      </c>
      <c r="I146" s="9" t="s">
        <v>606</v>
      </c>
      <c r="J146" s="2"/>
      <c r="K146" s="2" t="s">
        <v>56</v>
      </c>
      <c r="L146" s="2"/>
      <c r="M146" s="2"/>
    </row>
    <row r="147" spans="1:15" ht="30.75">
      <c r="A147" s="7">
        <v>44441</v>
      </c>
      <c r="B147" s="8">
        <f>Tabla3567345678935681920[[#This Row],[KILOS]]*3.5</f>
        <v>357</v>
      </c>
      <c r="C147" s="444">
        <v>44408</v>
      </c>
      <c r="D147" s="2" t="s">
        <v>23</v>
      </c>
      <c r="E147" s="2" t="s">
        <v>24</v>
      </c>
      <c r="F147" s="2">
        <v>102</v>
      </c>
      <c r="G147" s="2">
        <v>1733</v>
      </c>
      <c r="H147" s="9" t="s">
        <v>607</v>
      </c>
      <c r="I147" s="9" t="s">
        <v>608</v>
      </c>
      <c r="J147" s="2"/>
      <c r="K147" s="2" t="s">
        <v>56</v>
      </c>
      <c r="L147" s="2"/>
      <c r="M147" s="2"/>
    </row>
    <row r="148" spans="1:15" ht="30.75">
      <c r="A148" s="2"/>
      <c r="B148" s="228">
        <f>SUM(B134:B147)</f>
        <v>4868.5</v>
      </c>
      <c r="C148" s="445"/>
      <c r="D148" s="2" t="s">
        <v>23</v>
      </c>
      <c r="E148" s="2" t="s">
        <v>24</v>
      </c>
      <c r="F148" s="42" t="s">
        <v>609</v>
      </c>
      <c r="G148" s="2"/>
      <c r="H148" s="9"/>
      <c r="I148" s="9"/>
      <c r="J148" s="2"/>
      <c r="K148" s="2"/>
      <c r="L148" s="2"/>
      <c r="M148" s="2"/>
    </row>
    <row r="149" spans="1:15" ht="30.75">
      <c r="A149" s="253">
        <v>44476</v>
      </c>
      <c r="B149" s="252">
        <f>Tabla3567345678935681920[[#This Row],[KILOS]]*3.5</f>
        <v>367.5</v>
      </c>
      <c r="C149" s="458">
        <v>44411</v>
      </c>
      <c r="D149" s="251" t="s">
        <v>23</v>
      </c>
      <c r="E149" s="251" t="s">
        <v>24</v>
      </c>
      <c r="F149" s="251">
        <v>105</v>
      </c>
      <c r="G149" s="251">
        <v>2190</v>
      </c>
      <c r="H149" s="254" t="s">
        <v>610</v>
      </c>
      <c r="I149" s="254" t="s">
        <v>611</v>
      </c>
      <c r="J149" s="251"/>
      <c r="K149" s="251" t="s">
        <v>56</v>
      </c>
      <c r="L149" s="2"/>
      <c r="M149" s="2"/>
    </row>
    <row r="150" spans="1:15" ht="30.75">
      <c r="A150" s="253">
        <v>44476</v>
      </c>
      <c r="B150" s="252">
        <f>Tabla3567345678935681920[[#This Row],[KILOS]]*3.5</f>
        <v>381.5</v>
      </c>
      <c r="C150" s="458">
        <v>44413</v>
      </c>
      <c r="D150" s="251" t="s">
        <v>23</v>
      </c>
      <c r="E150" s="251" t="s">
        <v>24</v>
      </c>
      <c r="F150" s="251">
        <v>109</v>
      </c>
      <c r="G150" s="251">
        <v>2190</v>
      </c>
      <c r="H150" s="254" t="s">
        <v>612</v>
      </c>
      <c r="I150" s="254" t="s">
        <v>613</v>
      </c>
      <c r="J150" s="251"/>
      <c r="K150" s="251" t="s">
        <v>56</v>
      </c>
      <c r="L150" s="2"/>
      <c r="M150" s="2"/>
    </row>
    <row r="151" spans="1:15" ht="30.75">
      <c r="A151" s="253">
        <v>44476</v>
      </c>
      <c r="B151" s="252">
        <f>Tabla3567345678935681920[[#This Row],[KILOS]]*3.5</f>
        <v>374.5</v>
      </c>
      <c r="C151" s="458">
        <v>44415</v>
      </c>
      <c r="D151" s="251" t="s">
        <v>23</v>
      </c>
      <c r="E151" s="251" t="s">
        <v>24</v>
      </c>
      <c r="F151" s="251">
        <v>107</v>
      </c>
      <c r="G151" s="251">
        <v>2190</v>
      </c>
      <c r="H151" s="254" t="s">
        <v>614</v>
      </c>
      <c r="I151" s="254" t="s">
        <v>615</v>
      </c>
      <c r="J151" s="251"/>
      <c r="K151" s="251" t="s">
        <v>56</v>
      </c>
      <c r="L151" s="2"/>
      <c r="M151" s="2"/>
    </row>
    <row r="152" spans="1:15" ht="30.75">
      <c r="A152" s="253">
        <v>44476</v>
      </c>
      <c r="B152" s="252">
        <f>Tabla3567345678935681920[[#This Row],[KILOS]]*3.5</f>
        <v>371</v>
      </c>
      <c r="C152" s="458">
        <v>44418</v>
      </c>
      <c r="D152" s="251" t="s">
        <v>23</v>
      </c>
      <c r="E152" s="251" t="s">
        <v>24</v>
      </c>
      <c r="F152" s="251">
        <v>106</v>
      </c>
      <c r="G152" s="251">
        <v>2190</v>
      </c>
      <c r="H152" s="254" t="s">
        <v>616</v>
      </c>
      <c r="I152" s="254" t="s">
        <v>617</v>
      </c>
      <c r="J152" s="251"/>
      <c r="K152" s="251" t="s">
        <v>56</v>
      </c>
      <c r="L152" s="2"/>
      <c r="M152" s="2"/>
    </row>
    <row r="153" spans="1:15" ht="30.75">
      <c r="A153" s="253">
        <v>44476</v>
      </c>
      <c r="B153" s="252">
        <f>Tabla3567345678935681920[[#This Row],[KILOS]]*3.5</f>
        <v>364</v>
      </c>
      <c r="C153" s="458">
        <v>44420</v>
      </c>
      <c r="D153" s="251" t="s">
        <v>23</v>
      </c>
      <c r="E153" s="251" t="s">
        <v>24</v>
      </c>
      <c r="F153" s="251">
        <v>104</v>
      </c>
      <c r="G153" s="251">
        <v>2190</v>
      </c>
      <c r="H153" s="254" t="s">
        <v>618</v>
      </c>
      <c r="I153" s="254" t="s">
        <v>619</v>
      </c>
      <c r="J153" s="251"/>
      <c r="K153" s="251" t="s">
        <v>56</v>
      </c>
      <c r="L153" s="2"/>
      <c r="M153" s="2"/>
    </row>
    <row r="154" spans="1:15" ht="30.75">
      <c r="A154" s="253">
        <v>44476</v>
      </c>
      <c r="B154" s="252">
        <f>Tabla3567345678935681920[[#This Row],[KILOS]]*3.5</f>
        <v>360.5</v>
      </c>
      <c r="C154" s="458">
        <v>44422</v>
      </c>
      <c r="D154" s="251" t="s">
        <v>23</v>
      </c>
      <c r="E154" s="251" t="s">
        <v>24</v>
      </c>
      <c r="F154" s="251">
        <v>103</v>
      </c>
      <c r="G154" s="251">
        <v>2190</v>
      </c>
      <c r="H154" s="254" t="s">
        <v>620</v>
      </c>
      <c r="I154" s="254" t="s">
        <v>621</v>
      </c>
      <c r="J154" s="251"/>
      <c r="K154" s="251" t="s">
        <v>56</v>
      </c>
      <c r="L154" s="2"/>
      <c r="M154" s="2"/>
    </row>
    <row r="155" spans="1:15" ht="30.75">
      <c r="A155" s="253">
        <v>44476</v>
      </c>
      <c r="B155" s="252">
        <f>Tabla3567345678935681920[[#This Row],[KILOS]]*3.5</f>
        <v>364</v>
      </c>
      <c r="C155" s="458">
        <v>44425</v>
      </c>
      <c r="D155" s="251" t="s">
        <v>23</v>
      </c>
      <c r="E155" s="251" t="s">
        <v>24</v>
      </c>
      <c r="F155" s="251">
        <v>104</v>
      </c>
      <c r="G155" s="251">
        <v>2190</v>
      </c>
      <c r="H155" s="254" t="s">
        <v>622</v>
      </c>
      <c r="I155" s="254" t="s">
        <v>623</v>
      </c>
      <c r="J155" s="251"/>
      <c r="K155" s="251" t="s">
        <v>56</v>
      </c>
      <c r="L155" s="2"/>
      <c r="M155" s="100" t="s">
        <v>624</v>
      </c>
      <c r="N155" s="290">
        <v>580</v>
      </c>
      <c r="O155" t="s">
        <v>625</v>
      </c>
    </row>
    <row r="156" spans="1:15" ht="30.75">
      <c r="A156" s="253">
        <v>44476</v>
      </c>
      <c r="B156" s="252">
        <f>Tabla3567345678935681920[[#This Row],[KILOS]]*3.5</f>
        <v>378</v>
      </c>
      <c r="C156" s="458">
        <v>44427</v>
      </c>
      <c r="D156" s="251" t="s">
        <v>23</v>
      </c>
      <c r="E156" s="251" t="s">
        <v>24</v>
      </c>
      <c r="F156" s="251">
        <v>108</v>
      </c>
      <c r="G156" s="251">
        <v>2190</v>
      </c>
      <c r="H156" s="254" t="s">
        <v>626</v>
      </c>
      <c r="I156" s="254" t="s">
        <v>627</v>
      </c>
      <c r="J156" s="251"/>
      <c r="K156" s="251" t="s">
        <v>56</v>
      </c>
      <c r="L156" s="2"/>
      <c r="M156" s="2"/>
    </row>
    <row r="157" spans="1:15" ht="30.75">
      <c r="A157" s="253">
        <v>44476</v>
      </c>
      <c r="B157" s="252">
        <f>Tabla3567345678935681920[[#This Row],[KILOS]]*3.5</f>
        <v>381.5</v>
      </c>
      <c r="C157" s="458">
        <v>44429</v>
      </c>
      <c r="D157" s="251" t="s">
        <v>23</v>
      </c>
      <c r="E157" s="251" t="s">
        <v>24</v>
      </c>
      <c r="F157" s="251">
        <v>109</v>
      </c>
      <c r="G157" s="251">
        <v>2190</v>
      </c>
      <c r="H157" s="254" t="s">
        <v>628</v>
      </c>
      <c r="I157" s="254" t="s">
        <v>629</v>
      </c>
      <c r="J157" s="251"/>
      <c r="K157" s="251" t="s">
        <v>56</v>
      </c>
      <c r="L157" s="2"/>
      <c r="M157" s="2"/>
    </row>
    <row r="158" spans="1:15" ht="30.75">
      <c r="A158" s="253">
        <v>44476</v>
      </c>
      <c r="B158" s="252">
        <f>Tabla3567345678935681920[[#This Row],[KILOS]]*3.5</f>
        <v>374.5</v>
      </c>
      <c r="C158" s="458">
        <v>44432</v>
      </c>
      <c r="D158" s="251" t="s">
        <v>23</v>
      </c>
      <c r="E158" s="251" t="s">
        <v>24</v>
      </c>
      <c r="F158" s="251">
        <v>107</v>
      </c>
      <c r="G158" s="251">
        <v>2190</v>
      </c>
      <c r="H158" s="254" t="s">
        <v>630</v>
      </c>
      <c r="I158" s="254" t="s">
        <v>631</v>
      </c>
      <c r="J158" s="251"/>
      <c r="K158" s="251" t="s">
        <v>56</v>
      </c>
      <c r="L158" s="2"/>
      <c r="M158" s="2"/>
    </row>
    <row r="159" spans="1:15" ht="30.75">
      <c r="A159" s="253">
        <v>44476</v>
      </c>
      <c r="B159" s="252">
        <f>Tabla3567345678935681920[[#This Row],[KILOS]]*3.5</f>
        <v>378</v>
      </c>
      <c r="C159" s="458">
        <v>44434</v>
      </c>
      <c r="D159" s="251" t="s">
        <v>23</v>
      </c>
      <c r="E159" s="251" t="s">
        <v>24</v>
      </c>
      <c r="F159" s="251">
        <v>108</v>
      </c>
      <c r="G159" s="251">
        <v>2190</v>
      </c>
      <c r="H159" s="254" t="s">
        <v>632</v>
      </c>
      <c r="I159" s="254" t="s">
        <v>633</v>
      </c>
      <c r="J159" s="251"/>
      <c r="K159" s="251" t="s">
        <v>56</v>
      </c>
      <c r="L159" s="100"/>
      <c r="M159" s="410"/>
    </row>
    <row r="160" spans="1:15" ht="30.75">
      <c r="A160" s="253">
        <v>44476</v>
      </c>
      <c r="B160" s="252">
        <f>Tabla3567345678935681920[[#This Row],[KILOS]]*3.5</f>
        <v>374.5</v>
      </c>
      <c r="C160" s="458">
        <v>44436</v>
      </c>
      <c r="D160" s="251" t="s">
        <v>23</v>
      </c>
      <c r="E160" s="251" t="s">
        <v>24</v>
      </c>
      <c r="F160" s="251">
        <v>107</v>
      </c>
      <c r="G160" s="251">
        <v>2190</v>
      </c>
      <c r="H160" s="254" t="s">
        <v>634</v>
      </c>
      <c r="I160" s="254" t="s">
        <v>635</v>
      </c>
      <c r="J160" s="251"/>
      <c r="K160" s="251" t="s">
        <v>56</v>
      </c>
      <c r="L160" s="100"/>
      <c r="M160" s="2"/>
    </row>
    <row r="161" spans="1:14" ht="30.75">
      <c r="A161" s="253">
        <v>44476</v>
      </c>
      <c r="B161" s="252">
        <f>Tabla3567345678935681920[[#This Row],[KILOS]]*3.5</f>
        <v>367.5</v>
      </c>
      <c r="C161" s="458">
        <v>44439</v>
      </c>
      <c r="D161" s="251" t="s">
        <v>23</v>
      </c>
      <c r="E161" s="251" t="s">
        <v>24</v>
      </c>
      <c r="F161" s="251">
        <v>105</v>
      </c>
      <c r="G161" s="251">
        <v>2190</v>
      </c>
      <c r="H161" s="254" t="s">
        <v>636</v>
      </c>
      <c r="I161" s="254" t="s">
        <v>637</v>
      </c>
      <c r="J161" s="251"/>
      <c r="K161" s="251" t="s">
        <v>56</v>
      </c>
      <c r="L161" s="100"/>
      <c r="M161" s="2"/>
    </row>
    <row r="162" spans="1:14" ht="30.75">
      <c r="A162" s="2"/>
      <c r="B162" s="228">
        <f>SUM(B149:B161)</f>
        <v>4837</v>
      </c>
      <c r="C162" s="444"/>
      <c r="D162" s="2" t="s">
        <v>23</v>
      </c>
      <c r="E162" s="2" t="s">
        <v>24</v>
      </c>
      <c r="F162" s="42">
        <f>SUM(F149:F161)</f>
        <v>1382</v>
      </c>
      <c r="G162" s="2" t="s">
        <v>638</v>
      </c>
      <c r="H162" s="9"/>
      <c r="I162" s="9"/>
      <c r="J162" s="2"/>
      <c r="K162" s="2"/>
      <c r="L162" s="2"/>
      <c r="M162" s="2"/>
    </row>
    <row r="163" spans="1:14" ht="30.75">
      <c r="A163" s="263">
        <v>44476</v>
      </c>
      <c r="B163" s="264" t="s">
        <v>639</v>
      </c>
      <c r="C163" s="459">
        <v>44441</v>
      </c>
      <c r="D163" s="262" t="s">
        <v>23</v>
      </c>
      <c r="E163" s="262" t="s">
        <v>24</v>
      </c>
      <c r="F163" s="262">
        <v>107</v>
      </c>
      <c r="G163" s="262">
        <v>2795</v>
      </c>
      <c r="H163" s="264" t="s">
        <v>640</v>
      </c>
      <c r="I163" s="264" t="s">
        <v>641</v>
      </c>
      <c r="J163" s="262"/>
      <c r="K163" s="262" t="s">
        <v>56</v>
      </c>
      <c r="L163" s="2"/>
      <c r="M163" s="2"/>
    </row>
    <row r="164" spans="1:14" ht="30.75">
      <c r="A164" s="263">
        <v>44476</v>
      </c>
      <c r="B164" s="264" t="s">
        <v>642</v>
      </c>
      <c r="C164" s="459">
        <v>44443</v>
      </c>
      <c r="D164" s="262" t="s">
        <v>23</v>
      </c>
      <c r="E164" s="262" t="s">
        <v>24</v>
      </c>
      <c r="F164" s="262">
        <v>109</v>
      </c>
      <c r="G164" s="262">
        <v>2795</v>
      </c>
      <c r="H164" s="264" t="s">
        <v>643</v>
      </c>
      <c r="I164" s="264" t="s">
        <v>644</v>
      </c>
      <c r="J164" s="262"/>
      <c r="K164" s="262" t="s">
        <v>56</v>
      </c>
      <c r="L164" s="100" t="s">
        <v>645</v>
      </c>
      <c r="M164" s="2"/>
    </row>
    <row r="165" spans="1:14" ht="30.75">
      <c r="A165" s="263">
        <v>44476</v>
      </c>
      <c r="B165" s="264">
        <v>357</v>
      </c>
      <c r="C165" s="459">
        <v>44446</v>
      </c>
      <c r="D165" s="262" t="s">
        <v>23</v>
      </c>
      <c r="E165" s="262" t="s">
        <v>24</v>
      </c>
      <c r="F165" s="262">
        <v>102</v>
      </c>
      <c r="G165" s="262">
        <v>2795</v>
      </c>
      <c r="H165" s="264" t="s">
        <v>646</v>
      </c>
      <c r="I165" s="264" t="s">
        <v>647</v>
      </c>
      <c r="J165" s="262"/>
      <c r="K165" s="262" t="s">
        <v>56</v>
      </c>
      <c r="L165" s="2" t="s">
        <v>648</v>
      </c>
      <c r="M165" s="2" t="s">
        <v>649</v>
      </c>
    </row>
    <row r="166" spans="1:14" ht="30.75">
      <c r="A166" s="263">
        <v>44476</v>
      </c>
      <c r="B166" s="264" t="s">
        <v>650</v>
      </c>
      <c r="C166" s="459">
        <v>44448</v>
      </c>
      <c r="D166" s="262" t="s">
        <v>23</v>
      </c>
      <c r="E166" s="262" t="s">
        <v>24</v>
      </c>
      <c r="F166" s="262">
        <v>113</v>
      </c>
      <c r="G166" s="262">
        <v>2795</v>
      </c>
      <c r="H166" s="264" t="s">
        <v>651</v>
      </c>
      <c r="I166" s="264" t="s">
        <v>652</v>
      </c>
      <c r="J166" s="262"/>
      <c r="K166" s="262" t="s">
        <v>56</v>
      </c>
      <c r="L166" s="412" t="s">
        <v>653</v>
      </c>
      <c r="M166" s="412" t="s">
        <v>654</v>
      </c>
    </row>
    <row r="167" spans="1:14" ht="30.75">
      <c r="A167" s="263">
        <v>44476</v>
      </c>
      <c r="B167" s="264" t="s">
        <v>655</v>
      </c>
      <c r="C167" s="459">
        <v>44450</v>
      </c>
      <c r="D167" s="262" t="s">
        <v>23</v>
      </c>
      <c r="E167" s="262" t="s">
        <v>24</v>
      </c>
      <c r="F167" s="262">
        <v>109</v>
      </c>
      <c r="G167" s="262">
        <v>2795</v>
      </c>
      <c r="H167" s="264" t="s">
        <v>656</v>
      </c>
      <c r="I167" s="264" t="s">
        <v>657</v>
      </c>
      <c r="J167" s="262"/>
      <c r="K167" s="262" t="s">
        <v>56</v>
      </c>
      <c r="L167" s="2"/>
      <c r="M167" s="2"/>
    </row>
    <row r="168" spans="1:14" ht="30.75">
      <c r="A168" s="263">
        <v>44476</v>
      </c>
      <c r="B168" s="264">
        <v>392</v>
      </c>
      <c r="C168" s="459">
        <v>44453</v>
      </c>
      <c r="D168" s="262" t="s">
        <v>23</v>
      </c>
      <c r="E168" s="262" t="s">
        <v>24</v>
      </c>
      <c r="F168" s="262">
        <v>112</v>
      </c>
      <c r="G168" s="262">
        <v>2795</v>
      </c>
      <c r="H168" s="264" t="s">
        <v>658</v>
      </c>
      <c r="I168" s="264" t="s">
        <v>659</v>
      </c>
      <c r="J168" s="262"/>
      <c r="K168" s="262" t="s">
        <v>56</v>
      </c>
      <c r="L168" s="2"/>
      <c r="M168" s="2"/>
    </row>
    <row r="169" spans="1:14" ht="30.75">
      <c r="A169" s="263">
        <v>44476</v>
      </c>
      <c r="B169" s="264">
        <v>378</v>
      </c>
      <c r="C169" s="459">
        <v>44455</v>
      </c>
      <c r="D169" s="262" t="s">
        <v>23</v>
      </c>
      <c r="E169" s="262" t="s">
        <v>24</v>
      </c>
      <c r="F169" s="262">
        <v>108</v>
      </c>
      <c r="G169" s="262">
        <v>2795</v>
      </c>
      <c r="H169" s="264" t="s">
        <v>660</v>
      </c>
      <c r="I169" s="264" t="s">
        <v>661</v>
      </c>
      <c r="J169" s="262"/>
      <c r="K169" s="262" t="s">
        <v>56</v>
      </c>
      <c r="L169" s="2"/>
      <c r="M169" s="2"/>
    </row>
    <row r="170" spans="1:14" ht="30.75">
      <c r="A170" s="263">
        <v>44476</v>
      </c>
      <c r="B170" s="264" t="s">
        <v>655</v>
      </c>
      <c r="C170" s="459">
        <v>44457</v>
      </c>
      <c r="D170" s="262" t="s">
        <v>23</v>
      </c>
      <c r="E170" s="262" t="s">
        <v>24</v>
      </c>
      <c r="F170" s="262">
        <v>109</v>
      </c>
      <c r="G170" s="262">
        <v>2795</v>
      </c>
      <c r="H170" s="264" t="s">
        <v>662</v>
      </c>
      <c r="I170" s="264" t="s">
        <v>663</v>
      </c>
      <c r="J170" s="262"/>
      <c r="K170" s="262" t="s">
        <v>56</v>
      </c>
      <c r="L170" s="2"/>
      <c r="M170" s="2"/>
    </row>
    <row r="171" spans="1:14" ht="30.75">
      <c r="A171" s="263">
        <v>44476</v>
      </c>
      <c r="B171" s="264">
        <v>385</v>
      </c>
      <c r="C171" s="459">
        <v>44460</v>
      </c>
      <c r="D171" s="262" t="s">
        <v>23</v>
      </c>
      <c r="E171" s="262" t="s">
        <v>24</v>
      </c>
      <c r="F171" s="262">
        <v>110</v>
      </c>
      <c r="G171" s="262">
        <v>2795</v>
      </c>
      <c r="H171" s="264" t="s">
        <v>664</v>
      </c>
      <c r="I171" s="264" t="s">
        <v>665</v>
      </c>
      <c r="J171" s="262"/>
      <c r="K171" s="262" t="s">
        <v>56</v>
      </c>
      <c r="L171" s="100" t="s">
        <v>666</v>
      </c>
      <c r="M171" s="100">
        <v>590</v>
      </c>
      <c r="N171" s="290" t="s">
        <v>625</v>
      </c>
    </row>
    <row r="172" spans="1:14" ht="30.75">
      <c r="A172" s="263">
        <v>44476</v>
      </c>
      <c r="B172" s="264">
        <v>392</v>
      </c>
      <c r="C172" s="459">
        <v>44462</v>
      </c>
      <c r="D172" s="262" t="s">
        <v>23</v>
      </c>
      <c r="E172" s="262" t="s">
        <v>24</v>
      </c>
      <c r="F172" s="262">
        <v>112</v>
      </c>
      <c r="G172" s="262">
        <v>2795</v>
      </c>
      <c r="H172" s="264" t="s">
        <v>667</v>
      </c>
      <c r="I172" s="264" t="s">
        <v>668</v>
      </c>
      <c r="J172" s="262"/>
      <c r="K172" s="262" t="s">
        <v>56</v>
      </c>
      <c r="L172" s="2"/>
      <c r="M172" s="2"/>
    </row>
    <row r="173" spans="1:14" ht="30.75">
      <c r="A173" s="263">
        <v>44476</v>
      </c>
      <c r="B173" s="264" t="s">
        <v>669</v>
      </c>
      <c r="C173" s="459">
        <v>44464</v>
      </c>
      <c r="D173" s="262" t="s">
        <v>23</v>
      </c>
      <c r="E173" s="262" t="s">
        <v>24</v>
      </c>
      <c r="F173" s="262">
        <v>105</v>
      </c>
      <c r="G173" s="262">
        <v>2795</v>
      </c>
      <c r="H173" s="264" t="s">
        <v>670</v>
      </c>
      <c r="I173" s="264" t="s">
        <v>671</v>
      </c>
      <c r="J173" s="262"/>
      <c r="K173" s="262" t="s">
        <v>56</v>
      </c>
      <c r="L173" s="2"/>
      <c r="M173" s="2"/>
    </row>
    <row r="174" spans="1:14" ht="30.75">
      <c r="A174" s="263">
        <v>44476</v>
      </c>
      <c r="B174" s="264">
        <v>364</v>
      </c>
      <c r="C174" s="459">
        <v>44467</v>
      </c>
      <c r="D174" s="262" t="s">
        <v>23</v>
      </c>
      <c r="E174" s="262" t="s">
        <v>24</v>
      </c>
      <c r="F174" s="262">
        <v>104</v>
      </c>
      <c r="G174" s="262">
        <v>2795</v>
      </c>
      <c r="H174" s="262">
        <v>6237</v>
      </c>
      <c r="I174" s="262">
        <v>5805</v>
      </c>
      <c r="J174" s="262"/>
      <c r="K174" s="262" t="s">
        <v>56</v>
      </c>
      <c r="L174" s="2"/>
      <c r="M174" s="2"/>
    </row>
    <row r="175" spans="1:14" ht="30.75">
      <c r="A175" s="263">
        <v>44476</v>
      </c>
      <c r="B175" s="264" t="s">
        <v>669</v>
      </c>
      <c r="C175" s="459">
        <v>44469</v>
      </c>
      <c r="D175" s="262" t="s">
        <v>23</v>
      </c>
      <c r="E175" s="262" t="s">
        <v>24</v>
      </c>
      <c r="F175" s="262">
        <v>105</v>
      </c>
      <c r="G175" s="262">
        <v>2795</v>
      </c>
      <c r="H175" s="262">
        <v>6238</v>
      </c>
      <c r="I175" s="262">
        <v>5806</v>
      </c>
      <c r="J175" s="262"/>
      <c r="K175" s="262" t="s">
        <v>56</v>
      </c>
      <c r="L175" s="2"/>
      <c r="M175" s="2"/>
    </row>
    <row r="176" spans="1:14" ht="30.75">
      <c r="A176" s="2"/>
      <c r="B176" s="42" t="s">
        <v>672</v>
      </c>
      <c r="C176" s="624"/>
      <c r="D176" s="2" t="s">
        <v>23</v>
      </c>
      <c r="E176" s="2" t="s">
        <v>24</v>
      </c>
      <c r="F176" s="2" t="s">
        <v>673</v>
      </c>
      <c r="G176" s="2"/>
      <c r="H176" s="2"/>
      <c r="I176" s="2"/>
      <c r="J176" s="2"/>
      <c r="K176" s="2"/>
      <c r="L176" s="2"/>
      <c r="M176" s="2"/>
    </row>
    <row r="177" spans="1:14" ht="30.75">
      <c r="A177" s="7">
        <v>44518</v>
      </c>
      <c r="B177" s="283">
        <v>385</v>
      </c>
      <c r="C177" s="444">
        <v>44471</v>
      </c>
      <c r="D177" s="2" t="s">
        <v>23</v>
      </c>
      <c r="E177" s="2" t="s">
        <v>24</v>
      </c>
      <c r="F177" s="2">
        <v>110</v>
      </c>
      <c r="G177" s="2">
        <v>3408</v>
      </c>
      <c r="H177" s="2">
        <v>6239</v>
      </c>
      <c r="I177" s="2">
        <v>5807</v>
      </c>
      <c r="J177" s="2"/>
      <c r="K177" s="2" t="s">
        <v>26</v>
      </c>
      <c r="L177" s="2"/>
      <c r="M177" s="2"/>
    </row>
    <row r="178" spans="1:14" ht="30.75">
      <c r="A178" s="7">
        <v>44518</v>
      </c>
      <c r="B178" s="283" t="s">
        <v>669</v>
      </c>
      <c r="C178" s="444">
        <v>44473</v>
      </c>
      <c r="D178" s="2" t="s">
        <v>23</v>
      </c>
      <c r="E178" s="2" t="s">
        <v>24</v>
      </c>
      <c r="F178" s="2">
        <v>105</v>
      </c>
      <c r="G178" s="2">
        <v>3408</v>
      </c>
      <c r="H178" s="2">
        <v>6668</v>
      </c>
      <c r="I178" s="2">
        <v>6341</v>
      </c>
      <c r="J178" s="2"/>
      <c r="K178" s="2" t="s">
        <v>26</v>
      </c>
      <c r="L178" s="2"/>
      <c r="M178" s="2"/>
    </row>
    <row r="179" spans="1:14" ht="30.75">
      <c r="A179" s="7">
        <v>44518</v>
      </c>
      <c r="B179" s="283" t="s">
        <v>639</v>
      </c>
      <c r="C179" s="444">
        <v>44475</v>
      </c>
      <c r="D179" s="2" t="s">
        <v>23</v>
      </c>
      <c r="E179" s="2" t="s">
        <v>24</v>
      </c>
      <c r="F179" s="2">
        <v>107</v>
      </c>
      <c r="G179" s="2">
        <v>3408</v>
      </c>
      <c r="H179" s="2">
        <v>6669</v>
      </c>
      <c r="I179" s="2">
        <v>6342</v>
      </c>
      <c r="J179" s="2"/>
      <c r="K179" s="2" t="s">
        <v>26</v>
      </c>
      <c r="L179" s="2"/>
      <c r="M179" s="2"/>
    </row>
    <row r="180" spans="1:14" ht="30.75">
      <c r="A180" s="7">
        <v>44518</v>
      </c>
      <c r="B180" s="283" t="s">
        <v>650</v>
      </c>
      <c r="C180" s="444">
        <v>44478</v>
      </c>
      <c r="D180" s="2" t="s">
        <v>23</v>
      </c>
      <c r="E180" s="2" t="s">
        <v>24</v>
      </c>
      <c r="F180" s="2">
        <v>113</v>
      </c>
      <c r="G180" s="2">
        <v>3408</v>
      </c>
      <c r="H180" s="2">
        <v>6670</v>
      </c>
      <c r="I180" s="2">
        <v>6343</v>
      </c>
      <c r="J180" s="2"/>
      <c r="K180" s="2" t="s">
        <v>26</v>
      </c>
      <c r="L180" s="411" t="s">
        <v>674</v>
      </c>
      <c r="M180" s="411" t="s">
        <v>675</v>
      </c>
    </row>
    <row r="181" spans="1:14" ht="30.75">
      <c r="A181" s="7">
        <v>44518</v>
      </c>
      <c r="B181" s="283">
        <v>378</v>
      </c>
      <c r="C181" s="444">
        <v>44480</v>
      </c>
      <c r="D181" s="2" t="s">
        <v>23</v>
      </c>
      <c r="E181" s="2" t="s">
        <v>24</v>
      </c>
      <c r="F181" s="2">
        <v>108</v>
      </c>
      <c r="G181" s="2">
        <v>3408</v>
      </c>
      <c r="H181" s="2">
        <v>6671</v>
      </c>
      <c r="I181" s="2">
        <v>6344</v>
      </c>
      <c r="J181" s="2"/>
      <c r="K181" s="2" t="s">
        <v>26</v>
      </c>
      <c r="L181" s="2"/>
      <c r="M181" s="2"/>
    </row>
    <row r="182" spans="1:14" ht="30.75">
      <c r="A182" s="7">
        <v>44518</v>
      </c>
      <c r="B182" s="283">
        <v>385</v>
      </c>
      <c r="C182" s="444">
        <v>44482</v>
      </c>
      <c r="D182" s="2" t="s">
        <v>23</v>
      </c>
      <c r="E182" s="2" t="s">
        <v>24</v>
      </c>
      <c r="F182" s="2">
        <v>110</v>
      </c>
      <c r="G182" s="2">
        <v>3408</v>
      </c>
      <c r="H182" s="2">
        <v>6673</v>
      </c>
      <c r="I182" s="2">
        <v>6345</v>
      </c>
      <c r="J182" s="2"/>
      <c r="K182" s="2" t="s">
        <v>26</v>
      </c>
      <c r="L182" s="2"/>
      <c r="M182" s="2"/>
    </row>
    <row r="183" spans="1:14" ht="30.75">
      <c r="A183" s="7">
        <v>44518</v>
      </c>
      <c r="B183" s="283">
        <v>392</v>
      </c>
      <c r="C183" s="444">
        <v>44485</v>
      </c>
      <c r="D183" s="2" t="s">
        <v>23</v>
      </c>
      <c r="E183" s="2" t="s">
        <v>24</v>
      </c>
      <c r="F183" s="2">
        <v>112</v>
      </c>
      <c r="G183" s="2">
        <v>3408</v>
      </c>
      <c r="H183" s="2">
        <v>6672</v>
      </c>
      <c r="I183" s="2">
        <v>6346</v>
      </c>
      <c r="J183" s="2"/>
      <c r="K183" s="2" t="s">
        <v>26</v>
      </c>
      <c r="L183" s="2"/>
      <c r="M183" s="2"/>
    </row>
    <row r="184" spans="1:14" ht="30.75">
      <c r="A184" s="7">
        <v>44518</v>
      </c>
      <c r="B184" s="283" t="s">
        <v>676</v>
      </c>
      <c r="C184" s="444">
        <v>44487</v>
      </c>
      <c r="D184" s="2" t="s">
        <v>23</v>
      </c>
      <c r="E184" s="2" t="s">
        <v>24</v>
      </c>
      <c r="F184" s="2">
        <v>101</v>
      </c>
      <c r="G184" s="2">
        <v>3408</v>
      </c>
      <c r="H184" s="2">
        <v>6674</v>
      </c>
      <c r="I184" s="2">
        <v>6347</v>
      </c>
      <c r="J184" s="2"/>
      <c r="K184" s="2" t="s">
        <v>26</v>
      </c>
      <c r="L184" s="100" t="s">
        <v>666</v>
      </c>
      <c r="M184" s="100">
        <v>590</v>
      </c>
      <c r="N184" s="290" t="s">
        <v>625</v>
      </c>
    </row>
    <row r="185" spans="1:14" ht="30.75">
      <c r="A185" s="7">
        <v>44518</v>
      </c>
      <c r="B185" s="283" t="s">
        <v>677</v>
      </c>
      <c r="C185" s="444">
        <v>44489</v>
      </c>
      <c r="D185" s="2" t="s">
        <v>23</v>
      </c>
      <c r="E185" s="2" t="s">
        <v>24</v>
      </c>
      <c r="F185" s="2">
        <v>99</v>
      </c>
      <c r="G185" s="2">
        <v>3408</v>
      </c>
      <c r="H185" s="2">
        <v>6675</v>
      </c>
      <c r="I185" s="2">
        <v>6348</v>
      </c>
      <c r="J185" s="2"/>
      <c r="K185" s="2" t="s">
        <v>26</v>
      </c>
      <c r="L185" s="2"/>
      <c r="M185" s="2"/>
    </row>
    <row r="186" spans="1:14" ht="30.75">
      <c r="A186" s="7">
        <v>44518</v>
      </c>
      <c r="B186" s="283">
        <v>385</v>
      </c>
      <c r="C186" s="444">
        <v>44491</v>
      </c>
      <c r="D186" s="2" t="s">
        <v>23</v>
      </c>
      <c r="E186" s="2" t="s">
        <v>24</v>
      </c>
      <c r="F186" s="2">
        <v>110</v>
      </c>
      <c r="G186" s="2">
        <v>3408</v>
      </c>
      <c r="H186" s="2">
        <v>6676</v>
      </c>
      <c r="I186" s="2">
        <v>6349</v>
      </c>
      <c r="J186" s="2"/>
      <c r="K186" s="2" t="s">
        <v>26</v>
      </c>
      <c r="L186" s="2"/>
      <c r="M186" s="2"/>
    </row>
    <row r="187" spans="1:14" ht="30.75">
      <c r="A187" s="7">
        <v>44518</v>
      </c>
      <c r="B187" s="283">
        <v>364</v>
      </c>
      <c r="C187" s="444">
        <v>44494</v>
      </c>
      <c r="D187" s="2" t="s">
        <v>23</v>
      </c>
      <c r="E187" s="2" t="s">
        <v>24</v>
      </c>
      <c r="F187" s="2">
        <v>104</v>
      </c>
      <c r="G187" s="2">
        <v>3408</v>
      </c>
      <c r="H187" s="2">
        <v>6677</v>
      </c>
      <c r="I187" s="2">
        <v>6350</v>
      </c>
      <c r="J187" s="2"/>
      <c r="K187" s="2" t="s">
        <v>26</v>
      </c>
      <c r="L187" s="2"/>
      <c r="M187" s="2"/>
    </row>
    <row r="188" spans="1:14" ht="30.75">
      <c r="A188" s="7">
        <v>44518</v>
      </c>
      <c r="B188" s="283" t="s">
        <v>678</v>
      </c>
      <c r="C188" s="444">
        <v>44496</v>
      </c>
      <c r="D188" s="2" t="s">
        <v>23</v>
      </c>
      <c r="E188" s="2" t="s">
        <v>24</v>
      </c>
      <c r="F188" s="2">
        <v>111</v>
      </c>
      <c r="G188" s="2">
        <v>3408</v>
      </c>
      <c r="H188" s="2">
        <v>6679</v>
      </c>
      <c r="I188" s="2">
        <v>6351</v>
      </c>
      <c r="J188" s="2"/>
      <c r="K188" s="2" t="s">
        <v>26</v>
      </c>
      <c r="L188" s="2"/>
      <c r="M188" s="2"/>
    </row>
    <row r="189" spans="1:14" ht="30.75">
      <c r="A189" s="7">
        <v>44518</v>
      </c>
      <c r="B189" s="283" t="s">
        <v>679</v>
      </c>
      <c r="C189" s="444">
        <v>44498</v>
      </c>
      <c r="D189" s="2" t="s">
        <v>23</v>
      </c>
      <c r="E189" s="2" t="s">
        <v>24</v>
      </c>
      <c r="F189" s="2">
        <v>115</v>
      </c>
      <c r="G189" s="2">
        <v>3408</v>
      </c>
      <c r="H189" s="2">
        <v>6678</v>
      </c>
      <c r="I189" s="2">
        <v>6352</v>
      </c>
      <c r="J189" s="2"/>
      <c r="K189" s="2" t="s">
        <v>26</v>
      </c>
      <c r="L189" s="2"/>
      <c r="M189" s="2"/>
    </row>
    <row r="190" spans="1:14" ht="16.5">
      <c r="A190" s="2"/>
      <c r="B190" s="93" t="s">
        <v>680</v>
      </c>
      <c r="C190" s="635"/>
      <c r="D190" s="93"/>
      <c r="E190" s="93"/>
      <c r="F190" s="93">
        <v>1405</v>
      </c>
      <c r="G190" s="2" t="s">
        <v>638</v>
      </c>
      <c r="H190" s="2"/>
      <c r="I190" s="2"/>
      <c r="J190" s="2"/>
      <c r="K190" s="2"/>
      <c r="L190" s="2"/>
      <c r="M190" s="2"/>
    </row>
    <row r="191" spans="1:14" ht="32.25">
      <c r="A191" s="275">
        <v>44548</v>
      </c>
      <c r="B191" s="284" t="s">
        <v>679</v>
      </c>
      <c r="C191" s="460">
        <v>44502</v>
      </c>
      <c r="D191" s="273" t="s">
        <v>23</v>
      </c>
      <c r="E191" s="277" t="s">
        <v>24</v>
      </c>
      <c r="F191" s="277">
        <v>115</v>
      </c>
      <c r="G191" s="273">
        <v>4054</v>
      </c>
      <c r="H191" s="273">
        <v>8230</v>
      </c>
      <c r="I191" s="273">
        <v>7932</v>
      </c>
      <c r="J191" s="273"/>
      <c r="K191" s="273" t="s">
        <v>26</v>
      </c>
      <c r="L191" s="2"/>
      <c r="M191" s="2"/>
    </row>
    <row r="192" spans="1:14" ht="32.25">
      <c r="A192" s="275">
        <v>44548</v>
      </c>
      <c r="B192" s="284" t="s">
        <v>650</v>
      </c>
      <c r="C192" s="460">
        <v>44504</v>
      </c>
      <c r="D192" s="273" t="s">
        <v>23</v>
      </c>
      <c r="E192" s="277" t="s">
        <v>24</v>
      </c>
      <c r="F192" s="277">
        <v>113</v>
      </c>
      <c r="G192" s="273">
        <v>4054</v>
      </c>
      <c r="H192" s="273">
        <v>8231</v>
      </c>
      <c r="I192" s="273">
        <v>7933</v>
      </c>
      <c r="J192" s="273"/>
      <c r="K192" s="273" t="s">
        <v>26</v>
      </c>
      <c r="L192" s="2"/>
      <c r="M192" s="2"/>
    </row>
    <row r="193" spans="1:14" ht="32.25">
      <c r="A193" s="275">
        <v>44548</v>
      </c>
      <c r="B193" s="284" t="s">
        <v>655</v>
      </c>
      <c r="C193" s="460">
        <v>44506</v>
      </c>
      <c r="D193" s="273" t="s">
        <v>23</v>
      </c>
      <c r="E193" s="277" t="s">
        <v>24</v>
      </c>
      <c r="F193" s="277">
        <v>109</v>
      </c>
      <c r="G193" s="273">
        <v>4054</v>
      </c>
      <c r="H193" s="273">
        <v>8232</v>
      </c>
      <c r="I193" s="273">
        <v>7934</v>
      </c>
      <c r="J193" s="273"/>
      <c r="K193" s="273" t="s">
        <v>26</v>
      </c>
      <c r="L193" s="2"/>
      <c r="M193" s="2"/>
    </row>
    <row r="194" spans="1:14" ht="32.25">
      <c r="A194" s="275">
        <v>44548</v>
      </c>
      <c r="B194" s="284">
        <v>399</v>
      </c>
      <c r="C194" s="460">
        <v>44509</v>
      </c>
      <c r="D194" s="273" t="s">
        <v>23</v>
      </c>
      <c r="E194" s="277" t="s">
        <v>24</v>
      </c>
      <c r="F194" s="277">
        <v>114</v>
      </c>
      <c r="G194" s="273">
        <v>4054</v>
      </c>
      <c r="H194" s="273">
        <v>8233</v>
      </c>
      <c r="I194" s="273">
        <v>7935</v>
      </c>
      <c r="J194" s="273"/>
      <c r="K194" s="273" t="s">
        <v>26</v>
      </c>
      <c r="L194" s="2"/>
      <c r="M194" s="2"/>
    </row>
    <row r="195" spans="1:14" ht="32.25">
      <c r="A195" s="275">
        <v>44548</v>
      </c>
      <c r="B195" s="284" t="s">
        <v>679</v>
      </c>
      <c r="C195" s="460">
        <v>44511</v>
      </c>
      <c r="D195" s="273" t="s">
        <v>23</v>
      </c>
      <c r="E195" s="277" t="s">
        <v>24</v>
      </c>
      <c r="F195" s="277">
        <v>115</v>
      </c>
      <c r="G195" s="273">
        <v>4054</v>
      </c>
      <c r="H195" s="273">
        <v>8234</v>
      </c>
      <c r="I195" s="273">
        <v>7936</v>
      </c>
      <c r="J195" s="273"/>
      <c r="K195" s="273" t="s">
        <v>26</v>
      </c>
      <c r="L195" s="412" t="s">
        <v>681</v>
      </c>
      <c r="M195" s="412" t="s">
        <v>682</v>
      </c>
    </row>
    <row r="196" spans="1:14" ht="32.25">
      <c r="A196" s="275">
        <v>44548</v>
      </c>
      <c r="B196" s="284">
        <v>406</v>
      </c>
      <c r="C196" s="460">
        <v>44513</v>
      </c>
      <c r="D196" s="273" t="s">
        <v>23</v>
      </c>
      <c r="E196" s="277" t="s">
        <v>24</v>
      </c>
      <c r="F196" s="277">
        <v>116</v>
      </c>
      <c r="G196" s="273">
        <v>4054</v>
      </c>
      <c r="H196" s="273">
        <v>8235</v>
      </c>
      <c r="I196" s="273">
        <v>7937</v>
      </c>
      <c r="J196" s="273"/>
      <c r="K196" s="273" t="s">
        <v>26</v>
      </c>
      <c r="L196" s="2"/>
      <c r="M196" s="2"/>
    </row>
    <row r="197" spans="1:14" ht="32.25">
      <c r="A197" s="275">
        <v>44548</v>
      </c>
      <c r="B197" s="284">
        <v>378</v>
      </c>
      <c r="C197" s="460">
        <v>44516</v>
      </c>
      <c r="D197" s="273" t="s">
        <v>23</v>
      </c>
      <c r="E197" s="277" t="s">
        <v>24</v>
      </c>
      <c r="F197" s="277">
        <v>108</v>
      </c>
      <c r="G197" s="273">
        <v>4054</v>
      </c>
      <c r="H197" s="273">
        <v>8236</v>
      </c>
      <c r="I197" s="273">
        <v>7938</v>
      </c>
      <c r="J197" s="273"/>
      <c r="K197" s="273" t="s">
        <v>26</v>
      </c>
      <c r="L197" s="2"/>
      <c r="M197" s="2"/>
    </row>
    <row r="198" spans="1:14" ht="32.25">
      <c r="A198" s="275">
        <v>44548</v>
      </c>
      <c r="B198" s="284" t="s">
        <v>679</v>
      </c>
      <c r="C198" s="460">
        <v>44518</v>
      </c>
      <c r="D198" s="273" t="s">
        <v>23</v>
      </c>
      <c r="E198" s="277" t="s">
        <v>24</v>
      </c>
      <c r="F198" s="277">
        <v>115</v>
      </c>
      <c r="G198" s="273">
        <v>4054</v>
      </c>
      <c r="H198" s="273">
        <v>8237</v>
      </c>
      <c r="I198" s="273">
        <v>7940</v>
      </c>
      <c r="J198" s="273"/>
      <c r="K198" s="273" t="s">
        <v>26</v>
      </c>
      <c r="L198" s="2"/>
      <c r="M198" s="2"/>
    </row>
    <row r="199" spans="1:14" ht="32.25">
      <c r="A199" s="275">
        <v>44548</v>
      </c>
      <c r="B199" s="284" t="s">
        <v>650</v>
      </c>
      <c r="C199" s="460">
        <v>44520</v>
      </c>
      <c r="D199" s="273" t="s">
        <v>23</v>
      </c>
      <c r="E199" s="277" t="s">
        <v>24</v>
      </c>
      <c r="F199" s="277">
        <v>113</v>
      </c>
      <c r="G199" s="273">
        <v>4054</v>
      </c>
      <c r="H199" s="273">
        <v>8238</v>
      </c>
      <c r="I199" s="273">
        <v>7941</v>
      </c>
      <c r="J199" s="273"/>
      <c r="K199" s="273" t="s">
        <v>26</v>
      </c>
      <c r="L199" s="100" t="s">
        <v>624</v>
      </c>
      <c r="M199" s="100">
        <v>621</v>
      </c>
      <c r="N199" s="290" t="s">
        <v>625</v>
      </c>
    </row>
    <row r="200" spans="1:14" ht="32.25">
      <c r="A200" s="275">
        <v>44548</v>
      </c>
      <c r="B200" s="284" t="s">
        <v>650</v>
      </c>
      <c r="C200" s="460">
        <v>44523</v>
      </c>
      <c r="D200" s="273" t="s">
        <v>23</v>
      </c>
      <c r="E200" s="277" t="s">
        <v>24</v>
      </c>
      <c r="F200" s="277">
        <v>113</v>
      </c>
      <c r="G200" s="273">
        <v>4054</v>
      </c>
      <c r="H200" s="273">
        <v>8239</v>
      </c>
      <c r="I200" s="273">
        <v>7942</v>
      </c>
      <c r="J200" s="273"/>
      <c r="K200" s="273" t="s">
        <v>26</v>
      </c>
      <c r="L200" s="2"/>
      <c r="M200" s="2"/>
    </row>
    <row r="201" spans="1:14" ht="32.25">
      <c r="A201" s="275">
        <v>44548</v>
      </c>
      <c r="B201" s="284">
        <v>406</v>
      </c>
      <c r="C201" s="460">
        <v>44525</v>
      </c>
      <c r="D201" s="273" t="s">
        <v>23</v>
      </c>
      <c r="E201" s="277" t="s">
        <v>24</v>
      </c>
      <c r="F201" s="277">
        <v>116</v>
      </c>
      <c r="G201" s="273">
        <v>4054</v>
      </c>
      <c r="H201" s="273">
        <v>8240</v>
      </c>
      <c r="I201" s="273">
        <v>7943</v>
      </c>
      <c r="J201" s="273"/>
      <c r="K201" s="273" t="s">
        <v>26</v>
      </c>
      <c r="L201" s="2"/>
      <c r="M201" s="2"/>
    </row>
    <row r="202" spans="1:14" ht="32.25">
      <c r="A202" s="275">
        <v>44548</v>
      </c>
      <c r="B202" s="284" t="s">
        <v>679</v>
      </c>
      <c r="C202" s="460">
        <v>44527</v>
      </c>
      <c r="D202" s="273" t="s">
        <v>23</v>
      </c>
      <c r="E202" s="277" t="s">
        <v>24</v>
      </c>
      <c r="F202" s="277">
        <v>115</v>
      </c>
      <c r="G202" s="273">
        <v>4054</v>
      </c>
      <c r="H202" s="273">
        <v>8241</v>
      </c>
      <c r="I202" s="273">
        <v>7944</v>
      </c>
      <c r="J202" s="273"/>
      <c r="K202" s="273" t="s">
        <v>26</v>
      </c>
      <c r="L202" s="2"/>
      <c r="M202" s="2"/>
    </row>
    <row r="203" spans="1:14" ht="32.25">
      <c r="A203" s="275">
        <v>44548</v>
      </c>
      <c r="B203" s="284">
        <v>406</v>
      </c>
      <c r="C203" s="460">
        <v>44530</v>
      </c>
      <c r="D203" s="273" t="s">
        <v>23</v>
      </c>
      <c r="E203" s="277" t="s">
        <v>24</v>
      </c>
      <c r="F203" s="277">
        <v>116</v>
      </c>
      <c r="G203" s="273">
        <v>4054</v>
      </c>
      <c r="H203" s="273">
        <v>8242</v>
      </c>
      <c r="I203" s="273">
        <v>7945</v>
      </c>
      <c r="J203" s="273"/>
      <c r="K203" s="273" t="s">
        <v>26</v>
      </c>
      <c r="L203" s="2"/>
      <c r="M203" s="2"/>
    </row>
    <row r="204" spans="1:14" ht="32.25">
      <c r="A204" s="273"/>
      <c r="B204" s="277" t="s">
        <v>683</v>
      </c>
      <c r="C204" s="461"/>
      <c r="D204" s="273" t="s">
        <v>23</v>
      </c>
      <c r="E204" s="277" t="s">
        <v>24</v>
      </c>
      <c r="F204" s="277" t="s">
        <v>684</v>
      </c>
      <c r="G204" s="273">
        <v>4054</v>
      </c>
      <c r="H204" s="273"/>
      <c r="I204" s="273"/>
      <c r="J204" s="273"/>
      <c r="K204" s="273"/>
      <c r="L204" s="2"/>
      <c r="M204" s="2"/>
    </row>
    <row r="205" spans="1:14" ht="32.25">
      <c r="A205" s="7">
        <v>44610</v>
      </c>
      <c r="B205" s="282">
        <v>385</v>
      </c>
      <c r="C205" s="462">
        <v>44532</v>
      </c>
      <c r="D205" s="2" t="s">
        <v>23</v>
      </c>
      <c r="E205" s="278" t="s">
        <v>24</v>
      </c>
      <c r="F205" s="278">
        <v>110</v>
      </c>
      <c r="G205" s="2">
        <v>4599</v>
      </c>
      <c r="H205" s="2">
        <v>7423</v>
      </c>
      <c r="I205" s="2">
        <v>7101</v>
      </c>
      <c r="J205" s="2"/>
      <c r="K205" s="2" t="s">
        <v>26</v>
      </c>
      <c r="L205" s="2"/>
      <c r="M205" s="2"/>
    </row>
    <row r="206" spans="1:14" ht="32.25">
      <c r="A206" s="7">
        <v>44610</v>
      </c>
      <c r="B206" s="282">
        <v>392</v>
      </c>
      <c r="C206" s="462">
        <v>44534</v>
      </c>
      <c r="D206" s="2" t="s">
        <v>23</v>
      </c>
      <c r="E206" s="278" t="s">
        <v>24</v>
      </c>
      <c r="F206" s="278">
        <v>112</v>
      </c>
      <c r="G206" s="2">
        <v>4599</v>
      </c>
      <c r="H206" s="2">
        <v>7424</v>
      </c>
      <c r="I206" s="2">
        <v>7102</v>
      </c>
      <c r="J206" s="2"/>
      <c r="K206" s="2" t="s">
        <v>26</v>
      </c>
      <c r="L206" s="2"/>
      <c r="M206" s="2"/>
    </row>
    <row r="207" spans="1:14" ht="32.25">
      <c r="A207" s="7">
        <v>44610</v>
      </c>
      <c r="B207" s="282" t="s">
        <v>655</v>
      </c>
      <c r="C207" s="462">
        <v>44537</v>
      </c>
      <c r="D207" s="2" t="s">
        <v>23</v>
      </c>
      <c r="E207" s="278" t="s">
        <v>24</v>
      </c>
      <c r="F207" s="93">
        <v>109</v>
      </c>
      <c r="G207" s="2">
        <v>4599</v>
      </c>
      <c r="H207" s="2">
        <v>7425</v>
      </c>
      <c r="I207" s="2">
        <v>7103</v>
      </c>
      <c r="J207" s="2"/>
      <c r="K207" s="2" t="s">
        <v>26</v>
      </c>
      <c r="L207" s="2"/>
      <c r="M207" s="2"/>
    </row>
    <row r="208" spans="1:14" ht="32.25">
      <c r="A208" s="7">
        <v>44610</v>
      </c>
      <c r="B208" s="282" t="s">
        <v>678</v>
      </c>
      <c r="C208" s="462">
        <v>44539</v>
      </c>
      <c r="D208" s="2" t="s">
        <v>23</v>
      </c>
      <c r="E208" s="278" t="s">
        <v>24</v>
      </c>
      <c r="F208" s="93">
        <v>111</v>
      </c>
      <c r="G208" s="2">
        <v>4599</v>
      </c>
      <c r="H208" s="2">
        <v>7426</v>
      </c>
      <c r="I208" s="2">
        <v>7104</v>
      </c>
      <c r="J208" s="2"/>
      <c r="K208" s="2" t="s">
        <v>26</v>
      </c>
      <c r="L208" s="2"/>
      <c r="M208" s="2"/>
    </row>
    <row r="209" spans="1:14" ht="32.25">
      <c r="A209" s="7">
        <v>44610</v>
      </c>
      <c r="B209" s="282">
        <v>385</v>
      </c>
      <c r="C209" s="462">
        <v>44541</v>
      </c>
      <c r="D209" s="2" t="s">
        <v>23</v>
      </c>
      <c r="E209" s="278" t="s">
        <v>24</v>
      </c>
      <c r="F209" s="93">
        <v>110</v>
      </c>
      <c r="G209" s="2">
        <v>4599</v>
      </c>
      <c r="H209" s="2">
        <v>7428</v>
      </c>
      <c r="I209" s="2">
        <v>7105</v>
      </c>
      <c r="J209" s="2"/>
      <c r="K209" s="2" t="s">
        <v>26</v>
      </c>
      <c r="L209" s="2"/>
      <c r="M209" s="2"/>
    </row>
    <row r="210" spans="1:14" ht="32.25">
      <c r="A210" s="7">
        <v>44610</v>
      </c>
      <c r="B210" s="282" t="s">
        <v>650</v>
      </c>
      <c r="C210" s="462">
        <v>44544</v>
      </c>
      <c r="D210" s="2" t="s">
        <v>23</v>
      </c>
      <c r="E210" s="278" t="s">
        <v>24</v>
      </c>
      <c r="F210" s="93">
        <v>113</v>
      </c>
      <c r="G210" s="2">
        <v>4599</v>
      </c>
      <c r="H210" s="2">
        <v>7429</v>
      </c>
      <c r="I210" s="2">
        <v>7106</v>
      </c>
      <c r="J210" s="2"/>
      <c r="K210" s="2" t="s">
        <v>26</v>
      </c>
      <c r="L210" s="412" t="s">
        <v>685</v>
      </c>
      <c r="M210" s="412" t="s">
        <v>686</v>
      </c>
    </row>
    <row r="211" spans="1:14" ht="32.25">
      <c r="A211" s="7">
        <v>44610</v>
      </c>
      <c r="B211" s="282" t="s">
        <v>650</v>
      </c>
      <c r="C211" s="462">
        <v>44546</v>
      </c>
      <c r="D211" s="2" t="s">
        <v>23</v>
      </c>
      <c r="E211" s="278" t="s">
        <v>24</v>
      </c>
      <c r="F211" s="93">
        <v>113</v>
      </c>
      <c r="G211" s="2">
        <v>4599</v>
      </c>
      <c r="H211" s="2">
        <v>8260</v>
      </c>
      <c r="I211" s="2">
        <v>7963</v>
      </c>
      <c r="J211" s="2"/>
      <c r="K211" s="2" t="s">
        <v>26</v>
      </c>
      <c r="L211" s="2"/>
      <c r="M211" s="2"/>
    </row>
    <row r="212" spans="1:14" ht="32.25">
      <c r="A212" s="7">
        <v>44610</v>
      </c>
      <c r="B212" s="283">
        <v>399</v>
      </c>
      <c r="C212" s="444">
        <v>44548</v>
      </c>
      <c r="D212" s="2" t="s">
        <v>23</v>
      </c>
      <c r="E212" s="278" t="s">
        <v>24</v>
      </c>
      <c r="F212" s="2">
        <v>114</v>
      </c>
      <c r="G212" s="2">
        <v>4599</v>
      </c>
      <c r="H212" s="2">
        <v>8261</v>
      </c>
      <c r="I212" s="2">
        <v>7964</v>
      </c>
      <c r="J212" s="2"/>
      <c r="K212" s="2" t="s">
        <v>26</v>
      </c>
      <c r="L212" s="2"/>
      <c r="M212" s="2"/>
    </row>
    <row r="213" spans="1:14" ht="32.25">
      <c r="A213" s="7">
        <v>44610</v>
      </c>
      <c r="B213" s="283">
        <v>399</v>
      </c>
      <c r="C213" s="444">
        <v>44551</v>
      </c>
      <c r="D213" s="2" t="s">
        <v>23</v>
      </c>
      <c r="E213" s="278" t="s">
        <v>24</v>
      </c>
      <c r="F213" s="2">
        <v>114</v>
      </c>
      <c r="G213" s="2">
        <v>4599</v>
      </c>
      <c r="H213" s="2">
        <v>8262</v>
      </c>
      <c r="I213" s="2">
        <v>7965</v>
      </c>
      <c r="J213" s="2"/>
      <c r="K213" s="2" t="s">
        <v>26</v>
      </c>
      <c r="L213" s="100" t="s">
        <v>624</v>
      </c>
      <c r="M213" s="100">
        <v>614</v>
      </c>
      <c r="N213" s="290" t="s">
        <v>625</v>
      </c>
    </row>
    <row r="214" spans="1:14" ht="32.25">
      <c r="A214" s="7">
        <v>44610</v>
      </c>
      <c r="B214" s="283">
        <v>399</v>
      </c>
      <c r="C214" s="444">
        <v>44553</v>
      </c>
      <c r="D214" s="2" t="s">
        <v>23</v>
      </c>
      <c r="E214" s="278" t="s">
        <v>24</v>
      </c>
      <c r="F214" s="2">
        <v>114</v>
      </c>
      <c r="G214" s="2">
        <v>4599</v>
      </c>
      <c r="H214" s="2">
        <v>8263</v>
      </c>
      <c r="I214" s="2">
        <v>7966</v>
      </c>
      <c r="J214" s="2"/>
      <c r="K214" s="2" t="s">
        <v>26</v>
      </c>
      <c r="L214" s="2"/>
      <c r="M214" s="2"/>
    </row>
    <row r="215" spans="1:14" ht="32.25">
      <c r="A215" s="7">
        <v>44610</v>
      </c>
      <c r="B215" s="283" t="s">
        <v>650</v>
      </c>
      <c r="C215" s="444">
        <v>44555</v>
      </c>
      <c r="D215" s="2" t="s">
        <v>23</v>
      </c>
      <c r="E215" s="278" t="s">
        <v>24</v>
      </c>
      <c r="F215" s="2">
        <v>113</v>
      </c>
      <c r="G215" s="2">
        <v>4599</v>
      </c>
      <c r="H215" s="2">
        <v>8264</v>
      </c>
      <c r="I215" s="2">
        <v>7967</v>
      </c>
      <c r="J215" s="2"/>
      <c r="K215" s="2" t="s">
        <v>26</v>
      </c>
      <c r="L215" s="2"/>
      <c r="M215" s="2"/>
    </row>
    <row r="216" spans="1:14" ht="32.25">
      <c r="A216" s="7">
        <v>44610</v>
      </c>
      <c r="B216" s="283">
        <v>406</v>
      </c>
      <c r="C216" s="444">
        <v>44558</v>
      </c>
      <c r="D216" s="2" t="s">
        <v>23</v>
      </c>
      <c r="E216" s="278" t="s">
        <v>24</v>
      </c>
      <c r="F216" s="2">
        <v>116</v>
      </c>
      <c r="G216" s="2">
        <v>4599</v>
      </c>
      <c r="H216" s="2">
        <v>8265</v>
      </c>
      <c r="I216" s="2">
        <v>7968</v>
      </c>
      <c r="J216" s="2"/>
      <c r="K216" s="2" t="s">
        <v>26</v>
      </c>
      <c r="L216" s="2"/>
      <c r="M216" s="2"/>
    </row>
    <row r="217" spans="1:14" ht="32.25">
      <c r="A217" s="7">
        <v>44610</v>
      </c>
      <c r="B217" s="283" t="s">
        <v>650</v>
      </c>
      <c r="C217" s="444">
        <v>44560</v>
      </c>
      <c r="D217" s="2" t="s">
        <v>23</v>
      </c>
      <c r="E217" s="278" t="s">
        <v>24</v>
      </c>
      <c r="F217" s="2">
        <v>113</v>
      </c>
      <c r="G217" s="2">
        <v>4599</v>
      </c>
      <c r="H217" s="2">
        <v>8266</v>
      </c>
      <c r="I217" s="2">
        <v>7969</v>
      </c>
      <c r="J217" s="2"/>
      <c r="K217" s="2" t="s">
        <v>26</v>
      </c>
      <c r="L217" s="2"/>
      <c r="M217" s="2"/>
    </row>
    <row r="218" spans="1:14" ht="32.25">
      <c r="A218" s="2"/>
      <c r="B218" s="2" t="s">
        <v>687</v>
      </c>
      <c r="C218" s="624"/>
      <c r="D218" s="2" t="s">
        <v>23</v>
      </c>
      <c r="E218" s="278" t="s">
        <v>24</v>
      </c>
      <c r="F218" s="2" t="s">
        <v>688</v>
      </c>
      <c r="G218" s="2"/>
      <c r="H218" s="2"/>
      <c r="I218" s="2"/>
      <c r="J218" s="2"/>
      <c r="K218" s="2"/>
      <c r="L218" s="2"/>
      <c r="M218" s="2"/>
    </row>
    <row r="219" spans="1:14" ht="32.25">
      <c r="A219" s="297">
        <v>44631</v>
      </c>
      <c r="B219" s="296" t="s">
        <v>669</v>
      </c>
      <c r="C219" s="463">
        <v>44590</v>
      </c>
      <c r="D219" s="296" t="s">
        <v>23</v>
      </c>
      <c r="E219" s="278" t="s">
        <v>24</v>
      </c>
      <c r="F219" s="296">
        <v>105</v>
      </c>
      <c r="G219" s="296">
        <v>5366</v>
      </c>
      <c r="H219" s="296">
        <v>9115</v>
      </c>
      <c r="I219" s="296">
        <v>8651</v>
      </c>
      <c r="J219" s="296"/>
      <c r="K219" s="2" t="s">
        <v>26</v>
      </c>
      <c r="L219" s="2"/>
      <c r="M219" s="2"/>
    </row>
    <row r="220" spans="1:14" ht="32.25">
      <c r="A220" s="297">
        <v>44631</v>
      </c>
      <c r="B220" s="296" t="s">
        <v>639</v>
      </c>
      <c r="C220" s="463">
        <v>44586</v>
      </c>
      <c r="D220" s="296" t="s">
        <v>23</v>
      </c>
      <c r="E220" s="278" t="s">
        <v>24</v>
      </c>
      <c r="F220" s="296">
        <v>107</v>
      </c>
      <c r="G220" s="296">
        <v>5366</v>
      </c>
      <c r="H220" s="296">
        <v>9113</v>
      </c>
      <c r="I220" s="296">
        <v>8647</v>
      </c>
      <c r="J220" s="296"/>
      <c r="K220" s="2" t="s">
        <v>26</v>
      </c>
      <c r="L220" s="412" t="s">
        <v>689</v>
      </c>
      <c r="M220" s="412" t="s">
        <v>690</v>
      </c>
    </row>
    <row r="221" spans="1:14" ht="32.25">
      <c r="A221" s="297">
        <v>44631</v>
      </c>
      <c r="B221" s="296">
        <v>385</v>
      </c>
      <c r="C221" s="463">
        <v>44588</v>
      </c>
      <c r="D221" s="296" t="s">
        <v>23</v>
      </c>
      <c r="E221" s="278" t="s">
        <v>24</v>
      </c>
      <c r="F221" s="296">
        <v>110</v>
      </c>
      <c r="G221" s="296">
        <v>5366</v>
      </c>
      <c r="H221" s="296">
        <v>9114</v>
      </c>
      <c r="I221" s="296">
        <v>8650</v>
      </c>
      <c r="J221" s="296"/>
      <c r="K221" s="2" t="s">
        <v>26</v>
      </c>
      <c r="L221" s="2"/>
      <c r="M221" s="2"/>
    </row>
    <row r="222" spans="1:14" ht="32.25">
      <c r="A222" s="297">
        <v>44631</v>
      </c>
      <c r="B222" s="296" t="s">
        <v>669</v>
      </c>
      <c r="C222" s="463">
        <v>44583</v>
      </c>
      <c r="D222" s="296" t="s">
        <v>23</v>
      </c>
      <c r="E222" s="278" t="s">
        <v>24</v>
      </c>
      <c r="F222" s="296">
        <v>105</v>
      </c>
      <c r="G222" s="296">
        <v>5366</v>
      </c>
      <c r="H222" s="296">
        <v>9112</v>
      </c>
      <c r="I222" s="296">
        <v>8646</v>
      </c>
      <c r="J222" s="296"/>
      <c r="K222" s="2" t="s">
        <v>26</v>
      </c>
      <c r="L222" s="2"/>
      <c r="M222" s="2"/>
    </row>
    <row r="223" spans="1:14" ht="32.25">
      <c r="A223" s="297">
        <v>44631</v>
      </c>
      <c r="B223" s="296" t="s">
        <v>639</v>
      </c>
      <c r="C223" s="463">
        <v>44581</v>
      </c>
      <c r="D223" s="296" t="s">
        <v>23</v>
      </c>
      <c r="E223" s="278" t="s">
        <v>24</v>
      </c>
      <c r="F223" s="296">
        <v>107</v>
      </c>
      <c r="G223" s="296">
        <v>5366</v>
      </c>
      <c r="H223" s="296">
        <v>9111</v>
      </c>
      <c r="I223" s="296">
        <v>8645</v>
      </c>
      <c r="J223" s="296"/>
      <c r="K223" s="2" t="s">
        <v>26</v>
      </c>
      <c r="L223" s="2"/>
      <c r="M223" s="2"/>
    </row>
    <row r="224" spans="1:14" ht="32.25">
      <c r="A224" s="297">
        <v>44631</v>
      </c>
      <c r="B224" s="296" t="s">
        <v>669</v>
      </c>
      <c r="C224" s="463">
        <v>44579</v>
      </c>
      <c r="D224" s="296" t="s">
        <v>23</v>
      </c>
      <c r="E224" s="278" t="s">
        <v>24</v>
      </c>
      <c r="F224" s="296">
        <v>105</v>
      </c>
      <c r="G224" s="296">
        <v>5366</v>
      </c>
      <c r="H224" s="296">
        <v>9110</v>
      </c>
      <c r="I224" s="296">
        <v>8644</v>
      </c>
      <c r="J224" s="296"/>
      <c r="K224" s="2" t="s">
        <v>26</v>
      </c>
      <c r="L224" s="2"/>
      <c r="M224" s="2"/>
    </row>
    <row r="225" spans="1:14" ht="32.25">
      <c r="A225" s="297">
        <v>44631</v>
      </c>
      <c r="B225" s="296">
        <v>385</v>
      </c>
      <c r="C225" s="463">
        <v>44576</v>
      </c>
      <c r="D225" s="296" t="s">
        <v>23</v>
      </c>
      <c r="E225" s="278" t="s">
        <v>24</v>
      </c>
      <c r="F225" s="296">
        <v>110</v>
      </c>
      <c r="G225" s="296">
        <v>5366</v>
      </c>
      <c r="H225" s="296">
        <v>7451</v>
      </c>
      <c r="I225" s="296">
        <v>7113</v>
      </c>
      <c r="J225" s="296"/>
      <c r="K225" s="2" t="s">
        <v>26</v>
      </c>
      <c r="L225" s="100" t="s">
        <v>624</v>
      </c>
      <c r="M225" s="100">
        <v>584</v>
      </c>
      <c r="N225" s="290" t="s">
        <v>625</v>
      </c>
    </row>
    <row r="226" spans="1:14" ht="32.25">
      <c r="A226" s="297">
        <v>44631</v>
      </c>
      <c r="B226" s="296" t="s">
        <v>655</v>
      </c>
      <c r="C226" s="463">
        <v>44574</v>
      </c>
      <c r="D226" s="296" t="s">
        <v>23</v>
      </c>
      <c r="E226" s="278" t="s">
        <v>24</v>
      </c>
      <c r="F226" s="296">
        <v>109</v>
      </c>
      <c r="G226" s="296">
        <v>5366</v>
      </c>
      <c r="H226" s="296">
        <v>7435</v>
      </c>
      <c r="I226" s="296">
        <v>7112</v>
      </c>
      <c r="J226" s="296"/>
      <c r="K226" s="2" t="s">
        <v>26</v>
      </c>
      <c r="L226" s="2"/>
      <c r="M226" s="2"/>
    </row>
    <row r="227" spans="1:14" ht="32.25">
      <c r="A227" s="297">
        <v>44631</v>
      </c>
      <c r="B227" s="296" t="s">
        <v>691</v>
      </c>
      <c r="C227" s="463">
        <v>44572</v>
      </c>
      <c r="D227" s="296" t="s">
        <v>23</v>
      </c>
      <c r="E227" s="278" t="s">
        <v>24</v>
      </c>
      <c r="F227" s="296">
        <v>103</v>
      </c>
      <c r="G227" s="296">
        <v>5366</v>
      </c>
      <c r="H227" s="296">
        <v>7434</v>
      </c>
      <c r="I227" s="296">
        <v>7111</v>
      </c>
      <c r="J227" s="296"/>
      <c r="K227" s="2" t="s">
        <v>26</v>
      </c>
      <c r="L227" s="2"/>
      <c r="M227" s="2"/>
    </row>
    <row r="228" spans="1:14" ht="32.25">
      <c r="A228" s="297">
        <v>44631</v>
      </c>
      <c r="B228" s="296" t="s">
        <v>639</v>
      </c>
      <c r="C228" s="463">
        <v>44569</v>
      </c>
      <c r="D228" s="296" t="s">
        <v>23</v>
      </c>
      <c r="E228" s="278" t="s">
        <v>24</v>
      </c>
      <c r="F228" s="296">
        <v>107</v>
      </c>
      <c r="G228" s="296">
        <v>5366</v>
      </c>
      <c r="H228" s="296">
        <v>7433</v>
      </c>
      <c r="I228" s="296">
        <v>7110</v>
      </c>
      <c r="J228" s="296"/>
      <c r="K228" s="2" t="s">
        <v>26</v>
      </c>
      <c r="L228" s="2"/>
      <c r="M228" s="2"/>
    </row>
    <row r="229" spans="1:14" ht="32.25">
      <c r="A229" s="297">
        <v>44631</v>
      </c>
      <c r="B229" s="296" t="s">
        <v>669</v>
      </c>
      <c r="C229" s="463">
        <v>44567</v>
      </c>
      <c r="D229" s="296" t="s">
        <v>23</v>
      </c>
      <c r="E229" s="278" t="s">
        <v>24</v>
      </c>
      <c r="F229" s="296">
        <v>105</v>
      </c>
      <c r="G229" s="296">
        <v>5366</v>
      </c>
      <c r="H229" s="296">
        <v>7432</v>
      </c>
      <c r="I229" s="296">
        <v>7109</v>
      </c>
      <c r="J229" s="296"/>
      <c r="K229" s="2" t="s">
        <v>26</v>
      </c>
      <c r="L229" s="2"/>
      <c r="M229" s="2"/>
    </row>
    <row r="230" spans="1:14" ht="32.25">
      <c r="A230" s="297">
        <v>44631</v>
      </c>
      <c r="B230" s="296">
        <v>385</v>
      </c>
      <c r="C230" s="463">
        <v>44565</v>
      </c>
      <c r="D230" s="296" t="s">
        <v>23</v>
      </c>
      <c r="E230" s="278" t="s">
        <v>24</v>
      </c>
      <c r="F230" s="296">
        <v>110</v>
      </c>
      <c r="G230" s="296">
        <v>5366</v>
      </c>
      <c r="H230" s="296">
        <v>7431</v>
      </c>
      <c r="I230" s="296">
        <v>7108</v>
      </c>
      <c r="J230" s="296"/>
      <c r="K230" s="2" t="s">
        <v>26</v>
      </c>
      <c r="L230" s="2"/>
      <c r="M230" s="2"/>
    </row>
    <row r="231" spans="1:14" ht="32.25">
      <c r="A231" s="297">
        <v>44631</v>
      </c>
      <c r="B231" s="296" t="s">
        <v>639</v>
      </c>
      <c r="C231" s="463">
        <v>44562</v>
      </c>
      <c r="D231" s="296" t="s">
        <v>23</v>
      </c>
      <c r="E231" s="278" t="s">
        <v>24</v>
      </c>
      <c r="F231" s="296">
        <v>107</v>
      </c>
      <c r="G231" s="296">
        <v>5366</v>
      </c>
      <c r="H231" s="296">
        <v>7430</v>
      </c>
      <c r="I231" s="296">
        <v>7107</v>
      </c>
      <c r="J231" s="296"/>
      <c r="K231" s="2" t="s">
        <v>26</v>
      </c>
      <c r="L231" s="2"/>
      <c r="M231" s="2"/>
    </row>
    <row r="232" spans="1:14" ht="32.25">
      <c r="A232" s="2"/>
      <c r="B232" s="2" t="s">
        <v>692</v>
      </c>
      <c r="C232" s="444"/>
      <c r="D232" s="296"/>
      <c r="E232" s="278" t="s">
        <v>24</v>
      </c>
      <c r="F232" s="2"/>
      <c r="G232" s="2"/>
      <c r="H232" s="2"/>
      <c r="I232" s="2"/>
      <c r="J232" s="2"/>
      <c r="K232" s="2"/>
      <c r="L232" s="2"/>
      <c r="M232" s="2"/>
    </row>
    <row r="233" spans="1:14" ht="32.25">
      <c r="A233" s="333">
        <v>44658</v>
      </c>
      <c r="B233" s="334">
        <v>392</v>
      </c>
      <c r="C233" s="464">
        <v>44593</v>
      </c>
      <c r="D233" s="335" t="s">
        <v>23</v>
      </c>
      <c r="E233" s="278" t="s">
        <v>24</v>
      </c>
      <c r="F233" s="334">
        <v>112</v>
      </c>
      <c r="G233" s="334">
        <v>5686</v>
      </c>
      <c r="H233" s="334">
        <v>9121</v>
      </c>
      <c r="I233" s="334">
        <v>8659</v>
      </c>
      <c r="J233" s="334"/>
      <c r="K233" s="334" t="s">
        <v>56</v>
      </c>
      <c r="L233" s="2"/>
      <c r="M233" s="2"/>
    </row>
    <row r="234" spans="1:14" ht="32.25">
      <c r="A234" s="333">
        <v>44658</v>
      </c>
      <c r="B234" s="334">
        <v>378</v>
      </c>
      <c r="C234" s="464">
        <v>44595</v>
      </c>
      <c r="D234" s="335" t="s">
        <v>23</v>
      </c>
      <c r="E234" s="278" t="s">
        <v>24</v>
      </c>
      <c r="F234" s="334">
        <v>108</v>
      </c>
      <c r="G234" s="334">
        <v>5686</v>
      </c>
      <c r="H234" s="334">
        <v>9122</v>
      </c>
      <c r="I234" s="334">
        <v>8660</v>
      </c>
      <c r="J234" s="334"/>
      <c r="K234" s="334" t="s">
        <v>56</v>
      </c>
      <c r="L234" s="2"/>
      <c r="M234" s="2"/>
    </row>
    <row r="235" spans="1:14" ht="32.25">
      <c r="A235" s="333">
        <v>44658</v>
      </c>
      <c r="B235" s="334" t="s">
        <v>650</v>
      </c>
      <c r="C235" s="464">
        <v>44597</v>
      </c>
      <c r="D235" s="335" t="s">
        <v>23</v>
      </c>
      <c r="E235" s="278" t="s">
        <v>24</v>
      </c>
      <c r="F235" s="334">
        <v>113</v>
      </c>
      <c r="G235" s="334">
        <v>5686</v>
      </c>
      <c r="H235" s="334">
        <v>10328</v>
      </c>
      <c r="I235" s="334">
        <v>10023</v>
      </c>
      <c r="J235" s="334"/>
      <c r="K235" s="334" t="s">
        <v>56</v>
      </c>
      <c r="L235" s="412">
        <v>560.70000000000005</v>
      </c>
      <c r="M235" s="412" t="s">
        <v>693</v>
      </c>
    </row>
    <row r="236" spans="1:14" ht="32.25">
      <c r="A236" s="333">
        <v>44658</v>
      </c>
      <c r="B236" s="334" t="s">
        <v>678</v>
      </c>
      <c r="C236" s="464">
        <v>44600</v>
      </c>
      <c r="D236" s="335" t="s">
        <v>23</v>
      </c>
      <c r="E236" s="278" t="s">
        <v>24</v>
      </c>
      <c r="F236" s="334">
        <v>111</v>
      </c>
      <c r="G236" s="334">
        <v>5686</v>
      </c>
      <c r="H236" s="334">
        <v>10329</v>
      </c>
      <c r="I236" s="334">
        <v>10024</v>
      </c>
      <c r="J236" s="334"/>
      <c r="K236" s="334" t="s">
        <v>56</v>
      </c>
      <c r="L236" s="2"/>
      <c r="M236" s="2"/>
    </row>
    <row r="237" spans="1:14" ht="32.25">
      <c r="A237" s="333">
        <v>44658</v>
      </c>
      <c r="B237" s="334" t="s">
        <v>650</v>
      </c>
      <c r="C237" s="464">
        <v>44602</v>
      </c>
      <c r="D237" s="335" t="s">
        <v>23</v>
      </c>
      <c r="E237" s="278" t="s">
        <v>24</v>
      </c>
      <c r="F237" s="334">
        <v>113</v>
      </c>
      <c r="G237" s="334">
        <v>5686</v>
      </c>
      <c r="H237" s="334">
        <v>10330</v>
      </c>
      <c r="I237" s="334">
        <v>10025</v>
      </c>
      <c r="J237" s="334"/>
      <c r="K237" s="334" t="s">
        <v>56</v>
      </c>
      <c r="L237" s="2"/>
      <c r="M237" s="2"/>
    </row>
    <row r="238" spans="1:14" ht="32.25">
      <c r="A238" s="333">
        <v>44658</v>
      </c>
      <c r="B238" s="334">
        <v>378</v>
      </c>
      <c r="C238" s="464">
        <v>44604</v>
      </c>
      <c r="D238" s="335" t="s">
        <v>23</v>
      </c>
      <c r="E238" s="278" t="s">
        <v>24</v>
      </c>
      <c r="F238" s="334">
        <v>108</v>
      </c>
      <c r="G238" s="334">
        <v>5686</v>
      </c>
      <c r="H238" s="334">
        <v>10337</v>
      </c>
      <c r="I238" s="334">
        <v>10032</v>
      </c>
      <c r="J238" s="334"/>
      <c r="K238" s="334" t="s">
        <v>56</v>
      </c>
      <c r="L238" s="2"/>
      <c r="M238" s="2"/>
    </row>
    <row r="239" spans="1:14" ht="32.25">
      <c r="A239" s="333">
        <v>44658</v>
      </c>
      <c r="B239" s="334" t="s">
        <v>650</v>
      </c>
      <c r="C239" s="464">
        <v>44607</v>
      </c>
      <c r="D239" s="335" t="s">
        <v>23</v>
      </c>
      <c r="E239" s="278" t="s">
        <v>24</v>
      </c>
      <c r="F239" s="334">
        <v>113</v>
      </c>
      <c r="G239" s="334">
        <v>5686</v>
      </c>
      <c r="H239" s="334">
        <v>10331</v>
      </c>
      <c r="I239" s="334">
        <v>10026</v>
      </c>
      <c r="J239" s="334"/>
      <c r="K239" s="334" t="s">
        <v>56</v>
      </c>
      <c r="L239" s="2"/>
      <c r="M239" s="2"/>
    </row>
    <row r="240" spans="1:14" ht="32.25">
      <c r="A240" s="333">
        <v>44658</v>
      </c>
      <c r="B240" s="334">
        <v>385</v>
      </c>
      <c r="C240" s="464">
        <v>44609</v>
      </c>
      <c r="D240" s="335" t="s">
        <v>23</v>
      </c>
      <c r="E240" s="278" t="s">
        <v>24</v>
      </c>
      <c r="F240" s="334">
        <v>110</v>
      </c>
      <c r="G240" s="334">
        <v>5686</v>
      </c>
      <c r="H240" s="334">
        <v>10332</v>
      </c>
      <c r="I240" s="334">
        <v>10027</v>
      </c>
      <c r="J240" s="334"/>
      <c r="K240" s="334" t="s">
        <v>56</v>
      </c>
      <c r="L240" s="100" t="s">
        <v>624</v>
      </c>
      <c r="M240" s="100">
        <v>561</v>
      </c>
      <c r="N240" s="290" t="s">
        <v>625</v>
      </c>
    </row>
    <row r="241" spans="1:14" ht="32.25">
      <c r="A241" s="333">
        <v>44658</v>
      </c>
      <c r="B241" s="334" t="s">
        <v>655</v>
      </c>
      <c r="C241" s="464">
        <v>44611</v>
      </c>
      <c r="D241" s="335" t="s">
        <v>23</v>
      </c>
      <c r="E241" s="278" t="s">
        <v>24</v>
      </c>
      <c r="F241" s="334">
        <v>109</v>
      </c>
      <c r="G241" s="334">
        <v>5686</v>
      </c>
      <c r="H241" s="334">
        <v>10333</v>
      </c>
      <c r="I241" s="334">
        <v>10028</v>
      </c>
      <c r="J241" s="334"/>
      <c r="K241" s="334" t="s">
        <v>56</v>
      </c>
      <c r="L241" s="2"/>
      <c r="M241" s="2"/>
    </row>
    <row r="242" spans="1:14" ht="32.25">
      <c r="A242" s="333">
        <v>44658</v>
      </c>
      <c r="B242" s="334">
        <v>392</v>
      </c>
      <c r="C242" s="464">
        <v>44614</v>
      </c>
      <c r="D242" s="335" t="s">
        <v>23</v>
      </c>
      <c r="E242" s="278" t="s">
        <v>24</v>
      </c>
      <c r="F242" s="334">
        <v>112</v>
      </c>
      <c r="G242" s="334">
        <v>5686</v>
      </c>
      <c r="H242" s="334">
        <v>10334</v>
      </c>
      <c r="I242" s="334">
        <v>10029</v>
      </c>
      <c r="J242" s="334"/>
      <c r="K242" s="334" t="s">
        <v>56</v>
      </c>
      <c r="L242" s="2"/>
      <c r="M242" s="2"/>
    </row>
    <row r="243" spans="1:14" ht="32.25">
      <c r="A243" s="333">
        <v>44658</v>
      </c>
      <c r="B243" s="334" t="s">
        <v>650</v>
      </c>
      <c r="C243" s="464">
        <v>44616</v>
      </c>
      <c r="D243" s="335" t="s">
        <v>23</v>
      </c>
      <c r="E243" s="278" t="s">
        <v>24</v>
      </c>
      <c r="F243" s="334">
        <v>113</v>
      </c>
      <c r="G243" s="334">
        <v>5686</v>
      </c>
      <c r="H243" s="334">
        <v>10335</v>
      </c>
      <c r="I243" s="334">
        <v>10030</v>
      </c>
      <c r="J243" s="334"/>
      <c r="K243" s="334" t="s">
        <v>56</v>
      </c>
      <c r="L243" s="2"/>
      <c r="M243" s="2"/>
    </row>
    <row r="244" spans="1:14" ht="32.25">
      <c r="A244" s="333">
        <v>44658</v>
      </c>
      <c r="B244" s="334" t="s">
        <v>650</v>
      </c>
      <c r="C244" s="464">
        <v>44618</v>
      </c>
      <c r="D244" s="335" t="s">
        <v>23</v>
      </c>
      <c r="E244" s="278" t="s">
        <v>24</v>
      </c>
      <c r="F244" s="334">
        <v>113</v>
      </c>
      <c r="G244" s="334">
        <v>5686</v>
      </c>
      <c r="H244" s="334">
        <v>10336</v>
      </c>
      <c r="I244" s="334">
        <v>10031</v>
      </c>
      <c r="J244" s="334"/>
      <c r="K244" s="334" t="s">
        <v>56</v>
      </c>
      <c r="L244" s="2"/>
      <c r="M244" s="2"/>
    </row>
    <row r="245" spans="1:14" ht="32.25">
      <c r="A245" s="93"/>
      <c r="B245" s="93" t="s">
        <v>694</v>
      </c>
      <c r="C245" s="635"/>
      <c r="D245" s="326" t="s">
        <v>23</v>
      </c>
      <c r="E245" s="278" t="s">
        <v>24</v>
      </c>
      <c r="F245" s="93" t="s">
        <v>695</v>
      </c>
      <c r="G245" s="93"/>
      <c r="H245" s="93"/>
      <c r="I245" s="93"/>
      <c r="J245" s="93"/>
      <c r="K245" s="93"/>
      <c r="L245" s="2"/>
      <c r="M245" s="2"/>
    </row>
    <row r="246" spans="1:14" ht="32.25">
      <c r="A246" s="338">
        <v>44701</v>
      </c>
      <c r="B246" s="337">
        <v>392</v>
      </c>
      <c r="C246" s="465">
        <v>44651</v>
      </c>
      <c r="D246" s="339" t="s">
        <v>23</v>
      </c>
      <c r="E246" s="278" t="s">
        <v>24</v>
      </c>
      <c r="F246" s="337">
        <v>112</v>
      </c>
      <c r="G246" s="337">
        <v>6666</v>
      </c>
      <c r="H246" s="337">
        <v>11320</v>
      </c>
      <c r="I246" s="337">
        <v>11015</v>
      </c>
      <c r="J246" s="337"/>
      <c r="K246" s="337" t="s">
        <v>26</v>
      </c>
      <c r="L246" s="2"/>
      <c r="M246" s="2"/>
    </row>
    <row r="247" spans="1:14" ht="32.25">
      <c r="A247" s="338">
        <v>44701</v>
      </c>
      <c r="B247" s="337">
        <v>385</v>
      </c>
      <c r="C247" s="465">
        <v>44649</v>
      </c>
      <c r="D247" s="339" t="s">
        <v>23</v>
      </c>
      <c r="E247" s="278" t="s">
        <v>24</v>
      </c>
      <c r="F247" s="337">
        <v>110</v>
      </c>
      <c r="G247" s="337">
        <v>6666</v>
      </c>
      <c r="H247" s="337">
        <v>11321</v>
      </c>
      <c r="I247" s="337">
        <v>11014</v>
      </c>
      <c r="J247" s="337"/>
      <c r="K247" s="337" t="s">
        <v>26</v>
      </c>
      <c r="L247" s="2"/>
      <c r="M247" s="2"/>
    </row>
    <row r="248" spans="1:14" ht="32.25">
      <c r="A248" s="338">
        <v>44701</v>
      </c>
      <c r="B248" s="337">
        <v>399</v>
      </c>
      <c r="C248" s="465">
        <v>44646</v>
      </c>
      <c r="D248" s="339" t="s">
        <v>23</v>
      </c>
      <c r="E248" s="278" t="s">
        <v>24</v>
      </c>
      <c r="F248" s="337">
        <v>114</v>
      </c>
      <c r="G248" s="337">
        <v>6666</v>
      </c>
      <c r="H248" s="337">
        <v>11323</v>
      </c>
      <c r="I248" s="337">
        <v>11013</v>
      </c>
      <c r="J248" s="337"/>
      <c r="K248" s="337" t="s">
        <v>26</v>
      </c>
      <c r="L248" s="2"/>
      <c r="M248" s="2"/>
    </row>
    <row r="249" spans="1:14" ht="32.25">
      <c r="A249" s="338">
        <v>44701</v>
      </c>
      <c r="B249" s="337">
        <v>392</v>
      </c>
      <c r="C249" s="465">
        <v>44644</v>
      </c>
      <c r="D249" s="339" t="s">
        <v>23</v>
      </c>
      <c r="E249" s="278" t="s">
        <v>24</v>
      </c>
      <c r="F249" s="337">
        <v>112</v>
      </c>
      <c r="G249" s="337">
        <v>6666</v>
      </c>
      <c r="H249" s="337">
        <v>11324</v>
      </c>
      <c r="I249" s="337">
        <v>11012</v>
      </c>
      <c r="J249" s="337"/>
      <c r="K249" s="337" t="s">
        <v>26</v>
      </c>
      <c r="L249" s="2"/>
      <c r="M249" s="2"/>
    </row>
    <row r="250" spans="1:14" ht="32.25">
      <c r="A250" s="338">
        <v>44701</v>
      </c>
      <c r="B250" s="337" t="s">
        <v>678</v>
      </c>
      <c r="C250" s="465">
        <v>44642</v>
      </c>
      <c r="D250" s="339" t="s">
        <v>23</v>
      </c>
      <c r="E250" s="278" t="s">
        <v>24</v>
      </c>
      <c r="F250" s="337">
        <v>111</v>
      </c>
      <c r="G250" s="337">
        <v>6666</v>
      </c>
      <c r="H250" s="337">
        <v>11325</v>
      </c>
      <c r="I250" s="337">
        <v>11011</v>
      </c>
      <c r="J250" s="337"/>
      <c r="K250" s="337" t="s">
        <v>26</v>
      </c>
      <c r="L250" s="412" t="s">
        <v>696</v>
      </c>
      <c r="M250" s="412" t="s">
        <v>697</v>
      </c>
    </row>
    <row r="251" spans="1:14" ht="32.25">
      <c r="A251" s="338">
        <v>44701</v>
      </c>
      <c r="B251" s="337" t="s">
        <v>655</v>
      </c>
      <c r="C251" s="465">
        <v>44639</v>
      </c>
      <c r="D251" s="339" t="s">
        <v>23</v>
      </c>
      <c r="E251" s="278" t="s">
        <v>24</v>
      </c>
      <c r="F251" s="337">
        <v>109</v>
      </c>
      <c r="G251" s="337">
        <v>6666</v>
      </c>
      <c r="H251" s="337">
        <v>11326</v>
      </c>
      <c r="I251" s="337">
        <v>11010</v>
      </c>
      <c r="J251" s="337"/>
      <c r="K251" s="337" t="s">
        <v>26</v>
      </c>
      <c r="L251" s="2"/>
      <c r="M251" s="2"/>
    </row>
    <row r="252" spans="1:14" ht="32.25">
      <c r="A252" s="338">
        <v>44701</v>
      </c>
      <c r="B252" s="337">
        <v>399</v>
      </c>
      <c r="C252" s="465">
        <v>44637</v>
      </c>
      <c r="D252" s="339" t="s">
        <v>23</v>
      </c>
      <c r="E252" s="278" t="s">
        <v>24</v>
      </c>
      <c r="F252" s="337">
        <v>114</v>
      </c>
      <c r="G252" s="337">
        <v>6666</v>
      </c>
      <c r="H252" s="337">
        <v>11327</v>
      </c>
      <c r="I252" s="337">
        <v>11009</v>
      </c>
      <c r="J252" s="337"/>
      <c r="K252" s="337" t="s">
        <v>26</v>
      </c>
      <c r="L252" s="2"/>
      <c r="M252" s="2"/>
    </row>
    <row r="253" spans="1:14" ht="32.25">
      <c r="A253" s="338">
        <v>44701</v>
      </c>
      <c r="B253" s="337">
        <v>385</v>
      </c>
      <c r="C253" s="465">
        <v>44635</v>
      </c>
      <c r="D253" s="339" t="s">
        <v>23</v>
      </c>
      <c r="E253" s="278" t="s">
        <v>24</v>
      </c>
      <c r="F253" s="337">
        <v>110</v>
      </c>
      <c r="G253" s="337">
        <v>6666</v>
      </c>
      <c r="H253" s="337">
        <v>11328</v>
      </c>
      <c r="I253" s="337">
        <v>11008</v>
      </c>
      <c r="J253" s="337"/>
      <c r="K253" s="337" t="s">
        <v>26</v>
      </c>
      <c r="L253" s="2"/>
      <c r="M253" s="2"/>
    </row>
    <row r="254" spans="1:14" ht="32.25">
      <c r="A254" s="338">
        <v>44701</v>
      </c>
      <c r="B254" s="337" t="s">
        <v>650</v>
      </c>
      <c r="C254" s="465">
        <v>44632</v>
      </c>
      <c r="D254" s="339" t="s">
        <v>23</v>
      </c>
      <c r="E254" s="278" t="s">
        <v>24</v>
      </c>
      <c r="F254" s="337">
        <v>113</v>
      </c>
      <c r="G254" s="337">
        <v>6666</v>
      </c>
      <c r="H254" s="337">
        <v>11329</v>
      </c>
      <c r="I254" s="337">
        <v>11007</v>
      </c>
      <c r="J254" s="337"/>
      <c r="K254" s="337" t="s">
        <v>26</v>
      </c>
      <c r="L254" s="100" t="s">
        <v>624</v>
      </c>
      <c r="M254" s="100">
        <v>656</v>
      </c>
      <c r="N254" s="290" t="s">
        <v>625</v>
      </c>
    </row>
    <row r="255" spans="1:14" ht="32.25">
      <c r="A255" s="338">
        <v>44701</v>
      </c>
      <c r="B255" s="337" t="s">
        <v>678</v>
      </c>
      <c r="C255" s="465">
        <v>44630</v>
      </c>
      <c r="D255" s="339" t="s">
        <v>23</v>
      </c>
      <c r="E255" s="278" t="s">
        <v>24</v>
      </c>
      <c r="F255" s="337">
        <v>111</v>
      </c>
      <c r="G255" s="337">
        <v>6666</v>
      </c>
      <c r="H255" s="337">
        <v>11330</v>
      </c>
      <c r="I255" s="337">
        <v>11006</v>
      </c>
      <c r="J255" s="337"/>
      <c r="K255" s="337" t="s">
        <v>26</v>
      </c>
      <c r="L255" s="2"/>
      <c r="M255" s="2"/>
    </row>
    <row r="256" spans="1:14" ht="32.25">
      <c r="A256" s="337" t="s">
        <v>698</v>
      </c>
      <c r="B256" s="337">
        <v>385</v>
      </c>
      <c r="C256" s="465">
        <v>44628</v>
      </c>
      <c r="D256" s="339" t="s">
        <v>23</v>
      </c>
      <c r="E256" s="278" t="s">
        <v>24</v>
      </c>
      <c r="F256" s="337">
        <v>110</v>
      </c>
      <c r="G256" s="337">
        <v>6666</v>
      </c>
      <c r="H256" s="337">
        <v>11331</v>
      </c>
      <c r="I256" s="337">
        <v>11005</v>
      </c>
      <c r="J256" s="337"/>
      <c r="K256" s="337" t="s">
        <v>26</v>
      </c>
      <c r="L256" s="2"/>
      <c r="M256" s="2"/>
    </row>
    <row r="257" spans="1:14" ht="32.25">
      <c r="A257" s="338">
        <v>44701</v>
      </c>
      <c r="B257" s="337">
        <v>385</v>
      </c>
      <c r="C257" s="465">
        <v>44625</v>
      </c>
      <c r="D257" s="339" t="s">
        <v>23</v>
      </c>
      <c r="E257" s="278" t="s">
        <v>24</v>
      </c>
      <c r="F257" s="337">
        <v>113</v>
      </c>
      <c r="G257" s="337">
        <v>6666</v>
      </c>
      <c r="H257" s="337">
        <v>11332</v>
      </c>
      <c r="I257" s="337">
        <v>11004</v>
      </c>
      <c r="J257" s="337"/>
      <c r="K257" s="337" t="s">
        <v>26</v>
      </c>
      <c r="L257" s="2"/>
      <c r="M257" s="2"/>
    </row>
    <row r="258" spans="1:14" ht="32.25">
      <c r="A258" s="338">
        <v>44701</v>
      </c>
      <c r="B258" s="337">
        <v>392</v>
      </c>
      <c r="C258" s="465">
        <v>44623</v>
      </c>
      <c r="D258" s="339" t="s">
        <v>23</v>
      </c>
      <c r="E258" s="278" t="s">
        <v>24</v>
      </c>
      <c r="F258" s="337">
        <v>112</v>
      </c>
      <c r="G258" s="337">
        <v>6666</v>
      </c>
      <c r="H258" s="337">
        <v>9120</v>
      </c>
      <c r="I258" s="337">
        <v>8657</v>
      </c>
      <c r="J258" s="337"/>
      <c r="K258" s="337" t="s">
        <v>26</v>
      </c>
      <c r="L258" s="2"/>
      <c r="M258" s="2"/>
    </row>
    <row r="259" spans="1:14" ht="32.25">
      <c r="A259" s="338">
        <v>44701</v>
      </c>
      <c r="B259" s="337">
        <v>385</v>
      </c>
      <c r="C259" s="465">
        <v>44621</v>
      </c>
      <c r="D259" s="339" t="s">
        <v>23</v>
      </c>
      <c r="E259" s="278" t="s">
        <v>24</v>
      </c>
      <c r="F259" s="337">
        <v>110</v>
      </c>
      <c r="G259" s="337">
        <v>6666</v>
      </c>
      <c r="H259" s="337">
        <v>9118</v>
      </c>
      <c r="I259" s="337">
        <v>8656</v>
      </c>
      <c r="J259" s="337"/>
      <c r="K259" s="337" t="s">
        <v>26</v>
      </c>
      <c r="L259" s="2"/>
      <c r="M259" s="2"/>
    </row>
    <row r="260" spans="1:14" ht="32.25">
      <c r="A260" s="2"/>
      <c r="B260" s="2" t="s">
        <v>699</v>
      </c>
      <c r="C260" s="624"/>
      <c r="D260" s="296" t="s">
        <v>23</v>
      </c>
      <c r="E260" s="278" t="s">
        <v>24</v>
      </c>
      <c r="F260" s="267" t="s">
        <v>700</v>
      </c>
      <c r="G260" s="2"/>
      <c r="H260" s="2"/>
      <c r="I260" s="2"/>
      <c r="J260" s="2"/>
      <c r="K260" s="2"/>
      <c r="L260" s="2"/>
      <c r="M260" s="2"/>
    </row>
    <row r="261" spans="1:14" ht="32.25">
      <c r="A261" s="359">
        <v>44750</v>
      </c>
      <c r="B261" s="356"/>
      <c r="C261" s="466">
        <v>44681</v>
      </c>
      <c r="D261" s="360" t="s">
        <v>23</v>
      </c>
      <c r="E261" s="278" t="s">
        <v>24</v>
      </c>
      <c r="F261" s="356">
        <v>110</v>
      </c>
      <c r="G261" s="356">
        <v>7177</v>
      </c>
      <c r="H261" s="356">
        <v>13076</v>
      </c>
      <c r="I261" s="356">
        <v>12845</v>
      </c>
      <c r="J261" s="356"/>
      <c r="K261" s="356" t="s">
        <v>26</v>
      </c>
      <c r="L261" s="2"/>
      <c r="M261" s="2"/>
    </row>
    <row r="262" spans="1:14" ht="32.25">
      <c r="A262" s="359">
        <v>44750</v>
      </c>
      <c r="B262" s="359" t="s">
        <v>36</v>
      </c>
      <c r="C262" s="466">
        <v>44679</v>
      </c>
      <c r="D262" s="360" t="s">
        <v>23</v>
      </c>
      <c r="E262" s="278" t="s">
        <v>24</v>
      </c>
      <c r="F262" s="356">
        <v>109</v>
      </c>
      <c r="G262" s="356">
        <v>7177</v>
      </c>
      <c r="H262" s="356">
        <v>12147</v>
      </c>
      <c r="I262" s="356">
        <v>11919</v>
      </c>
      <c r="J262" s="356"/>
      <c r="K262" s="356" t="s">
        <v>26</v>
      </c>
      <c r="L262" s="2"/>
      <c r="M262" s="2"/>
    </row>
    <row r="263" spans="1:14" ht="32.25">
      <c r="A263" s="359">
        <v>44750</v>
      </c>
      <c r="B263" s="356"/>
      <c r="C263" s="466">
        <v>44677</v>
      </c>
      <c r="D263" s="360" t="s">
        <v>23</v>
      </c>
      <c r="E263" s="278" t="s">
        <v>24</v>
      </c>
      <c r="F263" s="356">
        <v>110</v>
      </c>
      <c r="G263" s="356">
        <v>7177</v>
      </c>
      <c r="H263" s="356">
        <v>12146</v>
      </c>
      <c r="I263" s="356">
        <v>11918</v>
      </c>
      <c r="J263" s="356"/>
      <c r="K263" s="356" t="s">
        <v>26</v>
      </c>
      <c r="L263" s="2"/>
      <c r="M263" s="2"/>
    </row>
    <row r="264" spans="1:14" ht="32.25">
      <c r="A264" s="359">
        <v>44750</v>
      </c>
      <c r="B264" s="356"/>
      <c r="C264" s="466">
        <v>44674</v>
      </c>
      <c r="D264" s="360" t="s">
        <v>23</v>
      </c>
      <c r="E264" s="278" t="s">
        <v>24</v>
      </c>
      <c r="F264" s="356">
        <v>108</v>
      </c>
      <c r="G264" s="356">
        <v>7177</v>
      </c>
      <c r="H264" s="356">
        <v>12145</v>
      </c>
      <c r="I264" s="356">
        <v>11917</v>
      </c>
      <c r="J264" s="356"/>
      <c r="K264" s="356" t="s">
        <v>26</v>
      </c>
      <c r="L264" s="2"/>
      <c r="M264" s="2"/>
    </row>
    <row r="265" spans="1:14" ht="32.25">
      <c r="A265" s="359">
        <v>44750</v>
      </c>
      <c r="B265" s="359" t="s">
        <v>36</v>
      </c>
      <c r="C265" s="466">
        <v>44672</v>
      </c>
      <c r="D265" s="360" t="s">
        <v>23</v>
      </c>
      <c r="E265" s="278" t="s">
        <v>24</v>
      </c>
      <c r="F265" s="356">
        <v>107</v>
      </c>
      <c r="G265" s="356">
        <v>7177</v>
      </c>
      <c r="H265" s="356">
        <v>12144</v>
      </c>
      <c r="I265" s="356">
        <v>11916</v>
      </c>
      <c r="J265" s="356"/>
      <c r="K265" s="356" t="s">
        <v>26</v>
      </c>
      <c r="L265" s="412" t="s">
        <v>701</v>
      </c>
      <c r="M265" s="412" t="s">
        <v>702</v>
      </c>
    </row>
    <row r="266" spans="1:14" ht="32.25">
      <c r="A266" s="359">
        <v>44750</v>
      </c>
      <c r="B266" s="359" t="s">
        <v>36</v>
      </c>
      <c r="C266" s="466">
        <v>44670</v>
      </c>
      <c r="D266" s="360" t="s">
        <v>23</v>
      </c>
      <c r="E266" s="278" t="s">
        <v>24</v>
      </c>
      <c r="F266" s="356">
        <v>111</v>
      </c>
      <c r="G266" s="356">
        <v>7177</v>
      </c>
      <c r="H266" s="356">
        <v>12143</v>
      </c>
      <c r="I266" s="356">
        <v>11915</v>
      </c>
      <c r="J266" s="356"/>
      <c r="K266" s="356" t="s">
        <v>26</v>
      </c>
      <c r="L266" s="2"/>
      <c r="M266" s="2"/>
    </row>
    <row r="267" spans="1:14" ht="32.25">
      <c r="A267" s="359">
        <v>44750</v>
      </c>
      <c r="B267" s="356"/>
      <c r="C267" s="466">
        <v>44667</v>
      </c>
      <c r="D267" s="360" t="s">
        <v>23</v>
      </c>
      <c r="E267" s="278" t="s">
        <v>24</v>
      </c>
      <c r="F267" s="356">
        <v>109</v>
      </c>
      <c r="G267" s="356">
        <v>7177</v>
      </c>
      <c r="H267" s="356">
        <v>12142</v>
      </c>
      <c r="I267" s="356">
        <v>11914</v>
      </c>
      <c r="J267" s="356"/>
      <c r="K267" s="356" t="s">
        <v>26</v>
      </c>
      <c r="L267" s="2"/>
      <c r="M267" s="2"/>
    </row>
    <row r="268" spans="1:14" ht="32.25">
      <c r="A268" s="359">
        <v>44750</v>
      </c>
      <c r="B268" s="359" t="s">
        <v>36</v>
      </c>
      <c r="C268" s="466">
        <v>44665</v>
      </c>
      <c r="D268" s="360" t="s">
        <v>23</v>
      </c>
      <c r="E268" s="278" t="s">
        <v>24</v>
      </c>
      <c r="F268" s="356">
        <v>107</v>
      </c>
      <c r="G268" s="356">
        <v>7177</v>
      </c>
      <c r="H268" s="356">
        <v>12141</v>
      </c>
      <c r="I268" s="356">
        <v>11913</v>
      </c>
      <c r="J268" s="356"/>
      <c r="K268" s="356" t="s">
        <v>26</v>
      </c>
      <c r="L268" s="2"/>
      <c r="M268" s="2"/>
    </row>
    <row r="269" spans="1:14" ht="32.25">
      <c r="A269" s="359">
        <v>44750</v>
      </c>
      <c r="B269" s="356"/>
      <c r="C269" s="466">
        <v>44663</v>
      </c>
      <c r="D269" s="360" t="s">
        <v>23</v>
      </c>
      <c r="E269" s="278" t="s">
        <v>24</v>
      </c>
      <c r="F269" s="356">
        <v>111</v>
      </c>
      <c r="G269" s="356">
        <v>7177</v>
      </c>
      <c r="H269" s="356">
        <v>12140</v>
      </c>
      <c r="I269" s="356">
        <v>11912</v>
      </c>
      <c r="J269" s="356"/>
      <c r="K269" s="356" t="s">
        <v>26</v>
      </c>
      <c r="L269" s="100" t="s">
        <v>624</v>
      </c>
      <c r="M269" s="100">
        <v>596</v>
      </c>
      <c r="N269" s="290" t="s">
        <v>625</v>
      </c>
    </row>
    <row r="270" spans="1:14" ht="32.25">
      <c r="A270" s="359">
        <v>44750</v>
      </c>
      <c r="B270" s="356"/>
      <c r="C270" s="466">
        <v>44660</v>
      </c>
      <c r="D270" s="360" t="s">
        <v>23</v>
      </c>
      <c r="E270" s="278" t="s">
        <v>24</v>
      </c>
      <c r="F270" s="356">
        <v>105</v>
      </c>
      <c r="G270" s="356">
        <v>7177</v>
      </c>
      <c r="H270" s="356">
        <v>12139</v>
      </c>
      <c r="I270" s="356">
        <v>11911</v>
      </c>
      <c r="J270" s="356"/>
      <c r="K270" s="356" t="s">
        <v>26</v>
      </c>
      <c r="L270" s="2"/>
      <c r="M270" s="2"/>
    </row>
    <row r="271" spans="1:14" ht="32.25">
      <c r="A271" s="359">
        <v>44750</v>
      </c>
      <c r="B271" s="356"/>
      <c r="C271" s="466">
        <v>44658</v>
      </c>
      <c r="D271" s="360" t="s">
        <v>23</v>
      </c>
      <c r="E271" s="278" t="s">
        <v>24</v>
      </c>
      <c r="F271" s="356">
        <v>109</v>
      </c>
      <c r="G271" s="356">
        <v>7177</v>
      </c>
      <c r="H271" s="356">
        <v>12138</v>
      </c>
      <c r="I271" s="356">
        <v>11910</v>
      </c>
      <c r="J271" s="356"/>
      <c r="K271" s="356" t="s">
        <v>26</v>
      </c>
      <c r="L271" s="2"/>
      <c r="M271" s="2"/>
    </row>
    <row r="272" spans="1:14" ht="32.25">
      <c r="A272" s="359">
        <v>44750</v>
      </c>
      <c r="B272" s="356"/>
      <c r="C272" s="466">
        <v>44656</v>
      </c>
      <c r="D272" s="360" t="s">
        <v>23</v>
      </c>
      <c r="E272" s="278" t="s">
        <v>24</v>
      </c>
      <c r="F272" s="356">
        <v>112</v>
      </c>
      <c r="G272" s="356">
        <v>7177</v>
      </c>
      <c r="H272" s="356">
        <v>12137</v>
      </c>
      <c r="I272" s="356">
        <v>11909</v>
      </c>
      <c r="J272" s="356"/>
      <c r="K272" s="356" t="s">
        <v>26</v>
      </c>
      <c r="L272" s="2"/>
      <c r="M272" s="2"/>
    </row>
    <row r="273" spans="1:14" ht="32.25">
      <c r="A273" s="359">
        <v>44750</v>
      </c>
      <c r="B273" s="356"/>
      <c r="C273" s="466">
        <v>44653</v>
      </c>
      <c r="D273" s="360" t="s">
        <v>23</v>
      </c>
      <c r="E273" s="278" t="s">
        <v>24</v>
      </c>
      <c r="F273" s="356">
        <v>110</v>
      </c>
      <c r="G273" s="356">
        <v>7177</v>
      </c>
      <c r="H273" s="356">
        <v>12136</v>
      </c>
      <c r="I273" s="356">
        <v>11908</v>
      </c>
      <c r="J273" s="356"/>
      <c r="K273" s="356" t="s">
        <v>26</v>
      </c>
      <c r="L273" s="2"/>
      <c r="M273" s="2"/>
    </row>
    <row r="274" spans="1:14" ht="32.25">
      <c r="A274" s="2"/>
      <c r="B274" s="2" t="s">
        <v>703</v>
      </c>
      <c r="C274" s="624"/>
      <c r="D274" s="296" t="s">
        <v>23</v>
      </c>
      <c r="E274" s="278" t="s">
        <v>24</v>
      </c>
      <c r="F274" s="62">
        <f>SUM(F261:F273)</f>
        <v>1418</v>
      </c>
      <c r="G274" s="62" t="s">
        <v>704</v>
      </c>
      <c r="H274" s="2"/>
      <c r="I274" s="2"/>
      <c r="J274" s="2"/>
      <c r="K274" s="2"/>
      <c r="L274" s="2"/>
      <c r="M274" s="2"/>
    </row>
    <row r="275" spans="1:14" ht="32.25">
      <c r="A275" s="362">
        <v>44750</v>
      </c>
      <c r="B275" s="361"/>
      <c r="C275" s="467">
        <v>44712</v>
      </c>
      <c r="D275" s="296" t="s">
        <v>23</v>
      </c>
      <c r="E275" s="278" t="s">
        <v>24</v>
      </c>
      <c r="F275" s="361">
        <v>109</v>
      </c>
      <c r="G275" s="361">
        <v>7910</v>
      </c>
      <c r="H275" s="361">
        <v>14126</v>
      </c>
      <c r="I275" s="361">
        <v>13888</v>
      </c>
      <c r="J275" s="361"/>
      <c r="K275" s="361" t="s">
        <v>26</v>
      </c>
      <c r="L275" s="2"/>
      <c r="M275" s="2"/>
    </row>
    <row r="276" spans="1:14" ht="32.25">
      <c r="A276" s="362">
        <v>44750</v>
      </c>
      <c r="B276" s="361"/>
      <c r="C276" s="467">
        <v>44709</v>
      </c>
      <c r="D276" s="296" t="s">
        <v>23</v>
      </c>
      <c r="E276" s="278" t="s">
        <v>24</v>
      </c>
      <c r="F276" s="361">
        <v>108</v>
      </c>
      <c r="G276" s="361">
        <v>7910</v>
      </c>
      <c r="H276" s="361">
        <v>14125</v>
      </c>
      <c r="I276" s="361">
        <v>13887</v>
      </c>
      <c r="J276" s="361"/>
      <c r="K276" s="361" t="s">
        <v>26</v>
      </c>
      <c r="L276" s="2"/>
      <c r="M276" s="2"/>
    </row>
    <row r="277" spans="1:14" ht="32.25">
      <c r="A277" s="362">
        <v>44750</v>
      </c>
      <c r="B277" s="361"/>
      <c r="C277" s="467">
        <v>44707</v>
      </c>
      <c r="D277" s="296" t="s">
        <v>23</v>
      </c>
      <c r="E277" s="278" t="s">
        <v>24</v>
      </c>
      <c r="F277" s="361">
        <v>112</v>
      </c>
      <c r="G277" s="361">
        <v>7910</v>
      </c>
      <c r="H277" s="361">
        <v>14124</v>
      </c>
      <c r="I277" s="361">
        <v>13886</v>
      </c>
      <c r="J277" s="361"/>
      <c r="K277" s="361" t="s">
        <v>26</v>
      </c>
      <c r="L277" s="412" t="s">
        <v>705</v>
      </c>
      <c r="M277" s="412" t="s">
        <v>706</v>
      </c>
    </row>
    <row r="278" spans="1:14" ht="32.25">
      <c r="A278" s="362">
        <v>44750</v>
      </c>
      <c r="B278" s="361"/>
      <c r="C278" s="467">
        <v>44705</v>
      </c>
      <c r="D278" s="296" t="s">
        <v>23</v>
      </c>
      <c r="E278" s="278" t="s">
        <v>24</v>
      </c>
      <c r="F278" s="361">
        <v>112</v>
      </c>
      <c r="G278" s="361">
        <v>7910</v>
      </c>
      <c r="H278" s="361">
        <v>13085</v>
      </c>
      <c r="I278" s="361">
        <v>12836</v>
      </c>
      <c r="J278" s="361"/>
      <c r="K278" s="361" t="s">
        <v>26</v>
      </c>
      <c r="L278" s="2"/>
      <c r="M278" s="2"/>
    </row>
    <row r="279" spans="1:14" ht="32.25">
      <c r="A279" s="362">
        <v>44750</v>
      </c>
      <c r="B279" s="361"/>
      <c r="C279" s="467">
        <v>44702</v>
      </c>
      <c r="D279" s="296" t="s">
        <v>23</v>
      </c>
      <c r="E279" s="278" t="s">
        <v>24</v>
      </c>
      <c r="F279" s="361">
        <v>110</v>
      </c>
      <c r="G279" s="361">
        <v>7910</v>
      </c>
      <c r="H279" s="361">
        <v>13084</v>
      </c>
      <c r="I279" s="361">
        <v>12837</v>
      </c>
      <c r="J279" s="361"/>
      <c r="K279" s="361" t="s">
        <v>26</v>
      </c>
      <c r="L279" s="2"/>
      <c r="M279" s="2"/>
    </row>
    <row r="280" spans="1:14" ht="32.25">
      <c r="A280" s="362">
        <v>44750</v>
      </c>
      <c r="B280" s="361"/>
      <c r="C280" s="467">
        <v>44700</v>
      </c>
      <c r="D280" s="296" t="s">
        <v>23</v>
      </c>
      <c r="E280" s="278" t="s">
        <v>24</v>
      </c>
      <c r="F280" s="361">
        <v>109</v>
      </c>
      <c r="G280" s="361">
        <v>7910</v>
      </c>
      <c r="H280" s="361">
        <v>13083</v>
      </c>
      <c r="I280" s="361">
        <v>12838</v>
      </c>
      <c r="J280" s="361"/>
      <c r="K280" s="361" t="s">
        <v>26</v>
      </c>
      <c r="L280" s="2"/>
      <c r="M280" s="2"/>
    </row>
    <row r="281" spans="1:14" ht="32.25">
      <c r="A281" s="362">
        <v>44750</v>
      </c>
      <c r="B281" s="361"/>
      <c r="C281" s="467">
        <v>44698</v>
      </c>
      <c r="D281" s="296" t="s">
        <v>23</v>
      </c>
      <c r="E281" s="278" t="s">
        <v>24</v>
      </c>
      <c r="F281" s="361">
        <v>109</v>
      </c>
      <c r="G281" s="361">
        <v>7910</v>
      </c>
      <c r="H281" s="361">
        <v>13082</v>
      </c>
      <c r="I281" s="361">
        <v>12839</v>
      </c>
      <c r="J281" s="361"/>
      <c r="K281" s="361" t="s">
        <v>26</v>
      </c>
      <c r="L281" s="2"/>
      <c r="M281" s="2"/>
    </row>
    <row r="282" spans="1:14" ht="32.25">
      <c r="A282" s="362">
        <v>44750</v>
      </c>
      <c r="B282" s="361"/>
      <c r="C282" s="467">
        <v>44695</v>
      </c>
      <c r="D282" s="296" t="s">
        <v>23</v>
      </c>
      <c r="E282" s="278" t="s">
        <v>24</v>
      </c>
      <c r="F282" s="361">
        <v>113</v>
      </c>
      <c r="G282" s="361">
        <v>7910</v>
      </c>
      <c r="H282" s="361">
        <v>13081</v>
      </c>
      <c r="I282" s="361">
        <v>12840</v>
      </c>
      <c r="J282" s="361"/>
      <c r="K282" s="361" t="s">
        <v>26</v>
      </c>
      <c r="L282" s="100" t="s">
        <v>624</v>
      </c>
      <c r="M282" s="100">
        <v>601</v>
      </c>
      <c r="N282" s="290" t="s">
        <v>625</v>
      </c>
    </row>
    <row r="283" spans="1:14" ht="32.25">
      <c r="A283" s="362">
        <v>44750</v>
      </c>
      <c r="B283" s="361"/>
      <c r="C283" s="467">
        <v>44693</v>
      </c>
      <c r="D283" s="296" t="s">
        <v>23</v>
      </c>
      <c r="E283" s="278" t="s">
        <v>24</v>
      </c>
      <c r="F283" s="361">
        <v>111</v>
      </c>
      <c r="G283" s="361">
        <v>7910</v>
      </c>
      <c r="H283" s="361">
        <v>13080</v>
      </c>
      <c r="I283" s="361">
        <v>12841</v>
      </c>
      <c r="J283" s="361"/>
      <c r="K283" s="361" t="s">
        <v>26</v>
      </c>
      <c r="L283" s="2"/>
      <c r="M283" s="2"/>
    </row>
    <row r="284" spans="1:14" ht="32.25">
      <c r="A284" s="362">
        <v>44750</v>
      </c>
      <c r="B284" s="361"/>
      <c r="C284" s="467">
        <v>44691</v>
      </c>
      <c r="D284" s="296" t="s">
        <v>23</v>
      </c>
      <c r="E284" s="278" t="s">
        <v>24</v>
      </c>
      <c r="F284" s="361">
        <v>108</v>
      </c>
      <c r="G284" s="361">
        <v>7910</v>
      </c>
      <c r="H284" s="361">
        <v>13079</v>
      </c>
      <c r="I284" s="361">
        <v>12842</v>
      </c>
      <c r="J284" s="361"/>
      <c r="K284" s="361" t="s">
        <v>26</v>
      </c>
      <c r="L284" s="2"/>
      <c r="M284" s="2"/>
    </row>
    <row r="285" spans="1:14" ht="32.25">
      <c r="A285" s="362">
        <v>44750</v>
      </c>
      <c r="B285" s="361"/>
      <c r="C285" s="467">
        <v>44688</v>
      </c>
      <c r="D285" s="296" t="s">
        <v>23</v>
      </c>
      <c r="E285" s="278" t="s">
        <v>24</v>
      </c>
      <c r="F285" s="361">
        <v>110</v>
      </c>
      <c r="G285" s="361">
        <v>7910</v>
      </c>
      <c r="H285" s="361">
        <v>13078</v>
      </c>
      <c r="I285" s="361">
        <v>12843</v>
      </c>
      <c r="J285" s="361"/>
      <c r="K285" s="361" t="s">
        <v>26</v>
      </c>
      <c r="L285" s="2"/>
      <c r="M285" s="2"/>
    </row>
    <row r="286" spans="1:14" ht="32.25">
      <c r="A286" s="362">
        <v>44750</v>
      </c>
      <c r="B286" s="361"/>
      <c r="C286" s="467">
        <v>44686</v>
      </c>
      <c r="D286" s="296" t="s">
        <v>23</v>
      </c>
      <c r="E286" s="278" t="s">
        <v>24</v>
      </c>
      <c r="F286" s="361">
        <v>109</v>
      </c>
      <c r="G286" s="361">
        <v>7910</v>
      </c>
      <c r="H286" s="361">
        <v>13077</v>
      </c>
      <c r="I286" s="361">
        <v>12844</v>
      </c>
      <c r="J286" s="361"/>
      <c r="K286" s="361" t="s">
        <v>26</v>
      </c>
      <c r="L286" s="2"/>
      <c r="M286" s="2"/>
    </row>
    <row r="287" spans="1:14" ht="32.25">
      <c r="A287" s="362">
        <v>44750</v>
      </c>
      <c r="B287" s="361"/>
      <c r="C287" s="467">
        <v>44684</v>
      </c>
      <c r="D287" s="296" t="s">
        <v>23</v>
      </c>
      <c r="E287" s="278" t="s">
        <v>24</v>
      </c>
      <c r="F287" s="361">
        <v>112</v>
      </c>
      <c r="G287" s="361">
        <v>7910</v>
      </c>
      <c r="H287" s="361">
        <v>10326</v>
      </c>
      <c r="I287" s="361">
        <v>10021</v>
      </c>
      <c r="J287" s="361"/>
      <c r="K287" s="361" t="s">
        <v>26</v>
      </c>
      <c r="L287" s="2"/>
      <c r="M287" s="2"/>
    </row>
    <row r="288" spans="1:14" ht="32.25">
      <c r="A288" s="2"/>
      <c r="B288" s="2">
        <v>5012</v>
      </c>
      <c r="C288" s="624"/>
      <c r="D288" s="296" t="s">
        <v>707</v>
      </c>
      <c r="E288" s="278" t="s">
        <v>24</v>
      </c>
      <c r="F288" s="267">
        <f>SUM(F275:F287)</f>
        <v>1432</v>
      </c>
      <c r="G288" s="2" t="s">
        <v>708</v>
      </c>
      <c r="H288" s="2"/>
      <c r="I288" s="2"/>
      <c r="J288" s="2"/>
      <c r="K288" s="2"/>
      <c r="L288" s="2"/>
      <c r="M288" s="2"/>
    </row>
    <row r="289" spans="1:14" ht="32.25">
      <c r="A289" s="387">
        <v>44769</v>
      </c>
      <c r="B289" s="303"/>
      <c r="C289" s="468">
        <v>44714</v>
      </c>
      <c r="D289" s="386" t="s">
        <v>23</v>
      </c>
      <c r="E289" s="278" t="s">
        <v>24</v>
      </c>
      <c r="F289" s="303">
        <v>110</v>
      </c>
      <c r="G289" s="303">
        <v>8627</v>
      </c>
      <c r="H289" s="303">
        <v>14127</v>
      </c>
      <c r="I289" s="303">
        <v>13889</v>
      </c>
      <c r="J289" s="303"/>
      <c r="K289" s="303" t="s">
        <v>26</v>
      </c>
      <c r="L289" s="2"/>
      <c r="M289" s="2"/>
    </row>
    <row r="290" spans="1:14" ht="32.25">
      <c r="A290" s="387">
        <v>44769</v>
      </c>
      <c r="B290" s="303"/>
      <c r="C290" s="469">
        <v>44716</v>
      </c>
      <c r="D290" s="386" t="s">
        <v>23</v>
      </c>
      <c r="E290" s="278" t="s">
        <v>24</v>
      </c>
      <c r="F290" s="303">
        <v>109</v>
      </c>
      <c r="G290" s="303">
        <v>8627</v>
      </c>
      <c r="H290" s="303">
        <v>14128</v>
      </c>
      <c r="I290" s="303">
        <v>13890</v>
      </c>
      <c r="J290" s="303"/>
      <c r="K290" s="303" t="s">
        <v>26</v>
      </c>
      <c r="L290" s="2"/>
      <c r="M290" s="2"/>
    </row>
    <row r="291" spans="1:14" ht="32.25">
      <c r="A291" s="387">
        <v>44769</v>
      </c>
      <c r="B291" s="303"/>
      <c r="C291" s="469">
        <v>44719</v>
      </c>
      <c r="D291" s="386" t="s">
        <v>23</v>
      </c>
      <c r="E291" s="278" t="s">
        <v>24</v>
      </c>
      <c r="F291" s="303">
        <v>112</v>
      </c>
      <c r="G291" s="303">
        <v>8627</v>
      </c>
      <c r="H291" s="303">
        <v>14129</v>
      </c>
      <c r="I291" s="303">
        <v>13891</v>
      </c>
      <c r="J291" s="303"/>
      <c r="K291" s="303" t="s">
        <v>26</v>
      </c>
      <c r="L291" s="2"/>
      <c r="M291" s="2"/>
    </row>
    <row r="292" spans="1:14" ht="32.25">
      <c r="A292" s="387">
        <v>44769</v>
      </c>
      <c r="B292" s="303"/>
      <c r="C292" s="469">
        <v>44721</v>
      </c>
      <c r="D292" s="386" t="s">
        <v>23</v>
      </c>
      <c r="E292" s="278" t="s">
        <v>24</v>
      </c>
      <c r="F292" s="303">
        <v>108</v>
      </c>
      <c r="G292" s="303">
        <v>8627</v>
      </c>
      <c r="H292" s="303">
        <v>14130</v>
      </c>
      <c r="I292" s="303">
        <v>13892</v>
      </c>
      <c r="J292" s="303"/>
      <c r="K292" s="303" t="s">
        <v>26</v>
      </c>
      <c r="L292" s="2"/>
      <c r="M292" s="2"/>
    </row>
    <row r="293" spans="1:14" ht="32.25">
      <c r="A293" s="387">
        <v>44769</v>
      </c>
      <c r="B293" s="303"/>
      <c r="C293" s="469">
        <v>44723</v>
      </c>
      <c r="D293" s="386" t="s">
        <v>23</v>
      </c>
      <c r="E293" s="278" t="s">
        <v>24</v>
      </c>
      <c r="F293" s="303">
        <v>111</v>
      </c>
      <c r="G293" s="303">
        <v>8627</v>
      </c>
      <c r="H293" s="303">
        <v>14131</v>
      </c>
      <c r="I293" s="303">
        <v>13893</v>
      </c>
      <c r="J293" s="303"/>
      <c r="K293" s="303" t="s">
        <v>26</v>
      </c>
      <c r="L293" s="411" t="s">
        <v>709</v>
      </c>
      <c r="M293" s="411" t="s">
        <v>710</v>
      </c>
    </row>
    <row r="294" spans="1:14" ht="32.25">
      <c r="A294" s="387">
        <v>44769</v>
      </c>
      <c r="B294" s="303"/>
      <c r="C294" s="469">
        <v>44726</v>
      </c>
      <c r="D294" s="386" t="s">
        <v>23</v>
      </c>
      <c r="E294" s="278" t="s">
        <v>24</v>
      </c>
      <c r="F294" s="303">
        <v>113</v>
      </c>
      <c r="G294" s="303">
        <v>8627</v>
      </c>
      <c r="H294" s="303">
        <v>14133</v>
      </c>
      <c r="I294" s="303">
        <v>13894</v>
      </c>
      <c r="J294" s="303"/>
      <c r="K294" s="303" t="s">
        <v>26</v>
      </c>
      <c r="L294" s="2"/>
      <c r="M294" s="2"/>
    </row>
    <row r="295" spans="1:14" ht="32.25">
      <c r="A295" s="387">
        <v>44769</v>
      </c>
      <c r="B295" s="303"/>
      <c r="C295" s="469">
        <v>44728</v>
      </c>
      <c r="D295" s="386" t="s">
        <v>23</v>
      </c>
      <c r="E295" s="278" t="s">
        <v>24</v>
      </c>
      <c r="F295" s="303">
        <v>111</v>
      </c>
      <c r="G295" s="303">
        <v>8627</v>
      </c>
      <c r="H295" s="303">
        <v>14134</v>
      </c>
      <c r="I295" s="303">
        <v>13895</v>
      </c>
      <c r="J295" s="303"/>
      <c r="K295" s="303" t="s">
        <v>26</v>
      </c>
      <c r="L295" s="2"/>
      <c r="M295" s="2"/>
    </row>
    <row r="296" spans="1:14" ht="32.25">
      <c r="A296" s="387">
        <v>44769</v>
      </c>
      <c r="B296" s="303"/>
      <c r="C296" s="469">
        <v>44730</v>
      </c>
      <c r="D296" s="386" t="s">
        <v>23</v>
      </c>
      <c r="E296" s="278" t="s">
        <v>24</v>
      </c>
      <c r="F296" s="303">
        <v>117</v>
      </c>
      <c r="G296" s="303">
        <v>8627</v>
      </c>
      <c r="H296" s="303">
        <v>14135</v>
      </c>
      <c r="I296" s="303">
        <v>13896</v>
      </c>
      <c r="J296" s="303"/>
      <c r="K296" s="303" t="s">
        <v>26</v>
      </c>
      <c r="L296" s="2"/>
      <c r="M296" s="2"/>
    </row>
    <row r="297" spans="1:14" ht="32.25">
      <c r="A297" s="387">
        <v>44769</v>
      </c>
      <c r="B297" s="303"/>
      <c r="C297" s="469">
        <v>44733</v>
      </c>
      <c r="D297" s="386" t="s">
        <v>23</v>
      </c>
      <c r="E297" s="278" t="s">
        <v>24</v>
      </c>
      <c r="F297" s="303">
        <v>109</v>
      </c>
      <c r="G297" s="303">
        <v>8627</v>
      </c>
      <c r="H297" s="303">
        <v>14136</v>
      </c>
      <c r="I297" s="303">
        <v>13897</v>
      </c>
      <c r="J297" s="303"/>
      <c r="K297" s="303" t="s">
        <v>26</v>
      </c>
      <c r="L297" s="100" t="s">
        <v>624</v>
      </c>
      <c r="M297" s="100">
        <v>604</v>
      </c>
      <c r="N297" s="290" t="s">
        <v>625</v>
      </c>
    </row>
    <row r="298" spans="1:14" ht="32.25">
      <c r="A298" s="387">
        <v>44769</v>
      </c>
      <c r="B298" s="303"/>
      <c r="C298" s="469">
        <v>44735</v>
      </c>
      <c r="D298" s="386" t="s">
        <v>23</v>
      </c>
      <c r="E298" s="278" t="s">
        <v>24</v>
      </c>
      <c r="F298" s="303">
        <v>107</v>
      </c>
      <c r="G298" s="303">
        <v>8627</v>
      </c>
      <c r="H298" s="303">
        <v>14874</v>
      </c>
      <c r="I298" s="303">
        <v>14635</v>
      </c>
      <c r="J298" s="303"/>
      <c r="K298" s="303" t="s">
        <v>26</v>
      </c>
      <c r="L298" s="2"/>
      <c r="M298" s="2"/>
    </row>
    <row r="299" spans="1:14" ht="32.25">
      <c r="A299" s="387">
        <v>44769</v>
      </c>
      <c r="B299" s="303"/>
      <c r="C299" s="469">
        <v>44737</v>
      </c>
      <c r="D299" s="386" t="s">
        <v>23</v>
      </c>
      <c r="E299" s="278" t="s">
        <v>24</v>
      </c>
      <c r="F299" s="303">
        <v>111</v>
      </c>
      <c r="G299" s="303">
        <v>8627</v>
      </c>
      <c r="H299" s="303">
        <v>14875</v>
      </c>
      <c r="I299" s="303">
        <v>14636</v>
      </c>
      <c r="J299" s="303"/>
      <c r="K299" s="303" t="s">
        <v>26</v>
      </c>
      <c r="L299" s="2"/>
      <c r="M299" s="2"/>
    </row>
    <row r="300" spans="1:14" ht="32.25">
      <c r="A300" s="387">
        <v>44769</v>
      </c>
      <c r="B300" s="303"/>
      <c r="C300" s="469">
        <v>44740</v>
      </c>
      <c r="D300" s="386" t="s">
        <v>23</v>
      </c>
      <c r="E300" s="278" t="s">
        <v>24</v>
      </c>
      <c r="F300" s="303">
        <v>112</v>
      </c>
      <c r="G300" s="303">
        <v>8627</v>
      </c>
      <c r="H300" s="303">
        <v>14876</v>
      </c>
      <c r="I300" s="303">
        <v>14637</v>
      </c>
      <c r="J300" s="303"/>
      <c r="K300" s="303" t="s">
        <v>26</v>
      </c>
      <c r="L300" s="2"/>
      <c r="M300" s="2"/>
    </row>
    <row r="301" spans="1:14" ht="32.25">
      <c r="A301" s="387">
        <v>44769</v>
      </c>
      <c r="B301" s="303"/>
      <c r="C301" s="469">
        <v>44742</v>
      </c>
      <c r="D301" s="386" t="s">
        <v>23</v>
      </c>
      <c r="E301" s="278" t="s">
        <v>24</v>
      </c>
      <c r="F301" s="303">
        <v>109</v>
      </c>
      <c r="G301" s="303">
        <v>8627</v>
      </c>
      <c r="H301" s="303">
        <v>14877</v>
      </c>
      <c r="I301" s="303">
        <v>14638</v>
      </c>
      <c r="J301" s="303"/>
      <c r="K301" s="303" t="s">
        <v>26</v>
      </c>
      <c r="L301" s="2"/>
      <c r="M301" s="2"/>
    </row>
    <row r="302" spans="1:14" ht="32.25">
      <c r="A302" s="303"/>
      <c r="B302" s="312" t="s">
        <v>711</v>
      </c>
      <c r="C302" s="470"/>
      <c r="D302" s="386" t="s">
        <v>707</v>
      </c>
      <c r="E302" s="278" t="s">
        <v>24</v>
      </c>
      <c r="F302" s="312" t="s">
        <v>712</v>
      </c>
      <c r="G302" s="303"/>
      <c r="H302" s="303"/>
      <c r="I302" s="303"/>
      <c r="J302" s="303"/>
      <c r="K302" s="303"/>
      <c r="L302" s="2"/>
      <c r="M302" s="2"/>
    </row>
    <row r="303" spans="1:14" ht="32.25">
      <c r="A303" s="253" t="s">
        <v>713</v>
      </c>
      <c r="B303" s="251"/>
      <c r="C303" s="458">
        <v>44744</v>
      </c>
      <c r="D303" s="407" t="s">
        <v>23</v>
      </c>
      <c r="E303" s="278" t="s">
        <v>24</v>
      </c>
      <c r="F303" s="251">
        <v>110</v>
      </c>
      <c r="G303" s="251" t="s">
        <v>714</v>
      </c>
      <c r="H303" s="251">
        <v>10327</v>
      </c>
      <c r="I303" s="251">
        <v>10022</v>
      </c>
      <c r="J303" s="251"/>
      <c r="K303" s="251" t="s">
        <v>26</v>
      </c>
      <c r="L303" s="2"/>
      <c r="M303" s="2"/>
    </row>
    <row r="304" spans="1:14" ht="32.25">
      <c r="A304" s="253" t="s">
        <v>715</v>
      </c>
      <c r="B304" s="251"/>
      <c r="C304" s="458">
        <v>44747</v>
      </c>
      <c r="D304" s="407" t="s">
        <v>23</v>
      </c>
      <c r="E304" s="278" t="s">
        <v>24</v>
      </c>
      <c r="F304" s="251">
        <v>113</v>
      </c>
      <c r="G304" s="251" t="s">
        <v>714</v>
      </c>
      <c r="H304" s="251">
        <v>14892</v>
      </c>
      <c r="I304" s="251">
        <v>14818</v>
      </c>
      <c r="J304" s="251"/>
      <c r="K304" s="251" t="s">
        <v>26</v>
      </c>
      <c r="L304" s="2"/>
      <c r="M304" s="2"/>
    </row>
    <row r="305" spans="1:15" ht="32.25">
      <c r="A305" s="253" t="s">
        <v>716</v>
      </c>
      <c r="B305" s="251"/>
      <c r="C305" s="458">
        <v>44749</v>
      </c>
      <c r="D305" s="407" t="s">
        <v>23</v>
      </c>
      <c r="E305" s="278" t="s">
        <v>24</v>
      </c>
      <c r="F305" s="251">
        <v>111</v>
      </c>
      <c r="G305" s="251" t="s">
        <v>714</v>
      </c>
      <c r="H305" s="251">
        <v>14893</v>
      </c>
      <c r="I305" s="251">
        <v>14819</v>
      </c>
      <c r="J305" s="251"/>
      <c r="K305" s="251" t="s">
        <v>26</v>
      </c>
      <c r="L305" s="2"/>
      <c r="M305" s="2"/>
    </row>
    <row r="306" spans="1:15" ht="32.25">
      <c r="A306" s="253" t="s">
        <v>717</v>
      </c>
      <c r="B306" s="251"/>
      <c r="C306" s="458">
        <v>44751</v>
      </c>
      <c r="D306" s="407" t="s">
        <v>23</v>
      </c>
      <c r="E306" s="278" t="s">
        <v>24</v>
      </c>
      <c r="F306" s="251">
        <v>109</v>
      </c>
      <c r="G306" s="251" t="s">
        <v>714</v>
      </c>
      <c r="H306" s="251">
        <v>14894</v>
      </c>
      <c r="I306" s="251">
        <v>14820</v>
      </c>
      <c r="J306" s="251"/>
      <c r="K306" s="251" t="s">
        <v>26</v>
      </c>
      <c r="L306" s="2"/>
      <c r="M306" s="100" t="s">
        <v>718</v>
      </c>
      <c r="N306" s="290">
        <v>145</v>
      </c>
      <c r="O306" s="290" t="s">
        <v>625</v>
      </c>
    </row>
    <row r="307" spans="1:15" ht="32.25">
      <c r="A307" s="253" t="s">
        <v>719</v>
      </c>
      <c r="B307" s="251"/>
      <c r="C307" s="458">
        <v>44754</v>
      </c>
      <c r="D307" s="407" t="s">
        <v>23</v>
      </c>
      <c r="E307" s="278" t="s">
        <v>24</v>
      </c>
      <c r="F307" s="251">
        <v>113</v>
      </c>
      <c r="G307" s="251" t="s">
        <v>714</v>
      </c>
      <c r="H307" s="251">
        <v>14895</v>
      </c>
      <c r="I307" s="251">
        <v>14821</v>
      </c>
      <c r="J307" s="251"/>
      <c r="K307" s="251" t="s">
        <v>26</v>
      </c>
      <c r="L307" s="2"/>
      <c r="M307" s="100" t="s">
        <v>718</v>
      </c>
      <c r="N307" s="290">
        <v>465</v>
      </c>
      <c r="O307" t="s">
        <v>625</v>
      </c>
    </row>
    <row r="308" spans="1:15" ht="32.25">
      <c r="A308" s="253" t="s">
        <v>720</v>
      </c>
      <c r="B308" s="251"/>
      <c r="C308" s="458">
        <v>44756</v>
      </c>
      <c r="D308" s="407" t="s">
        <v>23</v>
      </c>
      <c r="E308" s="278" t="s">
        <v>24</v>
      </c>
      <c r="F308" s="251">
        <v>112</v>
      </c>
      <c r="G308" s="251" t="s">
        <v>714</v>
      </c>
      <c r="H308" s="251">
        <v>14896</v>
      </c>
      <c r="I308" s="251">
        <v>14822</v>
      </c>
      <c r="J308" s="251"/>
      <c r="K308" s="251" t="s">
        <v>26</v>
      </c>
      <c r="L308" s="2"/>
      <c r="M308" s="2"/>
    </row>
    <row r="309" spans="1:15" ht="32.25">
      <c r="A309" s="253" t="s">
        <v>721</v>
      </c>
      <c r="B309" s="251"/>
      <c r="C309" s="458">
        <v>44758</v>
      </c>
      <c r="D309" s="407" t="s">
        <v>23</v>
      </c>
      <c r="E309" s="278" t="s">
        <v>24</v>
      </c>
      <c r="F309" s="251">
        <v>108</v>
      </c>
      <c r="G309" s="251" t="s">
        <v>714</v>
      </c>
      <c r="H309" s="251">
        <v>14897</v>
      </c>
      <c r="I309" s="251">
        <v>14823</v>
      </c>
      <c r="J309" s="251"/>
      <c r="K309" s="251" t="s">
        <v>26</v>
      </c>
      <c r="L309" s="2"/>
      <c r="M309" s="2"/>
    </row>
    <row r="310" spans="1:15" ht="32.25">
      <c r="A310" s="253" t="s">
        <v>722</v>
      </c>
      <c r="B310" s="251"/>
      <c r="C310" s="458">
        <v>44761</v>
      </c>
      <c r="D310" s="407" t="s">
        <v>23</v>
      </c>
      <c r="E310" s="278" t="s">
        <v>24</v>
      </c>
      <c r="F310" s="251">
        <v>113</v>
      </c>
      <c r="G310" s="251" t="s">
        <v>714</v>
      </c>
      <c r="H310" s="251">
        <v>14898</v>
      </c>
      <c r="I310" s="251">
        <v>14824</v>
      </c>
      <c r="J310" s="251"/>
      <c r="K310" s="251" t="s">
        <v>26</v>
      </c>
      <c r="L310" s="2"/>
      <c r="M310" s="2"/>
    </row>
    <row r="311" spans="1:15" ht="32.25">
      <c r="A311" s="253" t="s">
        <v>723</v>
      </c>
      <c r="B311" s="251"/>
      <c r="C311" s="458">
        <v>44763</v>
      </c>
      <c r="D311" s="407" t="s">
        <v>23</v>
      </c>
      <c r="E311" s="278" t="s">
        <v>24</v>
      </c>
      <c r="F311" s="251">
        <v>114</v>
      </c>
      <c r="G311" s="251" t="s">
        <v>714</v>
      </c>
      <c r="H311" s="251">
        <v>14899</v>
      </c>
      <c r="I311" s="251">
        <v>14825</v>
      </c>
      <c r="J311" s="251"/>
      <c r="K311" s="251" t="s">
        <v>26</v>
      </c>
      <c r="L311" s="2"/>
      <c r="M311" s="2"/>
    </row>
    <row r="312" spans="1:15" ht="32.25">
      <c r="A312" s="253" t="s">
        <v>724</v>
      </c>
      <c r="B312" s="251"/>
      <c r="C312" s="458">
        <v>44765</v>
      </c>
      <c r="D312" s="407" t="s">
        <v>23</v>
      </c>
      <c r="E312" s="278" t="s">
        <v>24</v>
      </c>
      <c r="F312" s="251">
        <v>112</v>
      </c>
      <c r="G312" s="251" t="s">
        <v>714</v>
      </c>
      <c r="H312" s="251">
        <v>14900</v>
      </c>
      <c r="I312" s="251">
        <v>14826</v>
      </c>
      <c r="J312" s="251"/>
      <c r="K312" s="251" t="s">
        <v>26</v>
      </c>
      <c r="L312" s="2"/>
      <c r="M312" s="2"/>
    </row>
    <row r="313" spans="1:15" ht="32.25">
      <c r="A313" s="253" t="s">
        <v>725</v>
      </c>
      <c r="B313" s="251"/>
      <c r="C313" s="458">
        <v>44768</v>
      </c>
      <c r="D313" s="407" t="s">
        <v>23</v>
      </c>
      <c r="E313" s="278" t="s">
        <v>24</v>
      </c>
      <c r="F313" s="251">
        <v>111</v>
      </c>
      <c r="G313" s="251" t="s">
        <v>714</v>
      </c>
      <c r="H313" s="251">
        <v>14951</v>
      </c>
      <c r="I313" s="251">
        <v>14827</v>
      </c>
      <c r="J313" s="251"/>
      <c r="K313" s="251" t="s">
        <v>26</v>
      </c>
      <c r="L313" s="408" t="s">
        <v>726</v>
      </c>
      <c r="M313" s="408" t="s">
        <v>727</v>
      </c>
      <c r="N313" s="409" t="s">
        <v>728</v>
      </c>
    </row>
    <row r="314" spans="1:15" ht="32.25">
      <c r="A314" s="253" t="s">
        <v>729</v>
      </c>
      <c r="B314" s="251"/>
      <c r="C314" s="458">
        <v>44770</v>
      </c>
      <c r="D314" s="407" t="s">
        <v>23</v>
      </c>
      <c r="E314" s="278" t="s">
        <v>24</v>
      </c>
      <c r="F314" s="251">
        <v>115</v>
      </c>
      <c r="G314" s="251" t="s">
        <v>714</v>
      </c>
      <c r="H314" s="251">
        <v>14952</v>
      </c>
      <c r="I314" s="251">
        <v>14828</v>
      </c>
      <c r="J314" s="251"/>
      <c r="K314" s="251" t="s">
        <v>26</v>
      </c>
      <c r="L314" s="408" t="s">
        <v>730</v>
      </c>
      <c r="M314" s="408" t="s">
        <v>731</v>
      </c>
      <c r="N314" s="409" t="s">
        <v>732</v>
      </c>
    </row>
    <row r="315" spans="1:15" ht="32.25">
      <c r="A315" s="253" t="s">
        <v>733</v>
      </c>
      <c r="B315" s="251"/>
      <c r="C315" s="458">
        <v>44772</v>
      </c>
      <c r="D315" s="407" t="s">
        <v>23</v>
      </c>
      <c r="E315" s="278" t="s">
        <v>24</v>
      </c>
      <c r="F315" s="251">
        <v>112</v>
      </c>
      <c r="G315" s="251" t="s">
        <v>714</v>
      </c>
      <c r="H315" s="251">
        <v>14953</v>
      </c>
      <c r="I315" s="251">
        <v>14829</v>
      </c>
      <c r="J315" s="251"/>
      <c r="K315" s="251" t="s">
        <v>26</v>
      </c>
      <c r="L315" s="2"/>
      <c r="M315" s="2"/>
    </row>
    <row r="316" spans="1:15" ht="32.25">
      <c r="A316" s="2"/>
      <c r="B316" s="62">
        <v>5085.49</v>
      </c>
      <c r="C316" s="624"/>
      <c r="D316" s="296" t="s">
        <v>23</v>
      </c>
      <c r="E316" s="278" t="s">
        <v>24</v>
      </c>
      <c r="F316" s="2"/>
      <c r="G316" s="2"/>
      <c r="H316" s="2"/>
      <c r="I316" s="2"/>
      <c r="J316" s="2"/>
      <c r="K316" s="2"/>
      <c r="L316" s="2"/>
      <c r="M316" s="2"/>
    </row>
    <row r="317" spans="1:15" ht="32.25">
      <c r="A317" s="7">
        <v>44831</v>
      </c>
      <c r="B317" s="2"/>
      <c r="C317" s="471">
        <v>44775</v>
      </c>
      <c r="D317" s="296" t="s">
        <v>23</v>
      </c>
      <c r="E317" s="278" t="s">
        <v>24</v>
      </c>
      <c r="F317" s="2">
        <v>110</v>
      </c>
      <c r="G317" s="2">
        <v>10372</v>
      </c>
      <c r="H317" s="2">
        <v>16577</v>
      </c>
      <c r="I317" s="2">
        <v>16066</v>
      </c>
      <c r="J317" s="2"/>
      <c r="K317" s="2" t="s">
        <v>26</v>
      </c>
      <c r="L317" s="2"/>
      <c r="M317" s="2"/>
    </row>
    <row r="318" spans="1:15" ht="32.25">
      <c r="A318" s="7">
        <v>44831</v>
      </c>
      <c r="B318" s="2"/>
      <c r="C318" s="471">
        <v>44777</v>
      </c>
      <c r="D318" s="296" t="s">
        <v>23</v>
      </c>
      <c r="E318" s="278" t="s">
        <v>24</v>
      </c>
      <c r="F318" s="2">
        <v>112</v>
      </c>
      <c r="G318" s="2">
        <v>10372</v>
      </c>
      <c r="H318" s="2">
        <v>16576</v>
      </c>
      <c r="I318" s="2">
        <v>16065</v>
      </c>
      <c r="J318" s="2"/>
      <c r="K318" s="2" t="s">
        <v>26</v>
      </c>
      <c r="L318" s="2"/>
      <c r="M318" s="2"/>
    </row>
    <row r="319" spans="1:15" ht="32.25">
      <c r="A319" s="7">
        <v>44831</v>
      </c>
      <c r="B319" s="2"/>
      <c r="C319" s="471">
        <v>44779</v>
      </c>
      <c r="D319" s="296" t="s">
        <v>23</v>
      </c>
      <c r="E319" s="278" t="s">
        <v>24</v>
      </c>
      <c r="F319" s="2">
        <v>113</v>
      </c>
      <c r="G319" s="2">
        <v>10372</v>
      </c>
      <c r="H319" s="2">
        <v>16578</v>
      </c>
      <c r="I319" s="2">
        <v>16067</v>
      </c>
      <c r="J319" s="2"/>
      <c r="K319" s="2" t="s">
        <v>26</v>
      </c>
      <c r="L319" s="2"/>
      <c r="M319" s="2"/>
    </row>
    <row r="320" spans="1:15" ht="32.25">
      <c r="A320" s="7">
        <v>44831</v>
      </c>
      <c r="B320" s="2"/>
      <c r="C320" s="471">
        <v>44782</v>
      </c>
      <c r="D320" s="296" t="s">
        <v>23</v>
      </c>
      <c r="E320" s="278" t="s">
        <v>24</v>
      </c>
      <c r="F320" s="2">
        <v>115</v>
      </c>
      <c r="G320" s="2">
        <v>10372</v>
      </c>
      <c r="H320" s="2">
        <v>16579</v>
      </c>
      <c r="I320" s="2">
        <v>16969</v>
      </c>
      <c r="J320" s="2"/>
      <c r="K320" s="2" t="s">
        <v>26</v>
      </c>
      <c r="L320" s="2"/>
      <c r="M320" s="2"/>
    </row>
    <row r="321" spans="1:15" ht="32.25">
      <c r="A321" s="7">
        <v>44831</v>
      </c>
      <c r="B321" s="2"/>
      <c r="C321" s="471">
        <v>44815</v>
      </c>
      <c r="D321" s="296" t="s">
        <v>23</v>
      </c>
      <c r="E321" s="278" t="s">
        <v>24</v>
      </c>
      <c r="F321" s="2">
        <v>116</v>
      </c>
      <c r="G321" s="2">
        <v>10372</v>
      </c>
      <c r="H321" s="2">
        <v>16580</v>
      </c>
      <c r="I321" s="2">
        <v>16970</v>
      </c>
      <c r="J321" s="2"/>
      <c r="K321" s="2" t="s">
        <v>26</v>
      </c>
      <c r="L321" s="2"/>
      <c r="M321" s="2"/>
    </row>
    <row r="322" spans="1:15" ht="32.25">
      <c r="A322" s="7">
        <v>44831</v>
      </c>
      <c r="B322" s="2"/>
      <c r="C322" s="471">
        <v>44786</v>
      </c>
      <c r="D322" s="296" t="s">
        <v>23</v>
      </c>
      <c r="E322" s="278" t="s">
        <v>24</v>
      </c>
      <c r="F322" s="2">
        <v>111</v>
      </c>
      <c r="G322" s="2">
        <v>10372</v>
      </c>
      <c r="H322" s="2">
        <v>16581</v>
      </c>
      <c r="I322" s="2">
        <v>16971</v>
      </c>
      <c r="J322" s="2"/>
      <c r="K322" s="2" t="s">
        <v>26</v>
      </c>
      <c r="L322" s="2"/>
      <c r="M322" s="100" t="s">
        <v>718</v>
      </c>
      <c r="N322" s="290">
        <v>620</v>
      </c>
      <c r="O322" t="s">
        <v>625</v>
      </c>
    </row>
    <row r="323" spans="1:15" ht="32.25">
      <c r="A323" s="7">
        <v>44831</v>
      </c>
      <c r="B323" s="2"/>
      <c r="C323" s="471">
        <v>44789</v>
      </c>
      <c r="D323" s="296" t="s">
        <v>23</v>
      </c>
      <c r="E323" s="278" t="s">
        <v>24</v>
      </c>
      <c r="F323" s="2">
        <v>113</v>
      </c>
      <c r="G323" s="2">
        <v>10372</v>
      </c>
      <c r="H323" s="2">
        <v>16582</v>
      </c>
      <c r="I323" s="2">
        <v>16972</v>
      </c>
      <c r="J323" s="2"/>
      <c r="K323" s="2" t="s">
        <v>26</v>
      </c>
      <c r="L323" s="2"/>
      <c r="M323" s="2"/>
    </row>
    <row r="324" spans="1:15" ht="32.25">
      <c r="A324" s="7">
        <v>44831</v>
      </c>
      <c r="B324" s="2"/>
      <c r="C324" s="471">
        <v>44791</v>
      </c>
      <c r="D324" s="296" t="s">
        <v>23</v>
      </c>
      <c r="E324" s="278" t="s">
        <v>24</v>
      </c>
      <c r="F324" s="2">
        <v>112</v>
      </c>
      <c r="G324" s="2">
        <v>10372</v>
      </c>
      <c r="H324" s="2">
        <v>16583</v>
      </c>
      <c r="I324" s="2">
        <v>16973</v>
      </c>
      <c r="J324" s="2"/>
      <c r="K324" s="2" t="s">
        <v>26</v>
      </c>
      <c r="L324" s="2"/>
      <c r="M324" s="2"/>
    </row>
    <row r="325" spans="1:15" ht="32.25">
      <c r="A325" s="7">
        <v>44831</v>
      </c>
      <c r="B325" s="2"/>
      <c r="C325" s="471">
        <v>44793</v>
      </c>
      <c r="D325" s="296" t="s">
        <v>23</v>
      </c>
      <c r="E325" s="278" t="s">
        <v>24</v>
      </c>
      <c r="F325" s="2">
        <v>115</v>
      </c>
      <c r="G325" s="2">
        <v>10372</v>
      </c>
      <c r="H325" s="2">
        <v>16584</v>
      </c>
      <c r="I325" s="2">
        <v>16974</v>
      </c>
      <c r="J325" s="2"/>
      <c r="K325" s="2" t="s">
        <v>26</v>
      </c>
      <c r="L325" s="2"/>
      <c r="M325" s="2"/>
    </row>
    <row r="326" spans="1:15" ht="32.25">
      <c r="A326" s="7">
        <v>44831</v>
      </c>
      <c r="B326" s="2"/>
      <c r="C326" s="471">
        <v>44796</v>
      </c>
      <c r="D326" s="296" t="s">
        <v>23</v>
      </c>
      <c r="E326" s="278" t="s">
        <v>24</v>
      </c>
      <c r="F326" s="2">
        <v>116</v>
      </c>
      <c r="G326" s="2">
        <v>10372</v>
      </c>
      <c r="H326" s="2">
        <v>16585</v>
      </c>
      <c r="I326" s="2">
        <v>16975</v>
      </c>
      <c r="J326" s="2"/>
      <c r="K326" s="2" t="s">
        <v>26</v>
      </c>
      <c r="L326" s="2"/>
      <c r="M326" s="2"/>
    </row>
    <row r="327" spans="1:15" ht="32.25">
      <c r="A327" s="7">
        <v>44831</v>
      </c>
      <c r="B327" s="2"/>
      <c r="C327" s="471">
        <v>44798</v>
      </c>
      <c r="D327" s="296" t="s">
        <v>23</v>
      </c>
      <c r="E327" s="278" t="s">
        <v>24</v>
      </c>
      <c r="F327" s="2">
        <v>117</v>
      </c>
      <c r="G327" s="2">
        <v>10372</v>
      </c>
      <c r="H327" s="2">
        <v>16587</v>
      </c>
      <c r="I327" s="2">
        <v>16977</v>
      </c>
      <c r="J327" s="2"/>
      <c r="K327" s="2" t="s">
        <v>26</v>
      </c>
      <c r="L327" s="2"/>
      <c r="M327" s="2"/>
      <c r="N327" t="s">
        <v>36</v>
      </c>
    </row>
    <row r="328" spans="1:15" ht="32.25">
      <c r="A328" s="7">
        <v>44831</v>
      </c>
      <c r="B328" s="2"/>
      <c r="C328" s="471">
        <v>44800</v>
      </c>
      <c r="D328" s="296" t="s">
        <v>23</v>
      </c>
      <c r="E328" s="278" t="s">
        <v>24</v>
      </c>
      <c r="F328" s="2">
        <v>113</v>
      </c>
      <c r="G328" s="2">
        <v>10372</v>
      </c>
      <c r="H328" s="2">
        <v>16588</v>
      </c>
      <c r="I328" s="2">
        <v>16976</v>
      </c>
      <c r="J328" s="2"/>
      <c r="K328" s="2" t="s">
        <v>26</v>
      </c>
      <c r="L328" s="2"/>
      <c r="M328" s="2"/>
    </row>
    <row r="329" spans="1:15" ht="32.25">
      <c r="A329" s="7">
        <v>44831</v>
      </c>
      <c r="B329" s="2"/>
      <c r="C329" s="471">
        <v>44803</v>
      </c>
      <c r="D329" s="296" t="s">
        <v>23</v>
      </c>
      <c r="E329" s="278" t="s">
        <v>24</v>
      </c>
      <c r="F329" s="2">
        <v>113</v>
      </c>
      <c r="G329" s="2">
        <v>10372</v>
      </c>
      <c r="H329" s="2">
        <v>16589</v>
      </c>
      <c r="I329" s="2">
        <v>16978</v>
      </c>
      <c r="J329" s="2"/>
      <c r="K329" s="2" t="s">
        <v>26</v>
      </c>
      <c r="L329" s="2"/>
      <c r="M329" s="2"/>
    </row>
    <row r="330" spans="1:15" ht="32.25">
      <c r="A330" s="2"/>
      <c r="B330" s="267" t="s">
        <v>734</v>
      </c>
      <c r="C330" s="472"/>
      <c r="D330" s="428" t="s">
        <v>23</v>
      </c>
      <c r="E330" s="278" t="s">
        <v>24</v>
      </c>
      <c r="F330" s="267">
        <f>SUM(F317:F329)</f>
        <v>1476</v>
      </c>
      <c r="G330" s="267" t="s">
        <v>704</v>
      </c>
      <c r="H330" s="267"/>
      <c r="I330" s="267"/>
      <c r="J330" s="267"/>
      <c r="K330" s="267"/>
      <c r="L330" s="2"/>
      <c r="M330" s="2"/>
    </row>
    <row r="331" spans="1:15" ht="32.25">
      <c r="A331" s="372" t="s">
        <v>167</v>
      </c>
      <c r="B331" s="372"/>
      <c r="C331" s="473">
        <v>44833</v>
      </c>
      <c r="D331" s="429" t="s">
        <v>23</v>
      </c>
      <c r="E331" s="278" t="s">
        <v>24</v>
      </c>
      <c r="F331" s="372">
        <v>113</v>
      </c>
      <c r="G331" s="372">
        <v>11197</v>
      </c>
      <c r="H331" s="372">
        <v>18098</v>
      </c>
      <c r="I331" s="372">
        <v>17735</v>
      </c>
      <c r="J331" s="372"/>
      <c r="K331" s="372" t="s">
        <v>26</v>
      </c>
      <c r="L331" s="2"/>
      <c r="M331" s="2"/>
    </row>
    <row r="332" spans="1:15" ht="32.25">
      <c r="A332" s="372" t="s">
        <v>167</v>
      </c>
      <c r="B332" s="372"/>
      <c r="C332" s="473">
        <v>44831</v>
      </c>
      <c r="D332" s="429" t="s">
        <v>23</v>
      </c>
      <c r="E332" s="278" t="s">
        <v>24</v>
      </c>
      <c r="F332" s="372">
        <v>115</v>
      </c>
      <c r="G332" s="372">
        <v>11197</v>
      </c>
      <c r="H332" s="372">
        <v>18226</v>
      </c>
      <c r="I332" s="372">
        <v>17748</v>
      </c>
      <c r="J332" s="372"/>
      <c r="K332" s="372" t="s">
        <v>26</v>
      </c>
      <c r="L332" s="2"/>
      <c r="M332" s="2"/>
    </row>
    <row r="333" spans="1:15" ht="32.25">
      <c r="A333" s="372" t="s">
        <v>167</v>
      </c>
      <c r="B333" s="372"/>
      <c r="C333" s="473">
        <v>44828</v>
      </c>
      <c r="D333" s="429" t="s">
        <v>23</v>
      </c>
      <c r="E333" s="278" t="s">
        <v>24</v>
      </c>
      <c r="F333" s="372">
        <v>113</v>
      </c>
      <c r="G333" s="372">
        <v>11197</v>
      </c>
      <c r="H333" s="372">
        <v>18227</v>
      </c>
      <c r="I333" s="372">
        <v>17743</v>
      </c>
      <c r="J333" s="372"/>
      <c r="K333" s="372" t="s">
        <v>26</v>
      </c>
      <c r="L333" s="2"/>
      <c r="M333" s="2"/>
    </row>
    <row r="334" spans="1:15" ht="32.25">
      <c r="A334" s="372" t="s">
        <v>167</v>
      </c>
      <c r="B334" s="372"/>
      <c r="C334" s="473">
        <v>44826</v>
      </c>
      <c r="D334" s="429" t="s">
        <v>23</v>
      </c>
      <c r="E334" s="278" t="s">
        <v>24</v>
      </c>
      <c r="F334" s="372">
        <v>114</v>
      </c>
      <c r="G334" s="372">
        <v>11197</v>
      </c>
      <c r="H334" s="372">
        <v>18100</v>
      </c>
      <c r="I334" s="372">
        <v>17741</v>
      </c>
      <c r="J334" s="372"/>
      <c r="K334" s="372" t="s">
        <v>26</v>
      </c>
      <c r="L334" s="2"/>
      <c r="M334" s="2"/>
    </row>
    <row r="335" spans="1:15" ht="32.25">
      <c r="A335" s="372" t="s">
        <v>167</v>
      </c>
      <c r="B335" s="372"/>
      <c r="C335" s="473">
        <v>44824</v>
      </c>
      <c r="D335" s="429" t="s">
        <v>23</v>
      </c>
      <c r="E335" s="278" t="s">
        <v>24</v>
      </c>
      <c r="F335" s="372">
        <v>117</v>
      </c>
      <c r="G335" s="372">
        <v>11197</v>
      </c>
      <c r="H335" s="372">
        <v>18101</v>
      </c>
      <c r="I335" s="372">
        <v>17740</v>
      </c>
      <c r="J335" s="372"/>
      <c r="K335" s="372" t="s">
        <v>26</v>
      </c>
      <c r="L335" s="2"/>
      <c r="M335" s="2"/>
    </row>
    <row r="336" spans="1:15" ht="32.25">
      <c r="A336" s="372" t="s">
        <v>167</v>
      </c>
      <c r="B336" s="372"/>
      <c r="C336" s="473">
        <v>44821</v>
      </c>
      <c r="D336" s="429" t="s">
        <v>23</v>
      </c>
      <c r="E336" s="278" t="s">
        <v>24</v>
      </c>
      <c r="F336" s="372">
        <v>112</v>
      </c>
      <c r="G336" s="372">
        <v>11197</v>
      </c>
      <c r="H336" s="372">
        <v>18102</v>
      </c>
      <c r="I336" s="372">
        <v>17739</v>
      </c>
      <c r="J336" s="372"/>
      <c r="K336" s="372" t="s">
        <v>26</v>
      </c>
      <c r="L336" s="100" t="s">
        <v>735</v>
      </c>
      <c r="M336" s="100">
        <v>625.79999999999995</v>
      </c>
      <c r="N336" s="290" t="s">
        <v>625</v>
      </c>
    </row>
    <row r="337" spans="1:13" ht="32.25">
      <c r="A337" s="372" t="s">
        <v>167</v>
      </c>
      <c r="B337" s="372"/>
      <c r="C337" s="473">
        <v>44819</v>
      </c>
      <c r="D337" s="429" t="s">
        <v>23</v>
      </c>
      <c r="E337" s="278" t="s">
        <v>24</v>
      </c>
      <c r="F337" s="372">
        <v>115</v>
      </c>
      <c r="G337" s="372">
        <v>11197</v>
      </c>
      <c r="H337" s="372">
        <v>18103</v>
      </c>
      <c r="I337" s="372">
        <v>17738</v>
      </c>
      <c r="J337" s="372"/>
      <c r="K337" s="372" t="s">
        <v>26</v>
      </c>
      <c r="L337" s="2"/>
      <c r="M337" s="2"/>
    </row>
    <row r="338" spans="1:13" ht="32.25">
      <c r="A338" s="372" t="s">
        <v>167</v>
      </c>
      <c r="B338" s="372"/>
      <c r="C338" s="473">
        <v>44817</v>
      </c>
      <c r="D338" s="429" t="s">
        <v>23</v>
      </c>
      <c r="E338" s="278" t="s">
        <v>24</v>
      </c>
      <c r="F338" s="372">
        <v>114</v>
      </c>
      <c r="G338" s="372">
        <v>11197</v>
      </c>
      <c r="H338" s="372">
        <v>18104</v>
      </c>
      <c r="I338" s="372">
        <v>17737</v>
      </c>
      <c r="J338" s="372"/>
      <c r="K338" s="372" t="s">
        <v>26</v>
      </c>
      <c r="L338" s="2"/>
      <c r="M338" s="2"/>
    </row>
    <row r="339" spans="1:13" ht="32.25">
      <c r="A339" s="372" t="s">
        <v>167</v>
      </c>
      <c r="B339" s="372"/>
      <c r="C339" s="473">
        <v>44814</v>
      </c>
      <c r="D339" s="429" t="s">
        <v>23</v>
      </c>
      <c r="E339" s="278" t="s">
        <v>24</v>
      </c>
      <c r="F339" s="372">
        <v>116</v>
      </c>
      <c r="G339" s="372">
        <v>11197</v>
      </c>
      <c r="H339" s="372">
        <v>18105</v>
      </c>
      <c r="I339" s="372">
        <v>17736</v>
      </c>
      <c r="J339" s="372"/>
      <c r="K339" s="372" t="s">
        <v>26</v>
      </c>
      <c r="L339" s="2"/>
      <c r="M339" s="2"/>
    </row>
    <row r="340" spans="1:13" ht="32.25">
      <c r="A340" s="372" t="s">
        <v>167</v>
      </c>
      <c r="B340" s="372"/>
      <c r="C340" s="473">
        <v>44812</v>
      </c>
      <c r="D340" s="429" t="s">
        <v>23</v>
      </c>
      <c r="E340" s="278" t="s">
        <v>24</v>
      </c>
      <c r="F340" s="372">
        <v>116</v>
      </c>
      <c r="G340" s="372">
        <v>11197</v>
      </c>
      <c r="H340" s="372">
        <v>18097</v>
      </c>
      <c r="I340" s="372">
        <v>17734</v>
      </c>
      <c r="J340" s="372"/>
      <c r="K340" s="372" t="s">
        <v>26</v>
      </c>
      <c r="L340" s="2"/>
      <c r="M340" s="2"/>
    </row>
    <row r="341" spans="1:13" ht="32.25">
      <c r="A341" s="372" t="s">
        <v>167</v>
      </c>
      <c r="B341" s="372"/>
      <c r="C341" s="473">
        <v>44810</v>
      </c>
      <c r="D341" s="429" t="s">
        <v>23</v>
      </c>
      <c r="E341" s="278" t="s">
        <v>24</v>
      </c>
      <c r="F341" s="372">
        <v>117</v>
      </c>
      <c r="G341" s="372">
        <v>11197</v>
      </c>
      <c r="H341" s="372">
        <v>18096</v>
      </c>
      <c r="I341" s="372">
        <v>17733</v>
      </c>
      <c r="J341" s="372"/>
      <c r="K341" s="372" t="s">
        <v>26</v>
      </c>
      <c r="L341" s="2"/>
      <c r="M341" s="2"/>
    </row>
    <row r="342" spans="1:13" ht="32.25">
      <c r="A342" s="372" t="s">
        <v>167</v>
      </c>
      <c r="B342" s="372"/>
      <c r="C342" s="473">
        <v>44807</v>
      </c>
      <c r="D342" s="429" t="s">
        <v>23</v>
      </c>
      <c r="E342" s="278" t="s">
        <v>24</v>
      </c>
      <c r="F342" s="372">
        <v>114</v>
      </c>
      <c r="G342" s="372">
        <v>11197</v>
      </c>
      <c r="H342" s="372">
        <v>18095</v>
      </c>
      <c r="I342" s="372">
        <v>17732</v>
      </c>
      <c r="J342" s="372"/>
      <c r="K342" s="372" t="s">
        <v>26</v>
      </c>
      <c r="L342" s="2"/>
      <c r="M342" s="2"/>
    </row>
    <row r="343" spans="1:13" ht="32.25">
      <c r="A343" s="372" t="s">
        <v>167</v>
      </c>
      <c r="B343" s="372"/>
      <c r="C343" s="473">
        <v>44805</v>
      </c>
      <c r="D343" s="429" t="s">
        <v>23</v>
      </c>
      <c r="E343" s="278" t="s">
        <v>24</v>
      </c>
      <c r="F343" s="372">
        <v>114</v>
      </c>
      <c r="G343" s="372">
        <v>11197</v>
      </c>
      <c r="H343" s="372">
        <v>18094</v>
      </c>
      <c r="I343" s="372">
        <v>17731</v>
      </c>
      <c r="J343" s="372"/>
      <c r="K343" s="372" t="s">
        <v>26</v>
      </c>
      <c r="L343" s="2"/>
      <c r="M343" s="2"/>
    </row>
    <row r="344" spans="1:13" ht="32.25">
      <c r="A344" s="2"/>
      <c r="B344" s="2" t="s">
        <v>736</v>
      </c>
      <c r="C344" s="624"/>
      <c r="D344" s="296" t="s">
        <v>23</v>
      </c>
      <c r="E344" s="278" t="s">
        <v>24</v>
      </c>
      <c r="F344" s="2">
        <f>SUM(F331:F343)</f>
        <v>1490</v>
      </c>
      <c r="G344" s="2" t="s">
        <v>638</v>
      </c>
      <c r="H344" s="2"/>
      <c r="I344" s="2"/>
      <c r="J344" s="2"/>
      <c r="K344" s="2"/>
      <c r="L344" s="2"/>
      <c r="M344" s="2"/>
    </row>
    <row r="345" spans="1:13" ht="32.25">
      <c r="A345" s="316" t="s">
        <v>737</v>
      </c>
      <c r="B345" s="316"/>
      <c r="C345" s="474" t="s">
        <v>738</v>
      </c>
      <c r="D345" s="435" t="s">
        <v>23</v>
      </c>
      <c r="E345" s="278" t="s">
        <v>24</v>
      </c>
      <c r="F345" s="316">
        <v>124.75</v>
      </c>
      <c r="G345" s="316">
        <v>11781</v>
      </c>
      <c r="H345" s="316">
        <v>18661</v>
      </c>
      <c r="I345" s="316">
        <v>18141</v>
      </c>
      <c r="J345" s="316"/>
      <c r="K345" s="316" t="s">
        <v>26</v>
      </c>
      <c r="L345" s="316"/>
      <c r="M345" s="2"/>
    </row>
    <row r="346" spans="1:13" ht="32.25">
      <c r="A346" s="316" t="s">
        <v>737</v>
      </c>
      <c r="B346" s="316"/>
      <c r="C346" s="474" t="s">
        <v>739</v>
      </c>
      <c r="D346" s="435" t="s">
        <v>23</v>
      </c>
      <c r="E346" s="278" t="s">
        <v>24</v>
      </c>
      <c r="F346" s="316">
        <v>98</v>
      </c>
      <c r="G346" s="316">
        <v>11781</v>
      </c>
      <c r="H346" s="316">
        <v>19128</v>
      </c>
      <c r="I346" s="316">
        <v>18646</v>
      </c>
      <c r="J346" s="316"/>
      <c r="K346" s="316" t="s">
        <v>26</v>
      </c>
      <c r="L346" s="316"/>
      <c r="M346" s="2"/>
    </row>
    <row r="347" spans="1:13" ht="32.25">
      <c r="A347" s="316" t="s">
        <v>740</v>
      </c>
      <c r="B347" s="316"/>
      <c r="C347" s="474" t="s">
        <v>741</v>
      </c>
      <c r="D347" s="435" t="s">
        <v>23</v>
      </c>
      <c r="E347" s="278" t="s">
        <v>24</v>
      </c>
      <c r="F347" s="316">
        <v>97</v>
      </c>
      <c r="G347" s="316">
        <v>11781</v>
      </c>
      <c r="H347" s="316">
        <v>18650</v>
      </c>
      <c r="I347" s="316">
        <v>18144</v>
      </c>
      <c r="J347" s="316"/>
      <c r="K347" s="316" t="s">
        <v>26</v>
      </c>
      <c r="L347" s="100" t="s">
        <v>742</v>
      </c>
      <c r="M347" s="100">
        <v>544.21</v>
      </c>
    </row>
    <row r="348" spans="1:13" ht="32.25">
      <c r="A348" s="316" t="s">
        <v>737</v>
      </c>
      <c r="B348" s="316"/>
      <c r="C348" s="474" t="s">
        <v>743</v>
      </c>
      <c r="D348" s="435" t="s">
        <v>23</v>
      </c>
      <c r="E348" s="278" t="s">
        <v>24</v>
      </c>
      <c r="F348" s="316">
        <v>97</v>
      </c>
      <c r="G348" s="316">
        <v>11781</v>
      </c>
      <c r="H348" s="316">
        <v>18649</v>
      </c>
      <c r="I348" s="316">
        <v>18142</v>
      </c>
      <c r="J348" s="316"/>
      <c r="K348" s="316" t="s">
        <v>26</v>
      </c>
      <c r="L348" s="316"/>
      <c r="M348" s="2"/>
    </row>
    <row r="349" spans="1:13" ht="32.25">
      <c r="A349" s="316" t="s">
        <v>737</v>
      </c>
      <c r="B349" s="316"/>
      <c r="C349" s="474" t="s">
        <v>744</v>
      </c>
      <c r="D349" s="435" t="s">
        <v>23</v>
      </c>
      <c r="E349" s="278" t="s">
        <v>24</v>
      </c>
      <c r="F349" s="316">
        <v>97</v>
      </c>
      <c r="G349" s="316">
        <v>11781</v>
      </c>
      <c r="H349" s="316">
        <v>18662</v>
      </c>
      <c r="I349" s="316">
        <v>18140</v>
      </c>
      <c r="J349" s="316"/>
      <c r="K349" s="316" t="s">
        <v>26</v>
      </c>
      <c r="L349" s="316"/>
      <c r="M349" s="2"/>
    </row>
    <row r="350" spans="1:13" ht="32.25">
      <c r="A350" s="316" t="s">
        <v>737</v>
      </c>
      <c r="B350" s="316"/>
      <c r="C350" s="474" t="s">
        <v>745</v>
      </c>
      <c r="D350" s="435" t="s">
        <v>23</v>
      </c>
      <c r="E350" s="278" t="s">
        <v>24</v>
      </c>
      <c r="F350" s="316">
        <v>97</v>
      </c>
      <c r="G350" s="316">
        <v>11781</v>
      </c>
      <c r="H350" s="316">
        <v>18660</v>
      </c>
      <c r="I350" s="316">
        <v>18143</v>
      </c>
      <c r="J350" s="316"/>
      <c r="K350" s="316" t="s">
        <v>26</v>
      </c>
      <c r="L350" s="316"/>
      <c r="M350" s="2"/>
    </row>
    <row r="351" spans="1:13" ht="32.25">
      <c r="A351" s="316" t="s">
        <v>746</v>
      </c>
      <c r="B351" s="316"/>
      <c r="C351" s="474" t="s">
        <v>747</v>
      </c>
      <c r="D351" s="435" t="s">
        <v>23</v>
      </c>
      <c r="E351" s="278" t="s">
        <v>24</v>
      </c>
      <c r="F351" s="316">
        <v>98</v>
      </c>
      <c r="G351" s="316">
        <v>11781</v>
      </c>
      <c r="H351" s="316">
        <v>18659</v>
      </c>
      <c r="I351" s="316">
        <v>18146</v>
      </c>
      <c r="J351" s="316"/>
      <c r="K351" s="316" t="s">
        <v>26</v>
      </c>
      <c r="L351" s="316"/>
      <c r="M351" s="2"/>
    </row>
    <row r="352" spans="1:13" ht="32.25">
      <c r="A352" s="316" t="s">
        <v>737</v>
      </c>
      <c r="B352" s="316"/>
      <c r="C352" s="474" t="s">
        <v>748</v>
      </c>
      <c r="D352" s="435" t="s">
        <v>23</v>
      </c>
      <c r="E352" s="278" t="s">
        <v>24</v>
      </c>
      <c r="F352" s="316">
        <v>98</v>
      </c>
      <c r="G352" s="316">
        <v>11781</v>
      </c>
      <c r="H352" s="316">
        <v>18658</v>
      </c>
      <c r="I352" s="316">
        <v>18150</v>
      </c>
      <c r="J352" s="316"/>
      <c r="K352" s="316" t="s">
        <v>26</v>
      </c>
      <c r="L352" s="316"/>
      <c r="M352" s="2"/>
    </row>
    <row r="353" spans="1:13" ht="32.25">
      <c r="A353" s="316" t="s">
        <v>737</v>
      </c>
      <c r="B353" s="316"/>
      <c r="C353" s="475">
        <v>44875</v>
      </c>
      <c r="D353" s="435" t="s">
        <v>23</v>
      </c>
      <c r="E353" s="278" t="s">
        <v>24</v>
      </c>
      <c r="F353" s="316">
        <v>99</v>
      </c>
      <c r="G353" s="316">
        <v>11781</v>
      </c>
      <c r="H353" s="316">
        <v>18657</v>
      </c>
      <c r="I353" s="316">
        <v>18149</v>
      </c>
      <c r="J353" s="316"/>
      <c r="K353" s="316" t="s">
        <v>26</v>
      </c>
      <c r="L353" s="316"/>
      <c r="M353" s="2"/>
    </row>
    <row r="354" spans="1:13" ht="32.25">
      <c r="A354" s="316" t="s">
        <v>737</v>
      </c>
      <c r="B354" s="316"/>
      <c r="C354" s="475">
        <v>44783</v>
      </c>
      <c r="D354" s="435" t="s">
        <v>23</v>
      </c>
      <c r="E354" s="278" t="s">
        <v>24</v>
      </c>
      <c r="F354" s="316">
        <v>97</v>
      </c>
      <c r="G354" s="316">
        <v>11781</v>
      </c>
      <c r="H354" s="316">
        <v>18656</v>
      </c>
      <c r="I354" s="316">
        <v>18148</v>
      </c>
      <c r="J354" s="316"/>
      <c r="K354" s="316" t="s">
        <v>26</v>
      </c>
      <c r="L354" s="316"/>
      <c r="M354" s="2"/>
    </row>
    <row r="355" spans="1:13" ht="32.25">
      <c r="A355" s="316" t="s">
        <v>737</v>
      </c>
      <c r="B355" s="316"/>
      <c r="C355" s="475">
        <v>44722</v>
      </c>
      <c r="D355" s="435" t="s">
        <v>23</v>
      </c>
      <c r="E355" s="278" t="s">
        <v>24</v>
      </c>
      <c r="F355" s="316">
        <v>98</v>
      </c>
      <c r="G355" s="316">
        <v>11781</v>
      </c>
      <c r="H355" s="316">
        <v>18655</v>
      </c>
      <c r="I355" s="316">
        <v>18147</v>
      </c>
      <c r="J355" s="316"/>
      <c r="K355" s="316" t="s">
        <v>26</v>
      </c>
      <c r="L355" s="316"/>
      <c r="M355" s="2"/>
    </row>
    <row r="356" spans="1:13" ht="32.25">
      <c r="A356" s="316" t="s">
        <v>737</v>
      </c>
      <c r="B356" s="316"/>
      <c r="C356" s="475">
        <v>44661</v>
      </c>
      <c r="D356" s="435" t="s">
        <v>23</v>
      </c>
      <c r="E356" s="278" t="s">
        <v>24</v>
      </c>
      <c r="F356" s="316">
        <v>97</v>
      </c>
      <c r="G356" s="316">
        <v>11781</v>
      </c>
      <c r="H356" s="316">
        <v>18653</v>
      </c>
      <c r="I356" s="316">
        <v>18145</v>
      </c>
      <c r="J356" s="316"/>
      <c r="K356" s="316" t="s">
        <v>26</v>
      </c>
      <c r="L356" s="316"/>
      <c r="M356" s="2"/>
    </row>
    <row r="357" spans="1:13" ht="32.25">
      <c r="A357" s="316" t="s">
        <v>737</v>
      </c>
      <c r="B357" s="316"/>
      <c r="C357" s="475">
        <v>44571</v>
      </c>
      <c r="D357" s="435" t="s">
        <v>23</v>
      </c>
      <c r="E357" s="278" t="s">
        <v>24</v>
      </c>
      <c r="F357" s="316">
        <v>98</v>
      </c>
      <c r="G357" s="316">
        <v>11781</v>
      </c>
      <c r="H357" s="316">
        <v>18651</v>
      </c>
      <c r="I357" s="316">
        <v>18185</v>
      </c>
      <c r="J357" s="316"/>
      <c r="K357" s="316" t="s">
        <v>26</v>
      </c>
      <c r="L357" s="316"/>
      <c r="M357" s="2"/>
    </row>
    <row r="358" spans="1:13" ht="32.25">
      <c r="A358" s="316"/>
      <c r="B358" s="323" t="s">
        <v>749</v>
      </c>
      <c r="C358" s="474"/>
      <c r="D358" s="435" t="s">
        <v>23</v>
      </c>
      <c r="E358" s="278" t="s">
        <v>24</v>
      </c>
      <c r="F358" s="323">
        <f>SUM(F345:F357)</f>
        <v>1295.75</v>
      </c>
      <c r="G358" s="323" t="s">
        <v>638</v>
      </c>
      <c r="H358" s="316"/>
      <c r="I358" s="316"/>
      <c r="J358" s="316"/>
      <c r="K358" s="316"/>
      <c r="L358" s="316"/>
      <c r="M358" s="2"/>
    </row>
    <row r="359" spans="1:13" ht="32.25">
      <c r="A359" s="437" t="s">
        <v>186</v>
      </c>
      <c r="B359" s="437"/>
      <c r="C359" s="476" t="s">
        <v>61</v>
      </c>
      <c r="D359" s="438" t="s">
        <v>23</v>
      </c>
      <c r="E359" s="278" t="s">
        <v>24</v>
      </c>
      <c r="F359" s="437">
        <v>123</v>
      </c>
      <c r="G359" s="437">
        <v>12376</v>
      </c>
      <c r="H359" s="437">
        <v>19468</v>
      </c>
      <c r="I359" s="437">
        <v>19012</v>
      </c>
      <c r="J359" s="437"/>
      <c r="K359" s="437" t="s">
        <v>26</v>
      </c>
      <c r="L359" s="2"/>
      <c r="M359" s="2"/>
    </row>
    <row r="360" spans="1:13" ht="32.25">
      <c r="A360" s="437" t="s">
        <v>186</v>
      </c>
      <c r="B360" s="437"/>
      <c r="C360" s="476" t="s">
        <v>750</v>
      </c>
      <c r="D360" s="438" t="s">
        <v>23</v>
      </c>
      <c r="E360" s="278" t="s">
        <v>24</v>
      </c>
      <c r="F360" s="437">
        <v>102</v>
      </c>
      <c r="G360" s="437">
        <v>12376</v>
      </c>
      <c r="H360" s="437">
        <v>19467</v>
      </c>
      <c r="I360" s="437">
        <v>19013</v>
      </c>
      <c r="J360" s="437"/>
      <c r="K360" s="437" t="s">
        <v>26</v>
      </c>
      <c r="L360" s="2"/>
      <c r="M360" s="2"/>
    </row>
    <row r="361" spans="1:13" ht="32.25">
      <c r="A361" s="437" t="s">
        <v>186</v>
      </c>
      <c r="B361" s="437"/>
      <c r="C361" s="476" t="s">
        <v>751</v>
      </c>
      <c r="D361" s="438" t="s">
        <v>23</v>
      </c>
      <c r="E361" s="278" t="s">
        <v>24</v>
      </c>
      <c r="F361" s="437">
        <v>102</v>
      </c>
      <c r="G361" s="437">
        <v>12376</v>
      </c>
      <c r="H361" s="437">
        <v>19466</v>
      </c>
      <c r="I361" s="437">
        <v>19014</v>
      </c>
      <c r="J361" s="437"/>
      <c r="K361" s="437" t="s">
        <v>26</v>
      </c>
      <c r="L361" s="2"/>
      <c r="M361" s="2"/>
    </row>
    <row r="362" spans="1:13" ht="32.25">
      <c r="A362" s="437" t="s">
        <v>186</v>
      </c>
      <c r="B362" s="437"/>
      <c r="C362" s="476" t="s">
        <v>271</v>
      </c>
      <c r="D362" s="438" t="s">
        <v>23</v>
      </c>
      <c r="E362" s="278" t="s">
        <v>24</v>
      </c>
      <c r="F362" s="437">
        <v>103</v>
      </c>
      <c r="G362" s="437">
        <v>12376</v>
      </c>
      <c r="H362" s="437">
        <v>17404</v>
      </c>
      <c r="I362" s="437">
        <v>19015</v>
      </c>
      <c r="J362" s="437"/>
      <c r="K362" s="437" t="s">
        <v>26</v>
      </c>
      <c r="L362" s="2"/>
      <c r="M362" s="2"/>
    </row>
    <row r="363" spans="1:13" ht="32.25">
      <c r="A363" s="437" t="s">
        <v>186</v>
      </c>
      <c r="B363" s="437"/>
      <c r="C363" s="476" t="s">
        <v>752</v>
      </c>
      <c r="D363" s="438" t="s">
        <v>23</v>
      </c>
      <c r="E363" s="278" t="s">
        <v>24</v>
      </c>
      <c r="F363" s="437">
        <v>102</v>
      </c>
      <c r="G363" s="437">
        <v>12376</v>
      </c>
      <c r="H363" s="437">
        <v>17405</v>
      </c>
      <c r="I363" s="437">
        <v>19016</v>
      </c>
      <c r="J363" s="437"/>
      <c r="K363" s="437" t="s">
        <v>26</v>
      </c>
      <c r="L363" s="2"/>
      <c r="M363" s="2"/>
    </row>
    <row r="364" spans="1:13" ht="32.25">
      <c r="A364" s="437" t="s">
        <v>186</v>
      </c>
      <c r="B364" s="437"/>
      <c r="C364" s="476" t="s">
        <v>753</v>
      </c>
      <c r="D364" s="438" t="s">
        <v>23</v>
      </c>
      <c r="E364" s="278" t="s">
        <v>24</v>
      </c>
      <c r="F364" s="437">
        <v>101</v>
      </c>
      <c r="G364" s="437">
        <v>12376</v>
      </c>
      <c r="H364" s="437">
        <v>17406</v>
      </c>
      <c r="I364" s="437">
        <v>19017</v>
      </c>
      <c r="J364" s="437"/>
      <c r="K364" s="437" t="s">
        <v>26</v>
      </c>
      <c r="L364" s="2" t="s">
        <v>754</v>
      </c>
      <c r="M364" s="2"/>
    </row>
    <row r="365" spans="1:13" ht="32.25">
      <c r="A365" s="437" t="s">
        <v>186</v>
      </c>
      <c r="B365" s="437"/>
      <c r="C365" s="476" t="s">
        <v>177</v>
      </c>
      <c r="D365" s="438" t="s">
        <v>23</v>
      </c>
      <c r="E365" s="278" t="s">
        <v>24</v>
      </c>
      <c r="F365" s="437">
        <v>103</v>
      </c>
      <c r="G365" s="437">
        <v>12376</v>
      </c>
      <c r="H365" s="437">
        <v>17407</v>
      </c>
      <c r="I365" s="437">
        <v>19018</v>
      </c>
      <c r="J365" s="437"/>
      <c r="K365" s="437" t="s">
        <v>26</v>
      </c>
      <c r="L365" s="2"/>
      <c r="M365" s="2"/>
    </row>
    <row r="366" spans="1:13" ht="32.25">
      <c r="A366" s="437" t="s">
        <v>186</v>
      </c>
      <c r="B366" s="437"/>
      <c r="C366" s="477">
        <v>44906</v>
      </c>
      <c r="D366" s="438" t="s">
        <v>23</v>
      </c>
      <c r="E366" s="278" t="s">
        <v>24</v>
      </c>
      <c r="F366" s="437">
        <v>102</v>
      </c>
      <c r="G366" s="437">
        <v>12376</v>
      </c>
      <c r="H366" s="437">
        <v>17408</v>
      </c>
      <c r="I366" s="437">
        <v>19019</v>
      </c>
      <c r="J366" s="437"/>
      <c r="K366" s="437" t="s">
        <v>26</v>
      </c>
      <c r="L366" s="2"/>
      <c r="M366" s="2"/>
    </row>
    <row r="367" spans="1:13" ht="32.25">
      <c r="A367" s="437" t="s">
        <v>186</v>
      </c>
      <c r="B367" s="437"/>
      <c r="C367" s="477">
        <v>44845</v>
      </c>
      <c r="D367" s="438" t="s">
        <v>23</v>
      </c>
      <c r="E367" s="278" t="s">
        <v>24</v>
      </c>
      <c r="F367" s="437">
        <v>101</v>
      </c>
      <c r="G367" s="437">
        <v>12376</v>
      </c>
      <c r="H367" s="437">
        <v>17409</v>
      </c>
      <c r="I367" s="437">
        <v>19020</v>
      </c>
      <c r="J367" s="437"/>
      <c r="K367" s="437" t="s">
        <v>26</v>
      </c>
      <c r="L367" s="2"/>
      <c r="M367" s="2"/>
    </row>
    <row r="368" spans="1:13" ht="32.25">
      <c r="A368" s="437" t="s">
        <v>755</v>
      </c>
      <c r="B368" s="437"/>
      <c r="C368" s="477">
        <v>44784</v>
      </c>
      <c r="D368" s="438" t="s">
        <v>23</v>
      </c>
      <c r="E368" s="278" t="s">
        <v>24</v>
      </c>
      <c r="F368" s="437">
        <v>100</v>
      </c>
      <c r="G368" s="437">
        <v>12376</v>
      </c>
      <c r="H368" s="437">
        <v>17410</v>
      </c>
      <c r="I368" s="437">
        <v>19021</v>
      </c>
      <c r="J368" s="437"/>
      <c r="K368" s="437" t="s">
        <v>26</v>
      </c>
      <c r="L368" s="2"/>
      <c r="M368" s="2"/>
    </row>
    <row r="369" spans="1:13" ht="32.25">
      <c r="A369" s="437" t="s">
        <v>186</v>
      </c>
      <c r="B369" s="437"/>
      <c r="C369" s="477">
        <v>44692</v>
      </c>
      <c r="D369" s="438" t="s">
        <v>23</v>
      </c>
      <c r="E369" s="278" t="s">
        <v>24</v>
      </c>
      <c r="F369" s="437">
        <v>101</v>
      </c>
      <c r="G369" s="437">
        <v>12376</v>
      </c>
      <c r="H369" s="437">
        <v>17411</v>
      </c>
      <c r="I369" s="437">
        <v>19022</v>
      </c>
      <c r="J369" s="437"/>
      <c r="K369" s="437" t="s">
        <v>26</v>
      </c>
      <c r="L369" s="2"/>
      <c r="M369" s="2"/>
    </row>
    <row r="370" spans="1:13" ht="32.25">
      <c r="A370" s="437" t="s">
        <v>186</v>
      </c>
      <c r="B370" s="437"/>
      <c r="C370" s="477">
        <v>44631</v>
      </c>
      <c r="D370" s="438" t="s">
        <v>23</v>
      </c>
      <c r="E370" s="278" t="s">
        <v>24</v>
      </c>
      <c r="F370" s="437">
        <v>102</v>
      </c>
      <c r="G370" s="437">
        <v>12376</v>
      </c>
      <c r="H370" s="437">
        <v>17412</v>
      </c>
      <c r="I370" s="437">
        <v>19023</v>
      </c>
      <c r="J370" s="437"/>
      <c r="K370" s="437" t="s">
        <v>26</v>
      </c>
      <c r="L370" s="2"/>
      <c r="M370" s="2"/>
    </row>
    <row r="371" spans="1:13" ht="32.25">
      <c r="A371" s="437" t="s">
        <v>186</v>
      </c>
      <c r="B371" s="437"/>
      <c r="C371" s="477">
        <v>44572</v>
      </c>
      <c r="D371" s="438" t="s">
        <v>23</v>
      </c>
      <c r="E371" s="278" t="s">
        <v>24</v>
      </c>
      <c r="F371" s="437">
        <v>103</v>
      </c>
      <c r="G371" s="437">
        <v>12376</v>
      </c>
      <c r="H371" s="437">
        <v>19469</v>
      </c>
      <c r="I371" s="437">
        <v>18594</v>
      </c>
      <c r="J371" s="437"/>
      <c r="K371" s="437" t="s">
        <v>26</v>
      </c>
      <c r="L371" s="2"/>
      <c r="M371" s="2"/>
    </row>
    <row r="372" spans="1:13">
      <c r="A372" s="2"/>
      <c r="B372" s="2" t="s">
        <v>756</v>
      </c>
      <c r="C372" s="624"/>
      <c r="D372" s="2"/>
      <c r="E372" s="2"/>
      <c r="F372" s="2">
        <f>SUM(F359:F371)</f>
        <v>1345</v>
      </c>
      <c r="G372" s="2" t="s">
        <v>757</v>
      </c>
      <c r="H372" s="2"/>
      <c r="I372" s="2"/>
      <c r="J372" s="2"/>
      <c r="K372" s="2"/>
      <c r="L372" s="2"/>
      <c r="M372" s="2"/>
    </row>
    <row r="373" spans="1:13" ht="32.25">
      <c r="A373" s="314">
        <v>45293</v>
      </c>
      <c r="B373" s="316"/>
      <c r="C373" s="475" t="s">
        <v>62</v>
      </c>
      <c r="D373" s="435" t="s">
        <v>23</v>
      </c>
      <c r="E373" s="442" t="s">
        <v>24</v>
      </c>
      <c r="F373" s="316">
        <v>178.98</v>
      </c>
      <c r="G373" s="316">
        <v>13714</v>
      </c>
      <c r="H373" s="316">
        <v>21158</v>
      </c>
      <c r="I373" s="316">
        <v>20710</v>
      </c>
      <c r="J373" s="316"/>
      <c r="K373" s="316" t="s">
        <v>26</v>
      </c>
      <c r="L373" s="316"/>
      <c r="M373" s="492"/>
    </row>
    <row r="374" spans="1:13" ht="32.25">
      <c r="A374" s="314">
        <v>45293</v>
      </c>
      <c r="B374" s="316"/>
      <c r="C374" s="475" t="s">
        <v>758</v>
      </c>
      <c r="D374" s="435" t="s">
        <v>23</v>
      </c>
      <c r="E374" s="443" t="s">
        <v>24</v>
      </c>
      <c r="F374" s="316">
        <v>145.1</v>
      </c>
      <c r="G374" s="316">
        <v>13714</v>
      </c>
      <c r="H374" s="316">
        <v>21159</v>
      </c>
      <c r="I374" s="316">
        <v>20709</v>
      </c>
      <c r="J374" s="316"/>
      <c r="K374" s="316" t="s">
        <v>26</v>
      </c>
      <c r="L374" s="316"/>
      <c r="M374" s="493"/>
    </row>
    <row r="375" spans="1:13" ht="32.25">
      <c r="A375" s="314">
        <v>45293</v>
      </c>
      <c r="B375" s="316"/>
      <c r="C375" s="475" t="s">
        <v>759</v>
      </c>
      <c r="D375" s="435" t="s">
        <v>23</v>
      </c>
      <c r="E375" s="442" t="s">
        <v>24</v>
      </c>
      <c r="F375" s="316">
        <v>134.32</v>
      </c>
      <c r="G375" s="316">
        <v>13714</v>
      </c>
      <c r="H375" s="316">
        <v>21164</v>
      </c>
      <c r="I375" s="316">
        <v>20704</v>
      </c>
      <c r="J375" s="316"/>
      <c r="K375" s="316" t="s">
        <v>26</v>
      </c>
      <c r="L375" s="316"/>
      <c r="M375" s="492"/>
    </row>
    <row r="376" spans="1:13" ht="32.25">
      <c r="A376" s="314">
        <v>45293</v>
      </c>
      <c r="B376" s="316"/>
      <c r="C376" s="475" t="s">
        <v>760</v>
      </c>
      <c r="D376" s="435" t="s">
        <v>23</v>
      </c>
      <c r="E376" s="442" t="s">
        <v>24</v>
      </c>
      <c r="F376" s="316">
        <v>153.72999999999999</v>
      </c>
      <c r="G376" s="316">
        <v>13714</v>
      </c>
      <c r="H376" s="316">
        <v>21165</v>
      </c>
      <c r="I376" s="316">
        <v>20703</v>
      </c>
      <c r="J376" s="316"/>
      <c r="K376" s="316" t="s">
        <v>26</v>
      </c>
      <c r="L376" s="316"/>
      <c r="M376" s="493" t="s">
        <v>761</v>
      </c>
    </row>
    <row r="377" spans="1:13" ht="32.25">
      <c r="A377" s="314">
        <v>45293</v>
      </c>
      <c r="B377" s="316"/>
      <c r="C377" s="475" t="s">
        <v>762</v>
      </c>
      <c r="D377" s="435" t="s">
        <v>23</v>
      </c>
      <c r="E377" s="443" t="s">
        <v>24</v>
      </c>
      <c r="F377" s="316">
        <v>112.04</v>
      </c>
      <c r="G377" s="316">
        <v>13714</v>
      </c>
      <c r="H377" s="316">
        <v>21163</v>
      </c>
      <c r="I377" s="316">
        <v>20705</v>
      </c>
      <c r="J377" s="316"/>
      <c r="K377" s="316" t="s">
        <v>26</v>
      </c>
      <c r="L377" s="316"/>
      <c r="M377" s="492"/>
    </row>
    <row r="378" spans="1:13" ht="32.25">
      <c r="A378" s="314">
        <v>45293</v>
      </c>
      <c r="B378" s="316"/>
      <c r="C378" s="475">
        <v>44846</v>
      </c>
      <c r="D378" s="435" t="s">
        <v>23</v>
      </c>
      <c r="E378" s="442" t="s">
        <v>24</v>
      </c>
      <c r="F378" s="316">
        <v>163.9</v>
      </c>
      <c r="G378" s="316">
        <v>13714</v>
      </c>
      <c r="H378" s="316">
        <v>21162</v>
      </c>
      <c r="I378" s="316">
        <v>20706</v>
      </c>
      <c r="J378" s="316"/>
      <c r="K378" s="316" t="s">
        <v>26</v>
      </c>
      <c r="L378" s="316"/>
      <c r="M378" s="493"/>
    </row>
    <row r="379" spans="1:13" ht="32.25">
      <c r="A379" s="314">
        <v>45293</v>
      </c>
      <c r="B379" s="316"/>
      <c r="C379" s="475">
        <v>44724</v>
      </c>
      <c r="D379" s="435" t="s">
        <v>23</v>
      </c>
      <c r="E379" s="442" t="s">
        <v>24</v>
      </c>
      <c r="F379" s="316">
        <v>167.3</v>
      </c>
      <c r="G379" s="316">
        <v>13714</v>
      </c>
      <c r="H379" s="316">
        <v>21161</v>
      </c>
      <c r="I379" s="316">
        <v>20708</v>
      </c>
      <c r="J379" s="316"/>
      <c r="K379" s="316" t="s">
        <v>26</v>
      </c>
      <c r="L379" s="316"/>
      <c r="M379" s="492"/>
    </row>
    <row r="380" spans="1:13" ht="32.25">
      <c r="A380" s="314">
        <v>45293</v>
      </c>
      <c r="B380" s="316"/>
      <c r="C380" s="475">
        <v>44604</v>
      </c>
      <c r="D380" s="435" t="s">
        <v>23</v>
      </c>
      <c r="E380" s="443" t="s">
        <v>24</v>
      </c>
      <c r="F380" s="316">
        <v>132.44999999999999</v>
      </c>
      <c r="G380" s="316">
        <v>13714</v>
      </c>
      <c r="H380" s="316">
        <v>21160</v>
      </c>
      <c r="I380" s="316">
        <v>20701</v>
      </c>
      <c r="J380" s="316"/>
      <c r="K380" s="316" t="s">
        <v>26</v>
      </c>
      <c r="L380" s="316"/>
      <c r="M380" s="493"/>
    </row>
    <row r="381" spans="1:13">
      <c r="A381" s="2"/>
      <c r="B381" s="267" t="s">
        <v>763</v>
      </c>
      <c r="C381" s="628"/>
      <c r="D381" s="267"/>
      <c r="E381" s="267"/>
      <c r="F381" s="267">
        <f>SUM(F373:F380)</f>
        <v>1187.82</v>
      </c>
      <c r="G381" s="267" t="s">
        <v>638</v>
      </c>
      <c r="H381" s="2"/>
      <c r="I381" s="2"/>
      <c r="J381" s="2"/>
      <c r="K381" s="2"/>
      <c r="L381" s="2"/>
      <c r="M381" s="2"/>
    </row>
  </sheetData>
  <mergeCells count="5">
    <mergeCell ref="A1:I1"/>
    <mergeCell ref="G4:J4"/>
    <mergeCell ref="J5:L5"/>
    <mergeCell ref="F5:H5"/>
    <mergeCell ref="C6:E6"/>
  </mergeCells>
  <dataValidations count="1">
    <dataValidation type="list" allowBlank="1" showInputMessage="1" showErrorMessage="1" sqref="E8:E371 E373:E380" xr:uid="{00000000-0002-0000-0600-000000000000}">
      <formula1>"EFECTIVO, CHEQUE, TRANSFERENCIA,DEPOSITO"</formula1>
    </dataValidation>
  </dataValidations>
  <hyperlinks>
    <hyperlink ref="B4" r:id="rId1" xr:uid="{00000000-0004-0000-0600-000000000000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EF3F-B1B7-4A26-9683-D9ED745307BD}">
  <sheetPr>
    <tabColor rgb="FFFF0000"/>
  </sheetPr>
  <dimension ref="A1:M225"/>
  <sheetViews>
    <sheetView workbookViewId="0">
      <selection activeCell="B5" sqref="B5"/>
    </sheetView>
  </sheetViews>
  <sheetFormatPr defaultColWidth="11.42578125" defaultRowHeight="15"/>
  <cols>
    <col min="2" max="2" width="26.42578125" customWidth="1"/>
    <col min="3" max="3" width="11.85546875" bestFit="1" customWidth="1"/>
    <col min="6" max="6" width="12.140625" bestFit="1" customWidth="1"/>
  </cols>
  <sheetData>
    <row r="1" spans="1:12" ht="23.25">
      <c r="A1" s="673" t="s">
        <v>764</v>
      </c>
      <c r="B1" s="673"/>
      <c r="C1" s="673"/>
      <c r="D1" s="673"/>
      <c r="E1" s="673"/>
      <c r="F1" s="673"/>
      <c r="G1" s="673"/>
      <c r="H1" s="673"/>
      <c r="I1" s="673"/>
    </row>
    <row r="2" spans="1:12" ht="30">
      <c r="A2" s="2" t="s">
        <v>93</v>
      </c>
      <c r="J2" t="s">
        <v>765</v>
      </c>
    </row>
    <row r="3" spans="1:12" ht="18" customHeight="1">
      <c r="A3" s="2" t="s">
        <v>1</v>
      </c>
      <c r="B3">
        <v>20494306043</v>
      </c>
    </row>
    <row r="4" spans="1:12" ht="23.25" customHeight="1">
      <c r="A4" s="4" t="s">
        <v>2</v>
      </c>
      <c r="B4" s="16" t="s">
        <v>766</v>
      </c>
      <c r="E4" s="26"/>
      <c r="F4" s="48"/>
      <c r="G4" s="679" t="s">
        <v>767</v>
      </c>
      <c r="H4" s="679"/>
      <c r="I4" s="679"/>
      <c r="J4" s="679"/>
      <c r="K4" s="679"/>
      <c r="L4" s="679"/>
    </row>
    <row r="5" spans="1:12" ht="46.5">
      <c r="A5" s="45" t="s">
        <v>4</v>
      </c>
      <c r="B5" s="46">
        <v>44630</v>
      </c>
      <c r="D5" s="6"/>
      <c r="E5" s="6"/>
      <c r="F5" s="674" t="s">
        <v>768</v>
      </c>
      <c r="G5" s="674"/>
      <c r="H5" s="674"/>
      <c r="I5" s="49"/>
      <c r="J5" s="675"/>
      <c r="K5" s="675"/>
      <c r="L5" s="675"/>
    </row>
    <row r="6" spans="1:12" ht="18.75">
      <c r="A6" s="136"/>
      <c r="B6" s="136"/>
      <c r="C6" s="676" t="s">
        <v>341</v>
      </c>
      <c r="D6" s="677"/>
      <c r="E6" s="678"/>
      <c r="F6" s="136"/>
      <c r="G6" s="136"/>
      <c r="H6" s="136"/>
      <c r="I6" s="136"/>
      <c r="J6" s="136"/>
      <c r="K6" s="47"/>
    </row>
    <row r="7" spans="1:12" ht="57">
      <c r="A7" s="136" t="s">
        <v>7</v>
      </c>
      <c r="B7" s="136" t="s">
        <v>8</v>
      </c>
      <c r="C7" s="136" t="s">
        <v>10</v>
      </c>
      <c r="D7" s="136" t="s">
        <v>11</v>
      </c>
      <c r="E7" s="136" t="s">
        <v>12</v>
      </c>
      <c r="F7" s="136" t="s">
        <v>342</v>
      </c>
      <c r="G7" s="136" t="s">
        <v>14</v>
      </c>
      <c r="H7" s="136" t="s">
        <v>343</v>
      </c>
      <c r="I7" s="136" t="s">
        <v>16</v>
      </c>
      <c r="J7" s="136" t="s">
        <v>18</v>
      </c>
      <c r="K7" s="136" t="s">
        <v>99</v>
      </c>
      <c r="L7" s="329" t="s">
        <v>19</v>
      </c>
    </row>
    <row r="8" spans="1:12" ht="30.75">
      <c r="A8" s="7">
        <v>44160</v>
      </c>
      <c r="B8" s="8">
        <v>1111.79</v>
      </c>
      <c r="C8" s="7">
        <v>44142</v>
      </c>
      <c r="D8" s="2" t="s">
        <v>23</v>
      </c>
      <c r="E8" s="2" t="s">
        <v>24</v>
      </c>
      <c r="F8" s="2">
        <v>134.6</v>
      </c>
      <c r="G8" s="2">
        <v>1204</v>
      </c>
      <c r="H8" s="9" t="s">
        <v>769</v>
      </c>
      <c r="I8" s="9" t="s">
        <v>769</v>
      </c>
      <c r="J8" s="2" t="s">
        <v>26</v>
      </c>
      <c r="K8" s="2"/>
      <c r="L8" s="2"/>
    </row>
    <row r="9" spans="1:12" ht="30.75">
      <c r="A9" s="7">
        <v>44160</v>
      </c>
      <c r="B9" s="8">
        <v>594.72</v>
      </c>
      <c r="C9" s="7">
        <v>44146</v>
      </c>
      <c r="D9" s="2" t="s">
        <v>23</v>
      </c>
      <c r="E9" s="2" t="s">
        <v>24</v>
      </c>
      <c r="F9" s="2">
        <v>72</v>
      </c>
      <c r="G9" s="2">
        <v>1204</v>
      </c>
      <c r="H9" s="9" t="s">
        <v>770</v>
      </c>
      <c r="I9" s="9" t="s">
        <v>770</v>
      </c>
      <c r="J9" s="2" t="s">
        <v>26</v>
      </c>
      <c r="K9" s="2"/>
      <c r="L9" s="2"/>
    </row>
    <row r="10" spans="1:12" ht="30.75">
      <c r="A10" s="7">
        <v>44174</v>
      </c>
      <c r="B10" s="8">
        <v>706.23</v>
      </c>
      <c r="C10" s="7">
        <v>44149</v>
      </c>
      <c r="D10" s="2" t="s">
        <v>23</v>
      </c>
      <c r="E10" s="2" t="s">
        <v>24</v>
      </c>
      <c r="F10" s="2">
        <v>85.5</v>
      </c>
      <c r="G10" s="2">
        <v>1318</v>
      </c>
      <c r="H10" s="9" t="s">
        <v>771</v>
      </c>
      <c r="I10" s="9" t="s">
        <v>771</v>
      </c>
      <c r="J10" s="2" t="s">
        <v>26</v>
      </c>
      <c r="K10" s="2"/>
      <c r="L10" s="2"/>
    </row>
    <row r="11" spans="1:12" ht="30.75">
      <c r="A11" s="7">
        <v>44174</v>
      </c>
      <c r="B11" s="8">
        <v>1057.28</v>
      </c>
      <c r="C11" s="7">
        <v>44156</v>
      </c>
      <c r="D11" s="2" t="s">
        <v>23</v>
      </c>
      <c r="E11" s="2" t="s">
        <v>24</v>
      </c>
      <c r="F11" s="2">
        <v>128</v>
      </c>
      <c r="G11" s="2">
        <v>1318</v>
      </c>
      <c r="H11" s="9" t="s">
        <v>772</v>
      </c>
      <c r="I11" s="9" t="s">
        <v>772</v>
      </c>
      <c r="J11" s="2" t="s">
        <v>26</v>
      </c>
      <c r="K11" s="2"/>
      <c r="L11" s="2"/>
    </row>
    <row r="12" spans="1:12" ht="30.75">
      <c r="A12" s="7">
        <v>44183</v>
      </c>
      <c r="B12" s="8">
        <v>1314.99</v>
      </c>
      <c r="C12" s="7">
        <v>44163</v>
      </c>
      <c r="D12" s="2" t="s">
        <v>23</v>
      </c>
      <c r="E12" s="2" t="s">
        <v>24</v>
      </c>
      <c r="F12" s="2">
        <v>159.19999999999999</v>
      </c>
      <c r="G12" s="2">
        <v>1399</v>
      </c>
      <c r="H12" s="9" t="s">
        <v>773</v>
      </c>
      <c r="I12" s="9" t="s">
        <v>773</v>
      </c>
      <c r="J12" s="2" t="s">
        <v>26</v>
      </c>
      <c r="K12" s="2"/>
      <c r="L12" s="2"/>
    </row>
    <row r="13" spans="1:12" ht="30.75">
      <c r="A13" s="55">
        <v>44183</v>
      </c>
      <c r="B13" s="67">
        <v>1139.8800000000001</v>
      </c>
      <c r="C13" s="55">
        <v>44170</v>
      </c>
      <c r="D13" s="53" t="s">
        <v>23</v>
      </c>
      <c r="E13" s="53" t="s">
        <v>24</v>
      </c>
      <c r="F13" s="53">
        <v>138</v>
      </c>
      <c r="G13" s="53">
        <v>1399</v>
      </c>
      <c r="H13" s="56" t="s">
        <v>774</v>
      </c>
      <c r="I13" s="56" t="s">
        <v>774</v>
      </c>
      <c r="J13" s="53" t="s">
        <v>26</v>
      </c>
      <c r="K13" s="53"/>
      <c r="L13" s="2"/>
    </row>
    <row r="14" spans="1:12" ht="30.75">
      <c r="A14" s="55">
        <v>44187</v>
      </c>
      <c r="B14" s="67">
        <v>437.78</v>
      </c>
      <c r="C14" s="55">
        <v>44174</v>
      </c>
      <c r="D14" s="53" t="s">
        <v>23</v>
      </c>
      <c r="E14" s="53" t="s">
        <v>24</v>
      </c>
      <c r="F14" s="53">
        <v>53</v>
      </c>
      <c r="G14" s="53">
        <v>1435</v>
      </c>
      <c r="H14" s="56" t="s">
        <v>775</v>
      </c>
      <c r="I14" s="56" t="s">
        <v>775</v>
      </c>
      <c r="J14" s="53" t="s">
        <v>26</v>
      </c>
      <c r="K14" s="53"/>
      <c r="L14" s="2"/>
    </row>
    <row r="15" spans="1:12" ht="30.75">
      <c r="A15" s="55">
        <v>44187</v>
      </c>
      <c r="B15" s="67">
        <v>521.61</v>
      </c>
      <c r="C15" s="55">
        <v>44176</v>
      </c>
      <c r="D15" s="53" t="s">
        <v>23</v>
      </c>
      <c r="E15" s="53" t="s">
        <v>24</v>
      </c>
      <c r="F15" s="53">
        <v>63.15</v>
      </c>
      <c r="G15" s="53">
        <v>1435</v>
      </c>
      <c r="H15" s="56" t="s">
        <v>776</v>
      </c>
      <c r="I15" s="56" t="s">
        <v>776</v>
      </c>
      <c r="J15" s="53" t="s">
        <v>26</v>
      </c>
      <c r="K15" s="53"/>
      <c r="L15" s="2"/>
    </row>
    <row r="16" spans="1:12" ht="30.75">
      <c r="A16" s="55">
        <v>44201</v>
      </c>
      <c r="B16" s="67">
        <v>313.05</v>
      </c>
      <c r="C16" s="55">
        <v>44180</v>
      </c>
      <c r="D16" s="53" t="s">
        <v>23</v>
      </c>
      <c r="E16" s="53" t="s">
        <v>24</v>
      </c>
      <c r="F16" s="53">
        <v>37.9</v>
      </c>
      <c r="G16" s="53">
        <v>1528</v>
      </c>
      <c r="H16" s="56" t="s">
        <v>777</v>
      </c>
      <c r="I16" s="56" t="s">
        <v>778</v>
      </c>
      <c r="J16" s="53" t="s">
        <v>26</v>
      </c>
      <c r="K16" s="53"/>
      <c r="L16" s="2"/>
    </row>
    <row r="17" spans="1:12" ht="30.75">
      <c r="A17" s="55">
        <v>44201</v>
      </c>
      <c r="B17" s="67">
        <v>920.99</v>
      </c>
      <c r="C17" s="55">
        <v>44187</v>
      </c>
      <c r="D17" s="53" t="s">
        <v>23</v>
      </c>
      <c r="E17" s="53" t="s">
        <v>24</v>
      </c>
      <c r="F17" s="53">
        <v>111.5</v>
      </c>
      <c r="G17" s="53">
        <v>1528</v>
      </c>
      <c r="H17" s="56" t="s">
        <v>779</v>
      </c>
      <c r="I17" s="56" t="s">
        <v>780</v>
      </c>
      <c r="J17" s="53" t="s">
        <v>26</v>
      </c>
      <c r="K17" s="53"/>
      <c r="L17" s="2"/>
    </row>
    <row r="18" spans="1:12" ht="30.75">
      <c r="A18" s="55">
        <v>44201</v>
      </c>
      <c r="B18" s="67">
        <v>353.52</v>
      </c>
      <c r="C18" s="55">
        <v>44191</v>
      </c>
      <c r="D18" s="53" t="s">
        <v>23</v>
      </c>
      <c r="E18" s="53" t="s">
        <v>24</v>
      </c>
      <c r="F18" s="53">
        <v>42.8</v>
      </c>
      <c r="G18" s="53">
        <v>1528</v>
      </c>
      <c r="H18" s="56" t="s">
        <v>781</v>
      </c>
      <c r="I18" s="56" t="s">
        <v>782</v>
      </c>
      <c r="J18" s="53" t="s">
        <v>26</v>
      </c>
      <c r="K18" s="53"/>
      <c r="L18" s="2"/>
    </row>
    <row r="19" spans="1:12" ht="30.75">
      <c r="A19" s="55">
        <v>44201</v>
      </c>
      <c r="B19" s="67">
        <v>173.46</v>
      </c>
      <c r="C19" s="55">
        <v>44194</v>
      </c>
      <c r="D19" s="53" t="s">
        <v>23</v>
      </c>
      <c r="E19" s="53" t="s">
        <v>24</v>
      </c>
      <c r="F19" s="53">
        <v>21</v>
      </c>
      <c r="G19" s="53">
        <v>1528</v>
      </c>
      <c r="H19" s="56" t="s">
        <v>783</v>
      </c>
      <c r="I19" s="56" t="s">
        <v>784</v>
      </c>
      <c r="J19" s="53" t="s">
        <v>26</v>
      </c>
      <c r="K19" s="53"/>
      <c r="L19" s="2"/>
    </row>
    <row r="20" spans="1:12" ht="30.75">
      <c r="A20" s="71">
        <v>44232</v>
      </c>
      <c r="B20" s="72">
        <v>340.31</v>
      </c>
      <c r="C20" s="71">
        <v>44198</v>
      </c>
      <c r="D20" s="73" t="s">
        <v>23</v>
      </c>
      <c r="E20" s="73" t="s">
        <v>24</v>
      </c>
      <c r="F20" s="73">
        <v>41.2</v>
      </c>
      <c r="G20" s="73">
        <v>1815</v>
      </c>
      <c r="H20" s="74" t="s">
        <v>785</v>
      </c>
      <c r="I20" s="74" t="s">
        <v>786</v>
      </c>
      <c r="J20" s="73" t="s">
        <v>26</v>
      </c>
      <c r="K20" s="73"/>
      <c r="L20" s="2"/>
    </row>
    <row r="21" spans="1:12" ht="30.75">
      <c r="A21" s="71">
        <v>44232</v>
      </c>
      <c r="B21" s="72">
        <v>488.99</v>
      </c>
      <c r="C21" s="71">
        <v>44202</v>
      </c>
      <c r="D21" s="73" t="s">
        <v>23</v>
      </c>
      <c r="E21" s="73" t="s">
        <v>24</v>
      </c>
      <c r="F21" s="73">
        <v>59.2</v>
      </c>
      <c r="G21" s="73">
        <v>1815</v>
      </c>
      <c r="H21" s="74" t="s">
        <v>787</v>
      </c>
      <c r="I21" s="74" t="s">
        <v>788</v>
      </c>
      <c r="J21" s="73" t="s">
        <v>26</v>
      </c>
      <c r="K21" s="73"/>
      <c r="L21" s="2"/>
    </row>
    <row r="22" spans="1:12" ht="30.75">
      <c r="A22" s="71">
        <v>44232</v>
      </c>
      <c r="B22" s="229">
        <v>408.87</v>
      </c>
      <c r="C22" s="71">
        <v>44205</v>
      </c>
      <c r="D22" s="73" t="s">
        <v>23</v>
      </c>
      <c r="E22" s="73" t="s">
        <v>24</v>
      </c>
      <c r="F22" s="73">
        <v>49.5</v>
      </c>
      <c r="G22" s="73">
        <v>1815</v>
      </c>
      <c r="H22" s="74" t="s">
        <v>789</v>
      </c>
      <c r="I22" s="74" t="s">
        <v>790</v>
      </c>
      <c r="J22" s="73" t="s">
        <v>26</v>
      </c>
      <c r="K22" s="73"/>
      <c r="L22" s="2"/>
    </row>
    <row r="23" spans="1:12" ht="30.75">
      <c r="A23" s="71">
        <v>44232</v>
      </c>
      <c r="B23" s="229">
        <v>253.58</v>
      </c>
      <c r="C23" s="71">
        <v>44208</v>
      </c>
      <c r="D23" s="73" t="s">
        <v>23</v>
      </c>
      <c r="E23" s="73" t="s">
        <v>24</v>
      </c>
      <c r="F23" s="75">
        <v>30.7</v>
      </c>
      <c r="G23" s="73">
        <v>1815</v>
      </c>
      <c r="H23" s="74" t="s">
        <v>791</v>
      </c>
      <c r="I23" s="74" t="s">
        <v>792</v>
      </c>
      <c r="J23" s="73" t="s">
        <v>26</v>
      </c>
      <c r="K23" s="73"/>
      <c r="L23" s="2"/>
    </row>
    <row r="24" spans="1:12" ht="30.75">
      <c r="A24" s="71">
        <v>44232</v>
      </c>
      <c r="B24" s="230">
        <v>707.05</v>
      </c>
      <c r="C24" s="71">
        <v>44211</v>
      </c>
      <c r="D24" s="73" t="s">
        <v>23</v>
      </c>
      <c r="E24" s="73" t="s">
        <v>24</v>
      </c>
      <c r="F24" s="73">
        <v>85.6</v>
      </c>
      <c r="G24" s="73">
        <v>1815</v>
      </c>
      <c r="H24" s="74" t="s">
        <v>793</v>
      </c>
      <c r="I24" s="74" t="s">
        <v>794</v>
      </c>
      <c r="J24" s="73" t="s">
        <v>26</v>
      </c>
      <c r="K24" s="73"/>
      <c r="L24" s="2"/>
    </row>
    <row r="25" spans="1:12" ht="30.75">
      <c r="A25" s="71">
        <v>44232</v>
      </c>
      <c r="B25" s="230">
        <v>632.71</v>
      </c>
      <c r="C25" s="71">
        <v>44215</v>
      </c>
      <c r="D25" s="73" t="s">
        <v>23</v>
      </c>
      <c r="E25" s="73" t="s">
        <v>24</v>
      </c>
      <c r="F25" s="73">
        <v>76.599999999999994</v>
      </c>
      <c r="G25" s="73">
        <v>1815</v>
      </c>
      <c r="H25" s="74" t="s">
        <v>795</v>
      </c>
      <c r="I25" s="74" t="s">
        <v>796</v>
      </c>
      <c r="J25" s="73" t="s">
        <v>26</v>
      </c>
      <c r="K25" s="73"/>
      <c r="L25" s="2"/>
    </row>
    <row r="26" spans="1:12" ht="30.75">
      <c r="A26" s="71">
        <v>44232</v>
      </c>
      <c r="B26" s="229">
        <v>420.43</v>
      </c>
      <c r="C26" s="71">
        <v>44218</v>
      </c>
      <c r="D26" s="73" t="s">
        <v>23</v>
      </c>
      <c r="E26" s="73" t="s">
        <v>24</v>
      </c>
      <c r="F26" s="73">
        <v>50.9</v>
      </c>
      <c r="G26" s="73">
        <v>1815</v>
      </c>
      <c r="H26" s="74" t="s">
        <v>797</v>
      </c>
      <c r="I26" s="74" t="s">
        <v>798</v>
      </c>
      <c r="J26" s="73" t="s">
        <v>26</v>
      </c>
      <c r="K26" s="73"/>
      <c r="L26" s="2"/>
    </row>
    <row r="27" spans="1:12" ht="30.75">
      <c r="A27" s="71">
        <v>44232</v>
      </c>
      <c r="B27" s="229">
        <v>636.84</v>
      </c>
      <c r="C27" s="71">
        <v>44222</v>
      </c>
      <c r="D27" s="73" t="s">
        <v>23</v>
      </c>
      <c r="E27" s="73" t="s">
        <v>24</v>
      </c>
      <c r="F27" s="73">
        <v>77.099999999999994</v>
      </c>
      <c r="G27" s="73">
        <v>1815</v>
      </c>
      <c r="H27" s="74" t="s">
        <v>799</v>
      </c>
      <c r="I27" s="74" t="s">
        <v>800</v>
      </c>
      <c r="J27" s="73" t="s">
        <v>26</v>
      </c>
      <c r="K27" s="73"/>
      <c r="L27" s="2"/>
    </row>
    <row r="28" spans="1:12" ht="30.75">
      <c r="A28" s="71">
        <v>44232</v>
      </c>
      <c r="B28" s="229">
        <v>708.7</v>
      </c>
      <c r="C28" s="71">
        <v>44225</v>
      </c>
      <c r="D28" s="73" t="s">
        <v>23</v>
      </c>
      <c r="E28" s="73" t="s">
        <v>24</v>
      </c>
      <c r="F28" s="73">
        <v>85.8</v>
      </c>
      <c r="G28" s="73">
        <v>1815</v>
      </c>
      <c r="H28" s="74" t="s">
        <v>801</v>
      </c>
      <c r="I28" s="74" t="s">
        <v>802</v>
      </c>
      <c r="J28" s="73" t="s">
        <v>26</v>
      </c>
      <c r="K28" s="73"/>
      <c r="L28" s="2"/>
    </row>
    <row r="29" spans="1:12" ht="30.75">
      <c r="A29" s="99">
        <v>44263</v>
      </c>
      <c r="B29" s="231">
        <v>747.53</v>
      </c>
      <c r="C29" s="99">
        <v>44230</v>
      </c>
      <c r="D29" s="100" t="s">
        <v>23</v>
      </c>
      <c r="E29" s="100" t="s">
        <v>24</v>
      </c>
      <c r="F29" s="100">
        <v>90.5</v>
      </c>
      <c r="G29" s="101" t="s">
        <v>803</v>
      </c>
      <c r="H29" s="101" t="s">
        <v>804</v>
      </c>
      <c r="I29" s="101" t="s">
        <v>805</v>
      </c>
      <c r="J29" s="100" t="s">
        <v>26</v>
      </c>
      <c r="K29" s="2"/>
      <c r="L29" s="2"/>
    </row>
    <row r="30" spans="1:12" ht="30.75">
      <c r="A30" s="99">
        <v>44263</v>
      </c>
      <c r="B30" s="231">
        <v>578.20000000000005</v>
      </c>
      <c r="C30" s="99">
        <v>44236</v>
      </c>
      <c r="D30" s="100" t="s">
        <v>23</v>
      </c>
      <c r="E30" s="100" t="s">
        <v>24</v>
      </c>
      <c r="F30" s="100">
        <v>70</v>
      </c>
      <c r="G30" s="101" t="s">
        <v>803</v>
      </c>
      <c r="H30" s="101" t="s">
        <v>806</v>
      </c>
      <c r="I30" s="101" t="s">
        <v>807</v>
      </c>
      <c r="J30" s="100" t="s">
        <v>26</v>
      </c>
      <c r="K30" s="2"/>
      <c r="L30" s="2"/>
    </row>
    <row r="31" spans="1:12" ht="30.75">
      <c r="A31" s="99">
        <v>44263</v>
      </c>
      <c r="B31" s="231">
        <v>368.39</v>
      </c>
      <c r="C31" s="99">
        <v>44239</v>
      </c>
      <c r="D31" s="100" t="s">
        <v>23</v>
      </c>
      <c r="E31" s="100" t="s">
        <v>24</v>
      </c>
      <c r="F31" s="100">
        <v>44.6</v>
      </c>
      <c r="G31" s="101" t="s">
        <v>803</v>
      </c>
      <c r="H31" s="101" t="s">
        <v>808</v>
      </c>
      <c r="I31" s="101" t="s">
        <v>809</v>
      </c>
      <c r="J31" s="100" t="s">
        <v>26</v>
      </c>
      <c r="K31" s="2"/>
      <c r="L31" s="2"/>
    </row>
    <row r="32" spans="1:12" ht="30.75">
      <c r="A32" s="99">
        <v>44263</v>
      </c>
      <c r="B32" s="231">
        <v>356.83</v>
      </c>
      <c r="C32" s="99">
        <v>44243</v>
      </c>
      <c r="D32" s="100" t="s">
        <v>23</v>
      </c>
      <c r="E32" s="100" t="s">
        <v>24</v>
      </c>
      <c r="F32" s="100">
        <v>43.2</v>
      </c>
      <c r="G32" s="101" t="s">
        <v>803</v>
      </c>
      <c r="H32" s="101" t="s">
        <v>810</v>
      </c>
      <c r="I32" s="101" t="s">
        <v>811</v>
      </c>
      <c r="J32" s="100" t="s">
        <v>26</v>
      </c>
      <c r="K32" s="2"/>
      <c r="L32" s="2"/>
    </row>
    <row r="33" spans="1:12" ht="30.75">
      <c r="A33" s="99">
        <v>44263</v>
      </c>
      <c r="B33" s="231">
        <v>396.48</v>
      </c>
      <c r="C33" s="99">
        <v>44247</v>
      </c>
      <c r="D33" s="100" t="s">
        <v>23</v>
      </c>
      <c r="E33" s="100" t="s">
        <v>24</v>
      </c>
      <c r="F33" s="100">
        <v>48</v>
      </c>
      <c r="G33" s="101" t="s">
        <v>803</v>
      </c>
      <c r="H33" s="101" t="s">
        <v>812</v>
      </c>
      <c r="I33" s="101" t="s">
        <v>813</v>
      </c>
      <c r="J33" s="100" t="s">
        <v>26</v>
      </c>
      <c r="K33" s="2"/>
      <c r="L33" s="2"/>
    </row>
    <row r="34" spans="1:12" ht="30.75">
      <c r="A34" s="99">
        <v>44263</v>
      </c>
      <c r="B34" s="231">
        <v>429.52</v>
      </c>
      <c r="C34" s="99">
        <v>44251</v>
      </c>
      <c r="D34" s="100" t="s">
        <v>23</v>
      </c>
      <c r="E34" s="100" t="s">
        <v>24</v>
      </c>
      <c r="F34" s="100">
        <v>52</v>
      </c>
      <c r="G34" s="101" t="s">
        <v>803</v>
      </c>
      <c r="H34" s="101" t="s">
        <v>814</v>
      </c>
      <c r="I34" s="101" t="s">
        <v>815</v>
      </c>
      <c r="J34" s="100" t="s">
        <v>26</v>
      </c>
      <c r="K34" s="2"/>
      <c r="L34" s="2"/>
    </row>
    <row r="35" spans="1:12" ht="30.75">
      <c r="A35" s="99">
        <v>44263</v>
      </c>
      <c r="B35" s="231">
        <v>457.6</v>
      </c>
      <c r="C35" s="99">
        <v>44253</v>
      </c>
      <c r="D35" s="100" t="s">
        <v>23</v>
      </c>
      <c r="E35" s="100" t="s">
        <v>24</v>
      </c>
      <c r="F35" s="100">
        <v>55.4</v>
      </c>
      <c r="G35" s="101" t="s">
        <v>803</v>
      </c>
      <c r="H35" s="101" t="s">
        <v>816</v>
      </c>
      <c r="I35" s="101" t="s">
        <v>817</v>
      </c>
      <c r="J35" s="100" t="s">
        <v>26</v>
      </c>
      <c r="K35" s="2"/>
      <c r="L35" s="2"/>
    </row>
    <row r="36" spans="1:12">
      <c r="A36" s="2"/>
      <c r="B36" s="232" t="s">
        <v>818</v>
      </c>
      <c r="C36" s="7"/>
      <c r="D36" s="2"/>
      <c r="E36" s="2"/>
      <c r="F36" s="2"/>
      <c r="G36" s="9"/>
      <c r="H36" s="9"/>
      <c r="I36" s="9"/>
      <c r="J36" s="2"/>
      <c r="K36" s="2"/>
      <c r="L36" s="2"/>
    </row>
    <row r="37" spans="1:12" ht="30.75">
      <c r="A37" s="102">
        <v>44296</v>
      </c>
      <c r="B37" s="233">
        <v>487.42</v>
      </c>
      <c r="C37" s="102">
        <v>44257</v>
      </c>
      <c r="D37" s="104" t="s">
        <v>23</v>
      </c>
      <c r="E37" s="104" t="s">
        <v>24</v>
      </c>
      <c r="F37" s="104">
        <v>59.01</v>
      </c>
      <c r="G37" s="105" t="s">
        <v>819</v>
      </c>
      <c r="H37" s="105" t="s">
        <v>468</v>
      </c>
      <c r="I37" s="105" t="s">
        <v>820</v>
      </c>
      <c r="J37" s="104" t="s">
        <v>26</v>
      </c>
      <c r="K37" s="2"/>
      <c r="L37" s="2"/>
    </row>
    <row r="38" spans="1:12" ht="30.75">
      <c r="A38" s="102">
        <v>44296</v>
      </c>
      <c r="B38" s="233">
        <v>1169.6099999999999</v>
      </c>
      <c r="C38" s="102">
        <v>44264</v>
      </c>
      <c r="D38" s="104" t="s">
        <v>23</v>
      </c>
      <c r="E38" s="104" t="s">
        <v>24</v>
      </c>
      <c r="F38" s="104">
        <v>141.6</v>
      </c>
      <c r="G38" s="105" t="s">
        <v>819</v>
      </c>
      <c r="H38" s="105" t="s">
        <v>821</v>
      </c>
      <c r="I38" s="105" t="s">
        <v>822</v>
      </c>
      <c r="J38" s="104" t="s">
        <v>26</v>
      </c>
      <c r="K38" s="2"/>
      <c r="L38" s="2"/>
    </row>
    <row r="39" spans="1:12" ht="30.75">
      <c r="A39" s="102">
        <v>44296</v>
      </c>
      <c r="B39" s="234">
        <v>469.99</v>
      </c>
      <c r="C39" s="102">
        <v>44268</v>
      </c>
      <c r="D39" s="104" t="s">
        <v>23</v>
      </c>
      <c r="E39" s="104" t="s">
        <v>24</v>
      </c>
      <c r="F39" s="104">
        <v>56.9</v>
      </c>
      <c r="G39" s="105" t="s">
        <v>819</v>
      </c>
      <c r="H39" s="105" t="s">
        <v>823</v>
      </c>
      <c r="I39" s="105" t="s">
        <v>824</v>
      </c>
      <c r="J39" s="104" t="s">
        <v>26</v>
      </c>
      <c r="K39" s="2"/>
      <c r="L39" s="2"/>
    </row>
    <row r="40" spans="1:12" ht="30.75">
      <c r="A40" s="102">
        <v>44296</v>
      </c>
      <c r="B40" s="233">
        <v>426.21</v>
      </c>
      <c r="C40" s="102">
        <v>44272</v>
      </c>
      <c r="D40" s="104" t="s">
        <v>23</v>
      </c>
      <c r="E40" s="104" t="s">
        <v>24</v>
      </c>
      <c r="F40" s="104">
        <v>51.6</v>
      </c>
      <c r="G40" s="105" t="s">
        <v>819</v>
      </c>
      <c r="H40" s="105" t="s">
        <v>825</v>
      </c>
      <c r="I40" s="105" t="s">
        <v>826</v>
      </c>
      <c r="J40" s="104" t="s">
        <v>26</v>
      </c>
      <c r="K40" s="2"/>
      <c r="L40" s="2"/>
    </row>
    <row r="41" spans="1:12" ht="30.75">
      <c r="A41" s="102">
        <v>44296</v>
      </c>
      <c r="B41" s="233">
        <v>867.3</v>
      </c>
      <c r="C41" s="102">
        <v>44278</v>
      </c>
      <c r="D41" s="104" t="s">
        <v>23</v>
      </c>
      <c r="E41" s="104" t="s">
        <v>24</v>
      </c>
      <c r="F41" s="104">
        <v>105</v>
      </c>
      <c r="G41" s="105" t="s">
        <v>819</v>
      </c>
      <c r="H41" s="105" t="s">
        <v>827</v>
      </c>
      <c r="I41" s="105" t="s">
        <v>828</v>
      </c>
      <c r="J41" s="104" t="s">
        <v>26</v>
      </c>
      <c r="K41" s="2"/>
      <c r="L41" s="2"/>
    </row>
    <row r="42" spans="1:12" ht="30.75">
      <c r="A42" s="102">
        <v>44296</v>
      </c>
      <c r="B42" s="233">
        <v>1180.76</v>
      </c>
      <c r="C42" s="102">
        <v>44285</v>
      </c>
      <c r="D42" s="104" t="s">
        <v>23</v>
      </c>
      <c r="E42" s="104" t="s">
        <v>24</v>
      </c>
      <c r="F42" s="104">
        <v>142.94999999999999</v>
      </c>
      <c r="G42" s="105" t="s">
        <v>819</v>
      </c>
      <c r="H42" s="105" t="s">
        <v>829</v>
      </c>
      <c r="I42" s="105" t="s">
        <v>830</v>
      </c>
      <c r="J42" s="104" t="s">
        <v>26</v>
      </c>
      <c r="K42" s="2"/>
      <c r="L42" s="2"/>
    </row>
    <row r="43" spans="1:12" ht="18.75">
      <c r="A43" s="2"/>
      <c r="B43" s="235" t="s">
        <v>831</v>
      </c>
      <c r="C43" s="7"/>
      <c r="D43" s="2"/>
      <c r="E43" s="2"/>
      <c r="F43" s="2"/>
      <c r="G43" s="2"/>
      <c r="H43" s="9"/>
      <c r="I43" s="9"/>
      <c r="J43" s="2"/>
      <c r="K43" s="2"/>
      <c r="L43" s="2"/>
    </row>
    <row r="44" spans="1:12" ht="30.75">
      <c r="A44" s="106"/>
      <c r="B44" s="236">
        <v>571.59</v>
      </c>
      <c r="C44" s="107">
        <v>44289</v>
      </c>
      <c r="D44" s="106" t="s">
        <v>23</v>
      </c>
      <c r="E44" s="106" t="s">
        <v>24</v>
      </c>
      <c r="F44" s="106">
        <v>69.2</v>
      </c>
      <c r="G44" s="108" t="s">
        <v>832</v>
      </c>
      <c r="H44" s="108" t="s">
        <v>833</v>
      </c>
      <c r="I44" s="108" t="s">
        <v>834</v>
      </c>
      <c r="J44" s="106" t="s">
        <v>26</v>
      </c>
      <c r="K44" s="106"/>
      <c r="L44" s="2"/>
    </row>
    <row r="45" spans="1:12" ht="30.75">
      <c r="A45" s="106"/>
      <c r="B45" s="236">
        <v>630.23</v>
      </c>
      <c r="C45" s="107">
        <v>44293</v>
      </c>
      <c r="D45" s="106" t="s">
        <v>23</v>
      </c>
      <c r="E45" s="106" t="s">
        <v>24</v>
      </c>
      <c r="F45" s="106">
        <v>76.3</v>
      </c>
      <c r="G45" s="108" t="s">
        <v>832</v>
      </c>
      <c r="H45" s="108" t="s">
        <v>835</v>
      </c>
      <c r="I45" s="108" t="s">
        <v>836</v>
      </c>
      <c r="J45" s="106" t="s">
        <v>26</v>
      </c>
      <c r="K45" s="106"/>
      <c r="L45" s="2"/>
    </row>
    <row r="46" spans="1:12" ht="30.75">
      <c r="A46" s="106"/>
      <c r="B46" s="236">
        <v>1348.03</v>
      </c>
      <c r="C46" s="107">
        <v>44302</v>
      </c>
      <c r="D46" s="106" t="s">
        <v>23</v>
      </c>
      <c r="E46" s="106" t="s">
        <v>24</v>
      </c>
      <c r="F46" s="106">
        <v>163.19999999999999</v>
      </c>
      <c r="G46" s="108" t="s">
        <v>832</v>
      </c>
      <c r="H46" s="108" t="s">
        <v>837</v>
      </c>
      <c r="I46" s="108" t="s">
        <v>838</v>
      </c>
      <c r="J46" s="106" t="s">
        <v>26</v>
      </c>
      <c r="K46" s="106"/>
      <c r="L46" s="2"/>
    </row>
    <row r="47" spans="1:12" ht="30.75">
      <c r="A47" s="106"/>
      <c r="B47" s="236">
        <v>800.8</v>
      </c>
      <c r="C47" s="107">
        <v>44306</v>
      </c>
      <c r="D47" s="106" t="s">
        <v>23</v>
      </c>
      <c r="E47" s="106" t="s">
        <v>24</v>
      </c>
      <c r="F47" s="106">
        <v>96.95</v>
      </c>
      <c r="G47" s="108" t="s">
        <v>832</v>
      </c>
      <c r="H47" s="108" t="s">
        <v>839</v>
      </c>
      <c r="I47" s="108" t="s">
        <v>840</v>
      </c>
      <c r="J47" s="106" t="s">
        <v>26</v>
      </c>
      <c r="K47" s="106"/>
      <c r="L47" s="2"/>
    </row>
    <row r="48" spans="1:12" ht="30.75">
      <c r="A48" s="106"/>
      <c r="B48" s="236">
        <v>307.68</v>
      </c>
      <c r="C48" s="107">
        <v>44308</v>
      </c>
      <c r="D48" s="106" t="s">
        <v>23</v>
      </c>
      <c r="E48" s="106" t="s">
        <v>24</v>
      </c>
      <c r="F48" s="106">
        <v>37.25</v>
      </c>
      <c r="G48" s="108" t="s">
        <v>832</v>
      </c>
      <c r="H48" s="108" t="s">
        <v>841</v>
      </c>
      <c r="I48" s="108" t="s">
        <v>842</v>
      </c>
      <c r="J48" s="106" t="s">
        <v>26</v>
      </c>
      <c r="K48" s="106"/>
      <c r="L48" s="2"/>
    </row>
    <row r="49" spans="1:12" ht="30.75">
      <c r="A49" s="106"/>
      <c r="B49" s="236">
        <v>248.21</v>
      </c>
      <c r="C49" s="107">
        <v>44310</v>
      </c>
      <c r="D49" s="106" t="s">
        <v>23</v>
      </c>
      <c r="E49" s="106" t="s">
        <v>24</v>
      </c>
      <c r="F49" s="106">
        <v>30.05</v>
      </c>
      <c r="G49" s="108" t="s">
        <v>832</v>
      </c>
      <c r="H49" s="108" t="s">
        <v>843</v>
      </c>
      <c r="I49" s="108" t="s">
        <v>844</v>
      </c>
      <c r="J49" s="106" t="s">
        <v>26</v>
      </c>
      <c r="K49" s="106"/>
      <c r="L49" s="2"/>
    </row>
    <row r="50" spans="1:12" ht="30.75">
      <c r="A50" s="106"/>
      <c r="B50" s="236">
        <v>346.92</v>
      </c>
      <c r="C50" s="107">
        <v>44313</v>
      </c>
      <c r="D50" s="106" t="s">
        <v>23</v>
      </c>
      <c r="E50" s="106" t="s">
        <v>24</v>
      </c>
      <c r="F50" s="106">
        <v>42</v>
      </c>
      <c r="G50" s="108" t="s">
        <v>832</v>
      </c>
      <c r="H50" s="108" t="s">
        <v>845</v>
      </c>
      <c r="I50" s="108" t="s">
        <v>846</v>
      </c>
      <c r="J50" s="106" t="s">
        <v>26</v>
      </c>
      <c r="K50" s="106"/>
      <c r="L50" s="2"/>
    </row>
    <row r="51" spans="1:12" ht="30.75">
      <c r="A51" s="106"/>
      <c r="B51" s="236">
        <v>253.99</v>
      </c>
      <c r="C51" s="107">
        <v>44315</v>
      </c>
      <c r="D51" s="106" t="s">
        <v>23</v>
      </c>
      <c r="E51" s="106" t="s">
        <v>24</v>
      </c>
      <c r="F51" s="106">
        <v>30.75</v>
      </c>
      <c r="G51" s="108" t="s">
        <v>832</v>
      </c>
      <c r="H51" s="108" t="s">
        <v>486</v>
      </c>
      <c r="I51" s="108" t="s">
        <v>847</v>
      </c>
      <c r="J51" s="106" t="s">
        <v>26</v>
      </c>
      <c r="K51" s="106"/>
      <c r="L51" s="2"/>
    </row>
    <row r="52" spans="1:12" ht="36.75" customHeight="1">
      <c r="A52" s="2"/>
      <c r="B52" s="237" t="s">
        <v>848</v>
      </c>
      <c r="C52" s="7"/>
      <c r="D52" s="2"/>
      <c r="E52" s="2"/>
      <c r="F52" s="2"/>
      <c r="G52" s="2"/>
      <c r="H52" s="9"/>
      <c r="I52" s="9"/>
      <c r="J52" s="2"/>
      <c r="K52" s="2"/>
      <c r="L52" s="2"/>
    </row>
    <row r="53" spans="1:12" ht="30.75">
      <c r="A53" s="119">
        <v>44355</v>
      </c>
      <c r="B53" s="238">
        <v>347.74</v>
      </c>
      <c r="C53" s="119">
        <v>44317</v>
      </c>
      <c r="D53" s="118" t="s">
        <v>23</v>
      </c>
      <c r="E53" s="118"/>
      <c r="F53" s="118">
        <v>42.1</v>
      </c>
      <c r="G53" s="118">
        <v>929</v>
      </c>
      <c r="H53" s="120" t="s">
        <v>849</v>
      </c>
      <c r="I53" s="120" t="s">
        <v>850</v>
      </c>
      <c r="J53" s="118" t="s">
        <v>26</v>
      </c>
      <c r="K53" s="118"/>
      <c r="L53" s="2"/>
    </row>
    <row r="54" spans="1:12" ht="30.75">
      <c r="A54" s="119">
        <v>44355</v>
      </c>
      <c r="B54" s="238">
        <v>446.04</v>
      </c>
      <c r="C54" s="119">
        <v>44320</v>
      </c>
      <c r="D54" s="118" t="s">
        <v>23</v>
      </c>
      <c r="E54" s="118"/>
      <c r="F54" s="118">
        <v>54</v>
      </c>
      <c r="G54" s="118">
        <v>929</v>
      </c>
      <c r="H54" s="120" t="s">
        <v>482</v>
      </c>
      <c r="I54" s="120" t="s">
        <v>851</v>
      </c>
      <c r="J54" s="118" t="s">
        <v>26</v>
      </c>
      <c r="K54" s="118"/>
      <c r="L54" s="2"/>
    </row>
    <row r="55" spans="1:12" ht="30.75">
      <c r="A55" s="119">
        <v>44355</v>
      </c>
      <c r="B55" s="238">
        <v>348.15</v>
      </c>
      <c r="C55" s="119">
        <v>44322</v>
      </c>
      <c r="D55" s="118" t="s">
        <v>23</v>
      </c>
      <c r="E55" s="118"/>
      <c r="F55" s="118">
        <v>42.15</v>
      </c>
      <c r="G55" s="118">
        <v>929</v>
      </c>
      <c r="H55" s="120" t="s">
        <v>852</v>
      </c>
      <c r="I55" s="120" t="s">
        <v>853</v>
      </c>
      <c r="J55" s="118" t="s">
        <v>26</v>
      </c>
      <c r="K55" s="118"/>
      <c r="L55" s="2"/>
    </row>
    <row r="56" spans="1:12" ht="30.75">
      <c r="A56" s="119">
        <v>44355</v>
      </c>
      <c r="B56" s="238">
        <v>747.53</v>
      </c>
      <c r="C56" s="119">
        <v>44326</v>
      </c>
      <c r="D56" s="118" t="s">
        <v>23</v>
      </c>
      <c r="E56" s="118"/>
      <c r="F56" s="118">
        <v>90.5</v>
      </c>
      <c r="G56" s="118">
        <v>929</v>
      </c>
      <c r="H56" s="120" t="s">
        <v>480</v>
      </c>
      <c r="I56" s="120" t="s">
        <v>854</v>
      </c>
      <c r="J56" s="118" t="s">
        <v>26</v>
      </c>
      <c r="K56" s="118"/>
      <c r="L56" s="2"/>
    </row>
    <row r="57" spans="1:12" ht="30.75">
      <c r="A57" s="119">
        <v>44355</v>
      </c>
      <c r="B57" s="238">
        <v>342.79</v>
      </c>
      <c r="C57" s="119">
        <v>44328</v>
      </c>
      <c r="D57" s="118" t="s">
        <v>23</v>
      </c>
      <c r="E57" s="118"/>
      <c r="F57" s="118">
        <v>41.5</v>
      </c>
      <c r="G57" s="118">
        <v>929</v>
      </c>
      <c r="H57" s="120" t="s">
        <v>855</v>
      </c>
      <c r="I57" s="120" t="s">
        <v>856</v>
      </c>
      <c r="J57" s="118" t="s">
        <v>26</v>
      </c>
      <c r="K57" s="118"/>
      <c r="L57" s="2"/>
    </row>
    <row r="58" spans="1:12" ht="30.75">
      <c r="A58" s="119">
        <v>44355</v>
      </c>
      <c r="B58" s="238">
        <v>448.51</v>
      </c>
      <c r="C58" s="119">
        <v>44330</v>
      </c>
      <c r="D58" s="118" t="s">
        <v>23</v>
      </c>
      <c r="E58" s="118"/>
      <c r="F58" s="118">
        <v>54.3</v>
      </c>
      <c r="G58" s="118">
        <v>929</v>
      </c>
      <c r="H58" s="120" t="s">
        <v>474</v>
      </c>
      <c r="I58" s="120" t="s">
        <v>857</v>
      </c>
      <c r="J58" s="118" t="s">
        <v>26</v>
      </c>
      <c r="K58" s="118"/>
      <c r="L58" s="2"/>
    </row>
    <row r="59" spans="1:12" ht="30.75">
      <c r="A59" s="119">
        <v>44355</v>
      </c>
      <c r="B59" s="239">
        <v>739.68</v>
      </c>
      <c r="C59" s="119">
        <v>80858</v>
      </c>
      <c r="D59" s="118" t="s">
        <v>23</v>
      </c>
      <c r="E59" s="118"/>
      <c r="F59" s="118">
        <v>89.55</v>
      </c>
      <c r="G59" s="118">
        <v>929</v>
      </c>
      <c r="H59" s="120" t="s">
        <v>472</v>
      </c>
      <c r="I59" s="120" t="s">
        <v>858</v>
      </c>
      <c r="J59" s="118" t="s">
        <v>26</v>
      </c>
      <c r="K59" s="118"/>
      <c r="L59" s="2"/>
    </row>
    <row r="60" spans="1:12" ht="30.75">
      <c r="A60" s="119">
        <v>44355</v>
      </c>
      <c r="B60" s="240">
        <v>469.16</v>
      </c>
      <c r="C60" s="119">
        <v>44337</v>
      </c>
      <c r="D60" s="118" t="s">
        <v>23</v>
      </c>
      <c r="E60" s="118"/>
      <c r="F60" s="118">
        <v>56.8</v>
      </c>
      <c r="G60" s="118">
        <v>929</v>
      </c>
      <c r="H60" s="120" t="s">
        <v>859</v>
      </c>
      <c r="I60" s="120" t="s">
        <v>860</v>
      </c>
      <c r="J60" s="118" t="s">
        <v>26</v>
      </c>
      <c r="K60" s="118"/>
      <c r="L60" s="2"/>
    </row>
    <row r="61" spans="1:12" ht="30.75">
      <c r="A61" s="119">
        <v>44355</v>
      </c>
      <c r="B61" s="240">
        <v>705.4</v>
      </c>
      <c r="C61" s="119" t="s">
        <v>861</v>
      </c>
      <c r="D61" s="118" t="s">
        <v>23</v>
      </c>
      <c r="E61" s="118"/>
      <c r="F61" s="118">
        <v>85.4</v>
      </c>
      <c r="G61" s="118">
        <v>929</v>
      </c>
      <c r="H61" s="120" t="s">
        <v>862</v>
      </c>
      <c r="I61" s="120" t="s">
        <v>863</v>
      </c>
      <c r="J61" s="118" t="s">
        <v>26</v>
      </c>
      <c r="K61" s="118"/>
      <c r="L61" s="2"/>
    </row>
    <row r="62" spans="1:12" ht="30.75">
      <c r="A62" s="119">
        <v>44355</v>
      </c>
      <c r="B62" s="240">
        <v>651.71</v>
      </c>
      <c r="C62" s="119">
        <v>44344</v>
      </c>
      <c r="D62" s="118" t="s">
        <v>23</v>
      </c>
      <c r="E62" s="118"/>
      <c r="F62" s="118">
        <v>78.900000000000006</v>
      </c>
      <c r="G62" s="118">
        <v>929</v>
      </c>
      <c r="H62" s="120" t="s">
        <v>864</v>
      </c>
      <c r="I62" s="120" t="s">
        <v>865</v>
      </c>
      <c r="J62" s="118" t="s">
        <v>26</v>
      </c>
      <c r="K62" s="118"/>
      <c r="L62" s="2"/>
    </row>
    <row r="63" spans="1:12" ht="37.5">
      <c r="A63" s="62"/>
      <c r="B63" s="241">
        <v>5246.71</v>
      </c>
      <c r="C63" s="61"/>
      <c r="D63" s="62" t="s">
        <v>23</v>
      </c>
      <c r="E63" s="62"/>
      <c r="F63" s="62" t="s">
        <v>866</v>
      </c>
      <c r="G63" s="62"/>
      <c r="H63" s="64"/>
      <c r="I63" s="64"/>
      <c r="J63" s="62"/>
      <c r="K63" s="62"/>
      <c r="L63" s="2"/>
    </row>
    <row r="64" spans="1:12" ht="30.75">
      <c r="A64" s="128">
        <v>44382</v>
      </c>
      <c r="B64" s="242">
        <v>623.21</v>
      </c>
      <c r="C64" s="128">
        <v>44348</v>
      </c>
      <c r="D64" s="126" t="s">
        <v>23</v>
      </c>
      <c r="E64" s="126"/>
      <c r="F64" s="126">
        <v>75.45</v>
      </c>
      <c r="G64" s="126">
        <v>1300</v>
      </c>
      <c r="H64" s="129" t="s">
        <v>867</v>
      </c>
      <c r="I64" s="129" t="s">
        <v>868</v>
      </c>
      <c r="J64" s="126" t="s">
        <v>26</v>
      </c>
      <c r="K64" s="126"/>
      <c r="L64" s="2"/>
    </row>
    <row r="65" spans="1:13" ht="30.75">
      <c r="A65" s="128">
        <v>44382</v>
      </c>
      <c r="B65" s="242">
        <v>425.39</v>
      </c>
      <c r="C65" s="128">
        <v>44350</v>
      </c>
      <c r="D65" s="126" t="s">
        <v>23</v>
      </c>
      <c r="E65" s="126"/>
      <c r="F65" s="126">
        <v>51.5</v>
      </c>
      <c r="G65" s="126">
        <v>1300</v>
      </c>
      <c r="H65" s="129" t="s">
        <v>869</v>
      </c>
      <c r="I65" s="129" t="s">
        <v>870</v>
      </c>
      <c r="J65" s="126" t="s">
        <v>26</v>
      </c>
      <c r="K65" s="126"/>
      <c r="L65" s="2"/>
    </row>
    <row r="66" spans="1:13" ht="30.75">
      <c r="A66" s="128">
        <v>44382</v>
      </c>
      <c r="B66" s="242">
        <v>533.17999999999995</v>
      </c>
      <c r="C66" s="128">
        <v>44354</v>
      </c>
      <c r="D66" s="126" t="s">
        <v>23</v>
      </c>
      <c r="E66" s="126"/>
      <c r="F66" s="126">
        <v>64.55</v>
      </c>
      <c r="G66" s="126">
        <v>1300</v>
      </c>
      <c r="H66" s="129" t="s">
        <v>871</v>
      </c>
      <c r="I66" s="129" t="s">
        <v>872</v>
      </c>
      <c r="J66" s="126" t="s">
        <v>26</v>
      </c>
      <c r="K66" s="126"/>
      <c r="L66" s="2"/>
    </row>
    <row r="67" spans="1:13" ht="30.75">
      <c r="A67" s="128">
        <v>44382</v>
      </c>
      <c r="B67" s="242">
        <v>527.4</v>
      </c>
      <c r="C67" s="128">
        <v>44357</v>
      </c>
      <c r="D67" s="126" t="s">
        <v>23</v>
      </c>
      <c r="E67" s="126"/>
      <c r="F67" s="126">
        <v>63.85</v>
      </c>
      <c r="G67" s="126">
        <v>1300</v>
      </c>
      <c r="H67" s="129" t="s">
        <v>873</v>
      </c>
      <c r="I67" s="129" t="s">
        <v>874</v>
      </c>
      <c r="J67" s="126" t="s">
        <v>26</v>
      </c>
      <c r="K67" s="126"/>
      <c r="L67" s="2"/>
    </row>
    <row r="68" spans="1:13" ht="30.75">
      <c r="A68" s="128">
        <v>44382</v>
      </c>
      <c r="B68" s="242">
        <v>477.84</v>
      </c>
      <c r="C68" s="128">
        <v>44359</v>
      </c>
      <c r="D68" s="126" t="s">
        <v>23</v>
      </c>
      <c r="E68" s="126"/>
      <c r="F68" s="126">
        <v>57.85</v>
      </c>
      <c r="G68" s="126">
        <v>1300</v>
      </c>
      <c r="H68" s="129" t="s">
        <v>875</v>
      </c>
      <c r="I68" s="129" t="s">
        <v>876</v>
      </c>
      <c r="J68" s="126" t="s">
        <v>26</v>
      </c>
      <c r="K68" s="126"/>
      <c r="L68" s="2"/>
    </row>
    <row r="69" spans="1:13" ht="30.75">
      <c r="A69" s="128">
        <v>44382</v>
      </c>
      <c r="B69" s="242">
        <v>287.86</v>
      </c>
      <c r="C69" s="128">
        <v>44362</v>
      </c>
      <c r="D69" s="126" t="s">
        <v>23</v>
      </c>
      <c r="E69" s="126"/>
      <c r="F69" s="126">
        <v>34.85</v>
      </c>
      <c r="G69" s="126">
        <v>1300</v>
      </c>
      <c r="H69" s="129" t="s">
        <v>877</v>
      </c>
      <c r="I69" s="129" t="s">
        <v>878</v>
      </c>
      <c r="J69" s="126" t="s">
        <v>26</v>
      </c>
      <c r="K69" s="126"/>
      <c r="L69" s="2"/>
    </row>
    <row r="70" spans="1:13" ht="30.75">
      <c r="A70" s="128">
        <v>44382</v>
      </c>
      <c r="B70" s="242">
        <v>491.05</v>
      </c>
      <c r="C70" s="128">
        <v>44365</v>
      </c>
      <c r="D70" s="126" t="s">
        <v>23</v>
      </c>
      <c r="E70" s="126"/>
      <c r="F70" s="126">
        <v>59.45</v>
      </c>
      <c r="G70" s="126">
        <v>1300</v>
      </c>
      <c r="H70" s="129" t="s">
        <v>879</v>
      </c>
      <c r="I70" s="129" t="s">
        <v>880</v>
      </c>
      <c r="J70" s="126" t="s">
        <v>26</v>
      </c>
      <c r="K70" s="126"/>
      <c r="L70" s="2"/>
    </row>
    <row r="71" spans="1:13" ht="30.75">
      <c r="A71" s="128">
        <v>44382</v>
      </c>
      <c r="B71" s="242">
        <v>568.70000000000005</v>
      </c>
      <c r="C71" s="128">
        <v>44369</v>
      </c>
      <c r="D71" s="126" t="s">
        <v>23</v>
      </c>
      <c r="E71" s="126"/>
      <c r="F71" s="126">
        <v>68.849999999999994</v>
      </c>
      <c r="G71" s="126">
        <v>1300</v>
      </c>
      <c r="H71" s="129" t="s">
        <v>881</v>
      </c>
      <c r="I71" s="129" t="s">
        <v>882</v>
      </c>
      <c r="J71" s="126" t="s">
        <v>26</v>
      </c>
      <c r="K71" s="126"/>
      <c r="L71" s="2"/>
    </row>
    <row r="72" spans="1:13" ht="30.75">
      <c r="A72" s="128">
        <v>44382</v>
      </c>
      <c r="B72" s="242">
        <v>373.76</v>
      </c>
      <c r="C72" s="128">
        <v>44371</v>
      </c>
      <c r="D72" s="126" t="s">
        <v>23</v>
      </c>
      <c r="E72" s="126"/>
      <c r="F72" s="126">
        <v>45.25</v>
      </c>
      <c r="G72" s="126">
        <v>1300</v>
      </c>
      <c r="H72" s="129" t="s">
        <v>883</v>
      </c>
      <c r="I72" s="129" t="s">
        <v>884</v>
      </c>
      <c r="J72" s="126" t="s">
        <v>26</v>
      </c>
      <c r="K72" s="126"/>
      <c r="L72" s="2"/>
    </row>
    <row r="73" spans="1:13" ht="30.75">
      <c r="A73" s="128">
        <v>44382</v>
      </c>
      <c r="B73" s="242">
        <v>425.39</v>
      </c>
      <c r="C73" s="128">
        <v>44373</v>
      </c>
      <c r="D73" s="126" t="s">
        <v>23</v>
      </c>
      <c r="E73" s="126"/>
      <c r="F73" s="126">
        <v>51.5</v>
      </c>
      <c r="G73" s="126">
        <v>1300</v>
      </c>
      <c r="H73" s="129" t="s">
        <v>885</v>
      </c>
      <c r="I73" s="129" t="s">
        <v>886</v>
      </c>
      <c r="J73" s="126" t="s">
        <v>26</v>
      </c>
      <c r="K73" s="126"/>
      <c r="L73" s="2"/>
      <c r="M73" t="s">
        <v>36</v>
      </c>
    </row>
    <row r="74" spans="1:13" ht="30.75">
      <c r="A74" s="128">
        <v>44382</v>
      </c>
      <c r="B74" s="242">
        <v>568.28</v>
      </c>
      <c r="C74" s="128">
        <v>44377</v>
      </c>
      <c r="D74" s="126" t="s">
        <v>23</v>
      </c>
      <c r="E74" s="126"/>
      <c r="F74" s="126">
        <v>68.8</v>
      </c>
      <c r="G74" s="126">
        <v>1300</v>
      </c>
      <c r="H74" s="129" t="s">
        <v>887</v>
      </c>
      <c r="I74" s="129" t="s">
        <v>888</v>
      </c>
      <c r="J74" s="126" t="s">
        <v>26</v>
      </c>
      <c r="K74" s="126"/>
      <c r="L74" s="2"/>
    </row>
    <row r="75" spans="1:13" ht="37.5">
      <c r="A75" s="2"/>
      <c r="B75" s="241">
        <v>5302.06</v>
      </c>
      <c r="C75" s="61"/>
      <c r="D75" s="62" t="s">
        <v>23</v>
      </c>
      <c r="E75" s="62"/>
      <c r="F75" s="62" t="s">
        <v>889</v>
      </c>
      <c r="G75" s="62"/>
      <c r="H75" s="9"/>
      <c r="I75" s="9"/>
      <c r="J75" s="2"/>
      <c r="K75" s="2"/>
      <c r="L75" s="2"/>
    </row>
    <row r="76" spans="1:13" ht="30.75">
      <c r="A76" s="245">
        <v>44421</v>
      </c>
      <c r="B76" s="246">
        <f>Tabla356734567893568192011[[#This Row],[KILOS]]*7*1.18</f>
        <v>531.94400000000007</v>
      </c>
      <c r="C76" s="245">
        <v>44381</v>
      </c>
      <c r="D76" s="247" t="s">
        <v>23</v>
      </c>
      <c r="E76" s="247"/>
      <c r="F76" s="247">
        <v>64.400000000000006</v>
      </c>
      <c r="G76" s="247">
        <v>1734</v>
      </c>
      <c r="H76" s="248" t="s">
        <v>890</v>
      </c>
      <c r="I76" s="248" t="s">
        <v>891</v>
      </c>
      <c r="J76" s="247" t="s">
        <v>56</v>
      </c>
      <c r="K76" s="247"/>
      <c r="L76" s="2"/>
    </row>
    <row r="77" spans="1:13" ht="30.75">
      <c r="A77" s="245">
        <v>44422</v>
      </c>
      <c r="B77" s="246">
        <f>Tabla356734567893568192011[[#This Row],[KILOS]]*7*1.18</f>
        <v>379.96</v>
      </c>
      <c r="C77" s="245">
        <v>44383</v>
      </c>
      <c r="D77" s="247" t="s">
        <v>23</v>
      </c>
      <c r="E77" s="247"/>
      <c r="F77" s="247">
        <v>46</v>
      </c>
      <c r="G77" s="247">
        <v>1734</v>
      </c>
      <c r="H77" s="248" t="s">
        <v>892</v>
      </c>
      <c r="I77" s="248" t="s">
        <v>893</v>
      </c>
      <c r="J77" s="247" t="s">
        <v>56</v>
      </c>
      <c r="K77" s="247"/>
      <c r="L77" s="2"/>
    </row>
    <row r="78" spans="1:13" ht="30.75">
      <c r="A78" s="245">
        <v>44423</v>
      </c>
      <c r="B78" s="246">
        <f>Tabla356734567893568192011[[#This Row],[KILOS]]*7*1.18</f>
        <v>670.29900000000009</v>
      </c>
      <c r="C78" s="245">
        <v>44387</v>
      </c>
      <c r="D78" s="247" t="s">
        <v>23</v>
      </c>
      <c r="E78" s="247"/>
      <c r="F78" s="247">
        <v>81.150000000000006</v>
      </c>
      <c r="G78" s="247">
        <v>1734</v>
      </c>
      <c r="H78" s="248" t="s">
        <v>894</v>
      </c>
      <c r="I78" s="248" t="s">
        <v>895</v>
      </c>
      <c r="J78" s="247" t="s">
        <v>56</v>
      </c>
      <c r="K78" s="247"/>
      <c r="L78" s="2"/>
    </row>
    <row r="79" spans="1:13" ht="30.75">
      <c r="A79" s="245">
        <v>44424</v>
      </c>
      <c r="B79" s="246">
        <f>Tabla356734567893568192011[[#This Row],[KILOS]]*7*1.18</f>
        <v>520.38</v>
      </c>
      <c r="C79" s="245">
        <v>44393</v>
      </c>
      <c r="D79" s="247" t="s">
        <v>23</v>
      </c>
      <c r="E79" s="247"/>
      <c r="F79" s="247">
        <v>63</v>
      </c>
      <c r="G79" s="247">
        <v>1734</v>
      </c>
      <c r="H79" s="247">
        <v>4637</v>
      </c>
      <c r="I79" s="247">
        <v>4408</v>
      </c>
      <c r="J79" s="247" t="s">
        <v>56</v>
      </c>
      <c r="K79" s="247"/>
      <c r="L79" s="2"/>
    </row>
    <row r="80" spans="1:13" ht="30.75">
      <c r="A80" s="245">
        <v>44425</v>
      </c>
      <c r="B80" s="246">
        <f>Tabla356734567893568192011[[#This Row],[KILOS]]*7*1.18</f>
        <v>564.98400000000004</v>
      </c>
      <c r="C80" s="245">
        <v>44398</v>
      </c>
      <c r="D80" s="247" t="s">
        <v>23</v>
      </c>
      <c r="E80" s="247"/>
      <c r="F80" s="247">
        <v>68.400000000000006</v>
      </c>
      <c r="G80" s="247">
        <v>1734</v>
      </c>
      <c r="H80" s="247">
        <v>4638</v>
      </c>
      <c r="I80" s="247">
        <v>4413</v>
      </c>
      <c r="J80" s="247" t="s">
        <v>56</v>
      </c>
      <c r="K80" s="247"/>
      <c r="L80" s="2"/>
    </row>
    <row r="81" spans="1:12" ht="30.75">
      <c r="A81" s="245">
        <v>44426</v>
      </c>
      <c r="B81" s="246">
        <f>Tabla356734567893568192011[[#This Row],[KILOS]]*7*1.18</f>
        <v>704.99099999999987</v>
      </c>
      <c r="C81" s="245">
        <v>44401</v>
      </c>
      <c r="D81" s="247" t="s">
        <v>23</v>
      </c>
      <c r="E81" s="247"/>
      <c r="F81" s="247">
        <v>85.35</v>
      </c>
      <c r="G81" s="247">
        <v>1734</v>
      </c>
      <c r="H81" s="247">
        <v>4630</v>
      </c>
      <c r="I81" s="247">
        <v>4414</v>
      </c>
      <c r="J81" s="247" t="s">
        <v>56</v>
      </c>
      <c r="K81" s="247"/>
      <c r="L81" s="2"/>
    </row>
    <row r="82" spans="1:12" ht="30.75">
      <c r="A82" s="245">
        <v>44427</v>
      </c>
      <c r="B82" s="246">
        <f>Tabla356734567893568192011[[#This Row],[KILOS]]*7*1.18</f>
        <v>430.75900000000001</v>
      </c>
      <c r="C82" s="245">
        <v>44404</v>
      </c>
      <c r="D82" s="247" t="s">
        <v>23</v>
      </c>
      <c r="E82" s="247"/>
      <c r="F82" s="247">
        <v>52.15</v>
      </c>
      <c r="G82" s="247">
        <v>1734</v>
      </c>
      <c r="H82" s="247">
        <v>4631</v>
      </c>
      <c r="I82" s="247">
        <v>4415</v>
      </c>
      <c r="J82" s="247" t="s">
        <v>56</v>
      </c>
      <c r="K82" s="247"/>
      <c r="L82" s="2"/>
    </row>
    <row r="83" spans="1:12" ht="30.75">
      <c r="A83" s="245">
        <v>44428</v>
      </c>
      <c r="B83" s="246">
        <f>Tabla356734567893568192011[[#This Row],[KILOS]]*7*1.18</f>
        <v>404.73999999999995</v>
      </c>
      <c r="C83" s="245">
        <v>44408</v>
      </c>
      <c r="D83" s="247" t="s">
        <v>23</v>
      </c>
      <c r="E83" s="247"/>
      <c r="F83" s="247">
        <v>49</v>
      </c>
      <c r="G83" s="247">
        <v>1734</v>
      </c>
      <c r="H83" s="247">
        <v>4632</v>
      </c>
      <c r="I83" s="247">
        <v>4416</v>
      </c>
      <c r="J83" s="247" t="s">
        <v>56</v>
      </c>
      <c r="K83" s="247"/>
      <c r="L83" s="2"/>
    </row>
    <row r="84" spans="1:12" ht="30.75">
      <c r="A84" s="247"/>
      <c r="B84" s="249">
        <f>SUM(B76:B83)</f>
        <v>4208.0569999999998</v>
      </c>
      <c r="C84" s="247"/>
      <c r="D84" s="247" t="s">
        <v>23</v>
      </c>
      <c r="E84" s="247"/>
      <c r="F84" s="250">
        <f>SUM(F76:F83)</f>
        <v>509.45000000000005</v>
      </c>
      <c r="G84" s="247"/>
      <c r="H84" s="247"/>
      <c r="I84" s="247"/>
      <c r="J84" s="247"/>
      <c r="K84" s="247"/>
      <c r="L84" s="2"/>
    </row>
    <row r="85" spans="1:12" ht="30.75">
      <c r="A85" s="7">
        <v>44453</v>
      </c>
      <c r="B85" s="8">
        <f>Tabla356734567893568192011[[#This Row],[KILOS]]*8.26</f>
        <v>330.4</v>
      </c>
      <c r="C85" s="7">
        <v>44411</v>
      </c>
      <c r="D85" s="2" t="s">
        <v>23</v>
      </c>
      <c r="E85" s="2"/>
      <c r="F85" s="2">
        <v>40</v>
      </c>
      <c r="G85" s="2"/>
      <c r="H85" s="2">
        <v>4627</v>
      </c>
      <c r="I85" s="2">
        <v>4417</v>
      </c>
      <c r="J85" s="2" t="s">
        <v>56</v>
      </c>
      <c r="K85" s="2"/>
      <c r="L85" s="2"/>
    </row>
    <row r="86" spans="1:12" ht="30.75">
      <c r="A86" s="7">
        <v>44454</v>
      </c>
      <c r="B86" s="8">
        <f>Tabla356734567893568192011[[#This Row],[KILOS]]*8.26</f>
        <v>421.26</v>
      </c>
      <c r="C86" s="7">
        <v>44413</v>
      </c>
      <c r="D86" s="2" t="s">
        <v>23</v>
      </c>
      <c r="E86" s="2"/>
      <c r="F86" s="2">
        <v>51</v>
      </c>
      <c r="G86" s="2"/>
      <c r="H86" s="2">
        <v>5287</v>
      </c>
      <c r="I86" s="2">
        <v>2489</v>
      </c>
      <c r="J86" s="2" t="s">
        <v>56</v>
      </c>
      <c r="K86" s="2"/>
      <c r="L86" s="2"/>
    </row>
    <row r="87" spans="1:12" ht="30.75">
      <c r="A87" s="7">
        <v>44455</v>
      </c>
      <c r="B87" s="8">
        <f>Tabla356734567893568192011[[#This Row],[KILOS]]*8.26</f>
        <v>1069.67</v>
      </c>
      <c r="C87" s="7">
        <v>44418</v>
      </c>
      <c r="D87" s="2" t="s">
        <v>23</v>
      </c>
      <c r="E87" s="2"/>
      <c r="F87" s="2">
        <v>129.5</v>
      </c>
      <c r="G87" s="2"/>
      <c r="H87" s="2">
        <v>5286</v>
      </c>
      <c r="I87" s="2">
        <v>2490</v>
      </c>
      <c r="J87" s="2" t="s">
        <v>56</v>
      </c>
      <c r="K87" s="2"/>
      <c r="L87" s="2"/>
    </row>
    <row r="88" spans="1:12" ht="30.75">
      <c r="A88" s="7">
        <v>44456</v>
      </c>
      <c r="B88" s="8">
        <f>Tabla356734567893568192011[[#This Row],[KILOS]]*8.26</f>
        <v>693.84</v>
      </c>
      <c r="C88" s="7">
        <v>44422</v>
      </c>
      <c r="D88" s="2" t="s">
        <v>23</v>
      </c>
      <c r="E88" s="2"/>
      <c r="F88" s="2">
        <v>84</v>
      </c>
      <c r="G88" s="2"/>
      <c r="H88" s="2">
        <v>5288</v>
      </c>
      <c r="I88" s="2">
        <v>2777</v>
      </c>
      <c r="J88" s="2" t="s">
        <v>56</v>
      </c>
      <c r="K88" s="2"/>
      <c r="L88" s="2"/>
    </row>
    <row r="89" spans="1:12" ht="30.75">
      <c r="A89" s="7">
        <v>44457</v>
      </c>
      <c r="B89" s="8">
        <f>Tabla356734567893568192011[[#This Row],[KILOS]]*8.26</f>
        <v>617.02200000000005</v>
      </c>
      <c r="C89" s="7">
        <v>44426</v>
      </c>
      <c r="D89" s="2" t="s">
        <v>23</v>
      </c>
      <c r="E89" s="2"/>
      <c r="F89" s="2">
        <v>74.7</v>
      </c>
      <c r="G89" s="2"/>
      <c r="H89" s="2">
        <v>5290</v>
      </c>
      <c r="I89" s="2">
        <v>3051</v>
      </c>
      <c r="J89" s="2" t="s">
        <v>56</v>
      </c>
      <c r="K89" s="2"/>
      <c r="L89" s="2"/>
    </row>
    <row r="90" spans="1:12" ht="30.75">
      <c r="A90" s="7">
        <v>44458</v>
      </c>
      <c r="B90" s="8">
        <f>Tabla356734567893568192011[[#This Row],[KILOS]]*8.26</f>
        <v>446.03999999999996</v>
      </c>
      <c r="C90" s="7">
        <v>44428</v>
      </c>
      <c r="D90" s="2" t="s">
        <v>23</v>
      </c>
      <c r="E90" s="2"/>
      <c r="F90" s="2">
        <v>54</v>
      </c>
      <c r="G90" s="2"/>
      <c r="H90" s="2">
        <v>5291</v>
      </c>
      <c r="I90" s="2">
        <v>4995</v>
      </c>
      <c r="J90" s="2" t="s">
        <v>56</v>
      </c>
      <c r="K90" s="2"/>
      <c r="L90" s="2"/>
    </row>
    <row r="91" spans="1:12" ht="30.75">
      <c r="A91" s="7">
        <v>44459</v>
      </c>
      <c r="B91" s="8">
        <f>Tabla356734567893568192011[[#This Row],[KILOS]]*8.26</f>
        <v>594.72</v>
      </c>
      <c r="C91" s="7">
        <v>44432</v>
      </c>
      <c r="D91" s="2" t="s">
        <v>23</v>
      </c>
      <c r="E91" s="2"/>
      <c r="F91" s="2">
        <v>72</v>
      </c>
      <c r="G91" s="2"/>
      <c r="H91" s="2">
        <v>5292</v>
      </c>
      <c r="I91" s="2">
        <v>4996</v>
      </c>
      <c r="J91" s="2" t="s">
        <v>56</v>
      </c>
      <c r="K91" s="2"/>
      <c r="L91" s="2"/>
    </row>
    <row r="92" spans="1:12" ht="30.75">
      <c r="A92" s="7">
        <v>44460</v>
      </c>
      <c r="B92" s="8">
        <f>Tabla356734567893568192011[[#This Row],[KILOS]]*8.26</f>
        <v>630.65099999999995</v>
      </c>
      <c r="C92" s="7">
        <v>44435</v>
      </c>
      <c r="D92" s="2" t="s">
        <v>23</v>
      </c>
      <c r="E92" s="2"/>
      <c r="F92" s="2">
        <v>76.349999999999994</v>
      </c>
      <c r="G92" s="2"/>
      <c r="H92" s="2">
        <v>5293</v>
      </c>
      <c r="I92" s="2">
        <v>4997</v>
      </c>
      <c r="J92" s="2" t="s">
        <v>56</v>
      </c>
      <c r="K92" s="2"/>
      <c r="L92" s="2"/>
    </row>
    <row r="93" spans="1:12" ht="30.75">
      <c r="A93" s="7">
        <v>44461</v>
      </c>
      <c r="B93" s="8">
        <f>Tabla356734567893568192011[[#This Row],[KILOS]]*8.26</f>
        <v>697.97</v>
      </c>
      <c r="C93" s="7">
        <v>44439</v>
      </c>
      <c r="D93" s="2" t="s">
        <v>23</v>
      </c>
      <c r="E93" s="2"/>
      <c r="F93" s="2">
        <v>84.5</v>
      </c>
      <c r="G93" s="2"/>
      <c r="H93" s="2">
        <v>5294</v>
      </c>
      <c r="I93" s="2">
        <v>4998</v>
      </c>
      <c r="J93" s="2" t="s">
        <v>56</v>
      </c>
      <c r="K93" s="2"/>
      <c r="L93" s="2"/>
    </row>
    <row r="94" spans="1:12" ht="32.25" customHeight="1">
      <c r="A94" s="2"/>
      <c r="B94" s="237" t="s">
        <v>896</v>
      </c>
      <c r="C94" s="93"/>
      <c r="D94" s="93" t="s">
        <v>23</v>
      </c>
      <c r="E94" s="93"/>
      <c r="F94" s="93" t="s">
        <v>897</v>
      </c>
      <c r="G94" s="93" t="s">
        <v>638</v>
      </c>
      <c r="H94" s="93"/>
      <c r="I94" s="2"/>
      <c r="J94" s="2"/>
      <c r="K94" s="2"/>
      <c r="L94" s="2"/>
    </row>
    <row r="95" spans="1:12" ht="30.75">
      <c r="A95" s="253">
        <v>44476</v>
      </c>
      <c r="B95" s="252" t="s">
        <v>898</v>
      </c>
      <c r="C95" s="253">
        <v>44442</v>
      </c>
      <c r="D95" s="251" t="s">
        <v>23</v>
      </c>
      <c r="E95" s="251"/>
      <c r="F95" s="254">
        <v>82</v>
      </c>
      <c r="G95" s="251">
        <v>2796</v>
      </c>
      <c r="H95" s="251">
        <v>5295</v>
      </c>
      <c r="I95" s="251">
        <v>4999</v>
      </c>
      <c r="J95" s="251" t="s">
        <v>26</v>
      </c>
      <c r="K95" s="251"/>
      <c r="L95" s="2"/>
    </row>
    <row r="96" spans="1:12" ht="30.75">
      <c r="A96" s="253">
        <v>44476</v>
      </c>
      <c r="B96" s="252" t="s">
        <v>899</v>
      </c>
      <c r="C96" s="253">
        <v>44446</v>
      </c>
      <c r="D96" s="251" t="s">
        <v>23</v>
      </c>
      <c r="E96" s="251"/>
      <c r="F96" s="254" t="s">
        <v>900</v>
      </c>
      <c r="G96" s="251">
        <v>2796</v>
      </c>
      <c r="H96" s="251">
        <v>5296</v>
      </c>
      <c r="I96" s="251">
        <v>5000</v>
      </c>
      <c r="J96" s="251" t="s">
        <v>26</v>
      </c>
      <c r="K96" s="251"/>
      <c r="L96" s="2"/>
    </row>
    <row r="97" spans="1:12" ht="30.75">
      <c r="A97" s="253">
        <v>44476</v>
      </c>
      <c r="B97" s="252" t="s">
        <v>901</v>
      </c>
      <c r="C97" s="253">
        <v>44449</v>
      </c>
      <c r="D97" s="251" t="s">
        <v>23</v>
      </c>
      <c r="E97" s="251"/>
      <c r="F97" s="254">
        <v>69</v>
      </c>
      <c r="G97" s="251">
        <v>2796</v>
      </c>
      <c r="H97" s="251">
        <v>5285</v>
      </c>
      <c r="I97" s="251">
        <v>5001</v>
      </c>
      <c r="J97" s="251" t="s">
        <v>26</v>
      </c>
      <c r="K97" s="251"/>
      <c r="L97" s="2"/>
    </row>
    <row r="98" spans="1:12" ht="30.75">
      <c r="A98" s="253">
        <v>44476</v>
      </c>
      <c r="B98" s="252" t="s">
        <v>902</v>
      </c>
      <c r="C98" s="253">
        <v>44453</v>
      </c>
      <c r="D98" s="251" t="s">
        <v>23</v>
      </c>
      <c r="E98" s="251"/>
      <c r="F98" s="254" t="s">
        <v>903</v>
      </c>
      <c r="G98" s="251">
        <v>2796</v>
      </c>
      <c r="H98" s="251">
        <v>5284</v>
      </c>
      <c r="I98" s="251">
        <v>5003</v>
      </c>
      <c r="J98" s="251" t="s">
        <v>26</v>
      </c>
      <c r="K98" s="251"/>
      <c r="L98" s="2"/>
    </row>
    <row r="99" spans="1:12" ht="30.75">
      <c r="A99" s="253">
        <v>44476</v>
      </c>
      <c r="B99" s="252" t="s">
        <v>904</v>
      </c>
      <c r="C99" s="253">
        <v>44456</v>
      </c>
      <c r="D99" s="251" t="s">
        <v>23</v>
      </c>
      <c r="E99" s="251"/>
      <c r="F99" s="254" t="s">
        <v>905</v>
      </c>
      <c r="G99" s="251">
        <v>2796</v>
      </c>
      <c r="H99" s="251">
        <v>5283</v>
      </c>
      <c r="I99" s="251">
        <v>5004</v>
      </c>
      <c r="J99" s="251" t="s">
        <v>26</v>
      </c>
      <c r="K99" s="251"/>
      <c r="L99" s="2"/>
    </row>
    <row r="100" spans="1:12" ht="30.75">
      <c r="A100" s="253">
        <v>44476</v>
      </c>
      <c r="B100" s="252" t="s">
        <v>906</v>
      </c>
      <c r="C100" s="253">
        <v>44460</v>
      </c>
      <c r="D100" s="251" t="s">
        <v>23</v>
      </c>
      <c r="E100" s="251"/>
      <c r="F100" s="254" t="s">
        <v>907</v>
      </c>
      <c r="G100" s="251">
        <v>2796</v>
      </c>
      <c r="H100" s="251">
        <v>6241</v>
      </c>
      <c r="I100" s="251">
        <v>5782</v>
      </c>
      <c r="J100" s="251" t="s">
        <v>26</v>
      </c>
      <c r="K100" s="251"/>
      <c r="L100" s="2"/>
    </row>
    <row r="101" spans="1:12" ht="30.75">
      <c r="A101" s="253">
        <v>44476</v>
      </c>
      <c r="B101" s="252" t="s">
        <v>908</v>
      </c>
      <c r="C101" s="253">
        <v>44463</v>
      </c>
      <c r="D101" s="251" t="s">
        <v>23</v>
      </c>
      <c r="E101" s="251"/>
      <c r="F101" s="254" t="s">
        <v>909</v>
      </c>
      <c r="G101" s="251">
        <v>2796</v>
      </c>
      <c r="H101" s="251">
        <v>6242</v>
      </c>
      <c r="I101" s="251">
        <v>5783</v>
      </c>
      <c r="J101" s="251" t="s">
        <v>26</v>
      </c>
      <c r="K101" s="251"/>
      <c r="L101" s="2"/>
    </row>
    <row r="102" spans="1:12" ht="30.75">
      <c r="A102" s="253">
        <v>44476</v>
      </c>
      <c r="B102" s="252" t="s">
        <v>910</v>
      </c>
      <c r="C102" s="253">
        <v>44467</v>
      </c>
      <c r="D102" s="251" t="s">
        <v>23</v>
      </c>
      <c r="E102" s="251"/>
      <c r="F102" s="254" t="s">
        <v>911</v>
      </c>
      <c r="G102" s="251">
        <v>2796</v>
      </c>
      <c r="H102" s="251">
        <v>6243</v>
      </c>
      <c r="I102" s="251">
        <v>5784</v>
      </c>
      <c r="J102" s="251" t="s">
        <v>26</v>
      </c>
      <c r="K102" s="251"/>
      <c r="L102" s="2"/>
    </row>
    <row r="103" spans="1:12" ht="32.25">
      <c r="A103" s="7">
        <v>44509</v>
      </c>
      <c r="B103" s="237" t="s">
        <v>912</v>
      </c>
      <c r="C103" s="93"/>
      <c r="D103" s="93" t="s">
        <v>23</v>
      </c>
      <c r="E103" s="93"/>
      <c r="F103" s="93" t="s">
        <v>913</v>
      </c>
      <c r="G103" s="93" t="s">
        <v>638</v>
      </c>
      <c r="H103" s="2"/>
      <c r="I103" s="2"/>
      <c r="J103" s="2"/>
      <c r="K103" s="2"/>
      <c r="L103" s="2"/>
    </row>
    <row r="104" spans="1:12" ht="30.75">
      <c r="A104" s="7">
        <v>44509</v>
      </c>
      <c r="B104" s="8" t="s">
        <v>914</v>
      </c>
      <c r="C104" s="7">
        <v>44470</v>
      </c>
      <c r="D104" s="2" t="s">
        <v>23</v>
      </c>
      <c r="E104" s="2"/>
      <c r="F104" s="2">
        <v>68</v>
      </c>
      <c r="G104" s="2">
        <v>3414</v>
      </c>
      <c r="H104" s="2">
        <v>6244</v>
      </c>
      <c r="I104" s="2">
        <v>5785</v>
      </c>
      <c r="J104" s="2" t="s">
        <v>26</v>
      </c>
      <c r="K104" s="2"/>
      <c r="L104" s="2"/>
    </row>
    <row r="105" spans="1:12" ht="30.75">
      <c r="A105" s="7">
        <v>44509</v>
      </c>
      <c r="B105" s="8" t="s">
        <v>915</v>
      </c>
      <c r="C105" s="7">
        <v>44474</v>
      </c>
      <c r="D105" s="2" t="s">
        <v>23</v>
      </c>
      <c r="E105" s="2"/>
      <c r="F105" s="2" t="s">
        <v>916</v>
      </c>
      <c r="G105" s="2">
        <v>3414</v>
      </c>
      <c r="H105" s="2">
        <v>6245</v>
      </c>
      <c r="I105" s="2">
        <v>5786</v>
      </c>
      <c r="J105" s="2" t="s">
        <v>26</v>
      </c>
      <c r="K105" s="2"/>
      <c r="L105" s="2"/>
    </row>
    <row r="106" spans="1:12" ht="30.75">
      <c r="A106" s="7">
        <v>44509</v>
      </c>
      <c r="B106" s="8" t="s">
        <v>917</v>
      </c>
      <c r="C106" s="7">
        <v>44481</v>
      </c>
      <c r="D106" s="2" t="s">
        <v>23</v>
      </c>
      <c r="E106" s="2"/>
      <c r="F106" s="2" t="s">
        <v>918</v>
      </c>
      <c r="G106" s="2">
        <v>3414</v>
      </c>
      <c r="H106" s="2">
        <v>6246</v>
      </c>
      <c r="I106" s="2">
        <v>5787</v>
      </c>
      <c r="J106" s="2" t="s">
        <v>26</v>
      </c>
      <c r="K106" s="2"/>
      <c r="L106" s="2"/>
    </row>
    <row r="107" spans="1:12" ht="30.75">
      <c r="A107" s="7">
        <v>44509</v>
      </c>
      <c r="B107" s="8" t="s">
        <v>919</v>
      </c>
      <c r="C107" s="7">
        <v>44484</v>
      </c>
      <c r="D107" s="2" t="s">
        <v>23</v>
      </c>
      <c r="E107" s="2"/>
      <c r="F107" s="2">
        <v>65</v>
      </c>
      <c r="G107" s="2">
        <v>3414</v>
      </c>
      <c r="H107" s="2">
        <v>6247</v>
      </c>
      <c r="I107" s="2">
        <v>5788</v>
      </c>
      <c r="J107" s="2" t="s">
        <v>26</v>
      </c>
      <c r="K107" s="2"/>
      <c r="L107" s="2"/>
    </row>
    <row r="108" spans="1:12" ht="30.75">
      <c r="A108" s="7">
        <v>44509</v>
      </c>
      <c r="B108" s="8" t="s">
        <v>920</v>
      </c>
      <c r="C108" s="7">
        <v>44488</v>
      </c>
      <c r="D108" s="2" t="s">
        <v>23</v>
      </c>
      <c r="E108" s="2"/>
      <c r="F108" s="2" t="s">
        <v>921</v>
      </c>
      <c r="G108" s="2">
        <v>3414</v>
      </c>
      <c r="H108" s="2">
        <v>6248</v>
      </c>
      <c r="I108" s="2">
        <v>5789</v>
      </c>
      <c r="J108" s="2" t="s">
        <v>26</v>
      </c>
      <c r="K108" s="2"/>
      <c r="L108" s="2"/>
    </row>
    <row r="109" spans="1:12" ht="30.75">
      <c r="A109" s="7">
        <v>44509</v>
      </c>
      <c r="B109" s="8" t="s">
        <v>922</v>
      </c>
      <c r="C109" s="7">
        <v>44491</v>
      </c>
      <c r="D109" s="2" t="s">
        <v>23</v>
      </c>
      <c r="E109" s="2"/>
      <c r="F109" s="2" t="s">
        <v>923</v>
      </c>
      <c r="G109" s="2">
        <v>3414</v>
      </c>
      <c r="H109" s="2">
        <v>6249</v>
      </c>
      <c r="I109" s="2">
        <v>5790</v>
      </c>
      <c r="J109" s="2" t="s">
        <v>26</v>
      </c>
      <c r="K109" s="2"/>
      <c r="L109" s="2"/>
    </row>
    <row r="110" spans="1:12" ht="30.75">
      <c r="A110" s="7">
        <v>44509</v>
      </c>
      <c r="B110" s="8" t="s">
        <v>924</v>
      </c>
      <c r="C110" s="7">
        <v>44495</v>
      </c>
      <c r="D110" s="2" t="s">
        <v>23</v>
      </c>
      <c r="E110" s="2"/>
      <c r="F110" s="2" t="s">
        <v>925</v>
      </c>
      <c r="G110" s="2">
        <v>3414</v>
      </c>
      <c r="H110" s="2">
        <v>6250</v>
      </c>
      <c r="I110" s="2">
        <v>5791</v>
      </c>
      <c r="J110" s="2" t="s">
        <v>26</v>
      </c>
      <c r="K110" s="2"/>
      <c r="L110" s="2"/>
    </row>
    <row r="111" spans="1:12" ht="30.75">
      <c r="A111" s="7">
        <v>44509</v>
      </c>
      <c r="B111" s="8" t="s">
        <v>926</v>
      </c>
      <c r="C111" s="7">
        <v>44497</v>
      </c>
      <c r="D111" s="2" t="s">
        <v>23</v>
      </c>
      <c r="E111" s="2"/>
      <c r="F111" s="2" t="s">
        <v>927</v>
      </c>
      <c r="G111" s="2">
        <v>3414</v>
      </c>
      <c r="H111" s="2">
        <v>6252</v>
      </c>
      <c r="I111" s="2">
        <v>5002</v>
      </c>
      <c r="J111" s="2" t="s">
        <v>26</v>
      </c>
      <c r="K111" s="2"/>
      <c r="L111" s="2"/>
    </row>
    <row r="112" spans="1:12" ht="30.75">
      <c r="A112" s="2"/>
      <c r="B112" s="268" t="s">
        <v>928</v>
      </c>
      <c r="C112" s="7"/>
      <c r="D112" s="267" t="s">
        <v>23</v>
      </c>
      <c r="E112" s="2"/>
      <c r="F112" s="93" t="s">
        <v>929</v>
      </c>
      <c r="G112" s="93" t="s">
        <v>638</v>
      </c>
      <c r="H112" s="2"/>
      <c r="I112" s="2"/>
      <c r="J112" s="2"/>
      <c r="K112" s="2"/>
      <c r="L112" s="2"/>
    </row>
    <row r="113" spans="1:12" ht="30.75">
      <c r="A113" s="275">
        <v>44544</v>
      </c>
      <c r="B113" s="279" t="s">
        <v>930</v>
      </c>
      <c r="C113" s="275">
        <v>44501</v>
      </c>
      <c r="D113" s="273" t="s">
        <v>23</v>
      </c>
      <c r="E113" s="273"/>
      <c r="F113" s="277">
        <v>62</v>
      </c>
      <c r="G113" s="276">
        <v>4055</v>
      </c>
      <c r="H113" s="273">
        <v>6240</v>
      </c>
      <c r="I113" s="273">
        <v>5793</v>
      </c>
      <c r="J113" s="273" t="s">
        <v>26</v>
      </c>
      <c r="K113" s="273"/>
      <c r="L113" s="2"/>
    </row>
    <row r="114" spans="1:12" ht="30.75">
      <c r="A114" s="275">
        <v>44544</v>
      </c>
      <c r="B114" s="279" t="s">
        <v>931</v>
      </c>
      <c r="C114" s="275">
        <v>44503</v>
      </c>
      <c r="D114" s="273" t="s">
        <v>23</v>
      </c>
      <c r="E114" s="273"/>
      <c r="F114" s="277" t="s">
        <v>932</v>
      </c>
      <c r="G114" s="276">
        <v>4055</v>
      </c>
      <c r="H114" s="273">
        <v>6251</v>
      </c>
      <c r="I114" s="273">
        <v>5860</v>
      </c>
      <c r="J114" s="273" t="s">
        <v>26</v>
      </c>
      <c r="K114" s="273"/>
      <c r="L114" s="2"/>
    </row>
    <row r="115" spans="1:12" ht="30.75">
      <c r="A115" s="275">
        <v>44544</v>
      </c>
      <c r="B115" s="279" t="s">
        <v>933</v>
      </c>
      <c r="C115" s="275">
        <v>44506</v>
      </c>
      <c r="D115" s="273" t="s">
        <v>23</v>
      </c>
      <c r="E115" s="273"/>
      <c r="F115" s="277" t="s">
        <v>934</v>
      </c>
      <c r="G115" s="276">
        <v>4055</v>
      </c>
      <c r="H115" s="273">
        <v>6681</v>
      </c>
      <c r="I115" s="273">
        <v>6328</v>
      </c>
      <c r="J115" s="273" t="s">
        <v>26</v>
      </c>
      <c r="K115" s="273"/>
      <c r="L115" s="2"/>
    </row>
    <row r="116" spans="1:12" ht="30.75">
      <c r="A116" s="275">
        <v>44544</v>
      </c>
      <c r="B116" s="279" t="s">
        <v>935</v>
      </c>
      <c r="C116" s="275">
        <v>44509</v>
      </c>
      <c r="D116" s="273" t="s">
        <v>23</v>
      </c>
      <c r="E116" s="273"/>
      <c r="F116" s="277" t="s">
        <v>936</v>
      </c>
      <c r="G116" s="276">
        <v>4055</v>
      </c>
      <c r="H116" s="273">
        <v>6682</v>
      </c>
      <c r="I116" s="273">
        <v>6329</v>
      </c>
      <c r="J116" s="273" t="s">
        <v>26</v>
      </c>
      <c r="K116" s="273"/>
      <c r="L116" s="2"/>
    </row>
    <row r="117" spans="1:12" ht="30.75">
      <c r="A117" s="275">
        <v>44544</v>
      </c>
      <c r="B117" s="279" t="s">
        <v>937</v>
      </c>
      <c r="C117" s="275">
        <v>44512</v>
      </c>
      <c r="D117" s="273" t="s">
        <v>23</v>
      </c>
      <c r="E117" s="273"/>
      <c r="F117" s="277">
        <v>52</v>
      </c>
      <c r="G117" s="276">
        <v>4055</v>
      </c>
      <c r="H117" s="273">
        <v>6684</v>
      </c>
      <c r="I117" s="273">
        <v>6330</v>
      </c>
      <c r="J117" s="273" t="s">
        <v>26</v>
      </c>
      <c r="K117" s="273"/>
      <c r="L117" s="2"/>
    </row>
    <row r="118" spans="1:12" ht="30.75">
      <c r="A118" s="275">
        <v>44544</v>
      </c>
      <c r="B118" s="279" t="s">
        <v>938</v>
      </c>
      <c r="C118" s="275">
        <v>44516</v>
      </c>
      <c r="D118" s="273" t="s">
        <v>23</v>
      </c>
      <c r="E118" s="273"/>
      <c r="F118" s="277" t="s">
        <v>939</v>
      </c>
      <c r="G118" s="276">
        <v>4055</v>
      </c>
      <c r="H118" s="273">
        <v>6685</v>
      </c>
      <c r="I118" s="273">
        <v>6332</v>
      </c>
      <c r="J118" s="273" t="s">
        <v>26</v>
      </c>
      <c r="K118" s="273"/>
      <c r="L118" s="2"/>
    </row>
    <row r="119" spans="1:12" ht="30.75">
      <c r="A119" s="275">
        <v>44544</v>
      </c>
      <c r="B119" s="279" t="s">
        <v>940</v>
      </c>
      <c r="C119" s="275">
        <v>44519</v>
      </c>
      <c r="D119" s="273" t="s">
        <v>23</v>
      </c>
      <c r="E119" s="273"/>
      <c r="F119" s="277" t="s">
        <v>941</v>
      </c>
      <c r="G119" s="276">
        <v>4055</v>
      </c>
      <c r="H119" s="273">
        <v>6686</v>
      </c>
      <c r="I119" s="273">
        <v>6340</v>
      </c>
      <c r="J119" s="273" t="s">
        <v>26</v>
      </c>
      <c r="K119" s="273"/>
      <c r="L119" s="2"/>
    </row>
    <row r="120" spans="1:12" ht="30.75">
      <c r="A120" s="275">
        <v>44544</v>
      </c>
      <c r="B120" s="279" t="s">
        <v>942</v>
      </c>
      <c r="C120" s="275">
        <v>44523</v>
      </c>
      <c r="D120" s="273" t="s">
        <v>23</v>
      </c>
      <c r="E120" s="273"/>
      <c r="F120" s="277" t="s">
        <v>943</v>
      </c>
      <c r="G120" s="276">
        <v>4055</v>
      </c>
      <c r="H120" s="273">
        <v>6687</v>
      </c>
      <c r="I120" s="273">
        <v>6333</v>
      </c>
      <c r="J120" s="273" t="s">
        <v>26</v>
      </c>
      <c r="K120" s="273"/>
      <c r="L120" s="2"/>
    </row>
    <row r="121" spans="1:12" ht="30.75">
      <c r="A121" s="275">
        <v>44544</v>
      </c>
      <c r="B121" s="279" t="s">
        <v>922</v>
      </c>
      <c r="C121" s="275">
        <v>44527</v>
      </c>
      <c r="D121" s="273" t="s">
        <v>23</v>
      </c>
      <c r="E121" s="273"/>
      <c r="F121" s="277" t="s">
        <v>923</v>
      </c>
      <c r="G121" s="276">
        <v>4055</v>
      </c>
      <c r="H121" s="273">
        <v>6688</v>
      </c>
      <c r="I121" s="273">
        <v>6338</v>
      </c>
      <c r="J121" s="273" t="s">
        <v>26</v>
      </c>
      <c r="K121" s="285"/>
      <c r="L121" s="2"/>
    </row>
    <row r="122" spans="1:12" ht="30.75">
      <c r="A122" s="273"/>
      <c r="B122" s="274" t="s">
        <v>944</v>
      </c>
      <c r="C122" s="275"/>
      <c r="D122" s="273" t="s">
        <v>23</v>
      </c>
      <c r="E122" s="273"/>
      <c r="F122" s="276" t="s">
        <v>945</v>
      </c>
      <c r="G122" s="276"/>
      <c r="H122" s="273"/>
      <c r="I122" s="273"/>
      <c r="J122" s="273"/>
      <c r="K122" s="273"/>
      <c r="L122" s="2"/>
    </row>
    <row r="123" spans="1:12" ht="30.75">
      <c r="A123" s="7">
        <v>44568</v>
      </c>
      <c r="B123" s="268" t="s">
        <v>946</v>
      </c>
      <c r="C123" s="7">
        <v>44531</v>
      </c>
      <c r="D123" s="2" t="s">
        <v>23</v>
      </c>
      <c r="E123" s="2"/>
      <c r="F123" s="93" t="s">
        <v>947</v>
      </c>
      <c r="G123" s="93">
        <v>4598</v>
      </c>
      <c r="H123" s="2">
        <v>6689</v>
      </c>
      <c r="I123" s="2">
        <v>6336</v>
      </c>
      <c r="J123" s="2" t="s">
        <v>26</v>
      </c>
      <c r="K123" s="2"/>
      <c r="L123" s="2"/>
    </row>
    <row r="124" spans="1:12" ht="30.75">
      <c r="A124" s="7">
        <v>44568</v>
      </c>
      <c r="B124" s="268" t="s">
        <v>948</v>
      </c>
      <c r="C124" s="7">
        <v>44534</v>
      </c>
      <c r="D124" s="2" t="s">
        <v>23</v>
      </c>
      <c r="E124" s="2"/>
      <c r="F124" s="93" t="s">
        <v>949</v>
      </c>
      <c r="G124" s="93">
        <v>4598</v>
      </c>
      <c r="H124" s="2">
        <v>6690</v>
      </c>
      <c r="I124" s="2">
        <v>6337</v>
      </c>
      <c r="J124" s="2" t="s">
        <v>26</v>
      </c>
      <c r="K124" s="2"/>
      <c r="L124" s="2"/>
    </row>
    <row r="125" spans="1:12" ht="30.75">
      <c r="A125" s="7">
        <v>44568</v>
      </c>
      <c r="B125" s="268" t="s">
        <v>950</v>
      </c>
      <c r="C125" s="7">
        <v>44537</v>
      </c>
      <c r="D125" s="2" t="s">
        <v>23</v>
      </c>
      <c r="E125" s="2"/>
      <c r="F125" s="93" t="s">
        <v>951</v>
      </c>
      <c r="G125" s="93">
        <v>4598</v>
      </c>
      <c r="H125" s="2">
        <v>6692</v>
      </c>
      <c r="I125" s="2">
        <v>6339</v>
      </c>
      <c r="J125" s="2" t="s">
        <v>26</v>
      </c>
      <c r="K125" s="2"/>
      <c r="L125" s="2"/>
    </row>
    <row r="126" spans="1:12" ht="30.75">
      <c r="A126" s="7">
        <v>44568</v>
      </c>
      <c r="B126" s="268" t="s">
        <v>952</v>
      </c>
      <c r="C126" s="7">
        <v>44540</v>
      </c>
      <c r="D126" s="2" t="s">
        <v>23</v>
      </c>
      <c r="E126" s="2"/>
      <c r="F126" s="93" t="s">
        <v>953</v>
      </c>
      <c r="G126" s="93">
        <v>4598</v>
      </c>
      <c r="H126" s="2">
        <v>8244</v>
      </c>
      <c r="I126" s="2">
        <v>7946</v>
      </c>
      <c r="J126" s="2" t="s">
        <v>26</v>
      </c>
      <c r="K126" s="2"/>
      <c r="L126" s="2"/>
    </row>
    <row r="127" spans="1:12" ht="30.75">
      <c r="A127" s="7">
        <v>44568</v>
      </c>
      <c r="B127" s="268" t="s">
        <v>954</v>
      </c>
      <c r="C127" s="7">
        <v>44546</v>
      </c>
      <c r="D127" s="2" t="s">
        <v>23</v>
      </c>
      <c r="E127" s="2"/>
      <c r="F127" s="93" t="s">
        <v>955</v>
      </c>
      <c r="G127" s="93">
        <v>4598</v>
      </c>
      <c r="H127" s="2">
        <v>8246</v>
      </c>
      <c r="I127" s="2">
        <v>7948</v>
      </c>
      <c r="J127" s="2" t="s">
        <v>26</v>
      </c>
      <c r="K127" s="2"/>
      <c r="L127" s="2"/>
    </row>
    <row r="128" spans="1:12" ht="30.75">
      <c r="A128" s="7">
        <v>44568</v>
      </c>
      <c r="B128" s="268" t="s">
        <v>956</v>
      </c>
      <c r="C128" s="7">
        <v>44548</v>
      </c>
      <c r="D128" s="2" t="s">
        <v>23</v>
      </c>
      <c r="E128" s="2"/>
      <c r="F128" s="93" t="s">
        <v>957</v>
      </c>
      <c r="G128" s="93">
        <v>4598</v>
      </c>
      <c r="H128" s="2">
        <v>8247</v>
      </c>
      <c r="I128" s="2">
        <v>7949</v>
      </c>
      <c r="J128" s="2" t="s">
        <v>26</v>
      </c>
      <c r="K128" s="2"/>
      <c r="L128" s="2"/>
    </row>
    <row r="129" spans="1:12" ht="30.75">
      <c r="A129" s="7">
        <v>44568</v>
      </c>
      <c r="B129" s="268" t="s">
        <v>958</v>
      </c>
      <c r="C129" s="7">
        <v>44551</v>
      </c>
      <c r="D129" s="2" t="s">
        <v>23</v>
      </c>
      <c r="E129" s="2"/>
      <c r="F129" s="93" t="s">
        <v>959</v>
      </c>
      <c r="G129" s="93">
        <v>4598</v>
      </c>
      <c r="H129" s="2">
        <v>8248</v>
      </c>
      <c r="I129" s="2">
        <v>7950</v>
      </c>
      <c r="J129" s="2" t="s">
        <v>26</v>
      </c>
      <c r="K129" s="2"/>
      <c r="L129" s="2"/>
    </row>
    <row r="130" spans="1:12" ht="30.75">
      <c r="A130" s="7">
        <v>44568</v>
      </c>
      <c r="B130" s="268" t="s">
        <v>960</v>
      </c>
      <c r="C130" s="7">
        <v>44554</v>
      </c>
      <c r="D130" s="2" t="s">
        <v>23</v>
      </c>
      <c r="E130" s="2"/>
      <c r="F130" s="93">
        <v>60</v>
      </c>
      <c r="G130" s="93">
        <v>4598</v>
      </c>
      <c r="H130" s="2">
        <v>8249</v>
      </c>
      <c r="I130" s="2">
        <v>7951</v>
      </c>
      <c r="J130" s="2" t="s">
        <v>26</v>
      </c>
      <c r="K130" s="2"/>
      <c r="L130" s="2"/>
    </row>
    <row r="131" spans="1:12" ht="30.75">
      <c r="A131" s="7">
        <v>44568</v>
      </c>
      <c r="B131" s="268" t="s">
        <v>961</v>
      </c>
      <c r="C131" s="7">
        <v>44558</v>
      </c>
      <c r="D131" s="2" t="s">
        <v>23</v>
      </c>
      <c r="E131" s="2"/>
      <c r="F131" s="93">
        <v>31</v>
      </c>
      <c r="G131" s="93">
        <v>4598</v>
      </c>
      <c r="H131" s="2">
        <v>8250</v>
      </c>
      <c r="I131" s="2">
        <v>7952</v>
      </c>
      <c r="J131" s="2" t="s">
        <v>26</v>
      </c>
      <c r="K131" s="2"/>
      <c r="L131" s="2"/>
    </row>
    <row r="132" spans="1:12" ht="30.75">
      <c r="A132" s="7">
        <v>44568</v>
      </c>
      <c r="B132" s="268" t="s">
        <v>960</v>
      </c>
      <c r="C132" s="7">
        <v>44561</v>
      </c>
      <c r="D132" s="2" t="s">
        <v>23</v>
      </c>
      <c r="E132" s="2"/>
      <c r="F132" s="93">
        <v>60</v>
      </c>
      <c r="G132" s="93">
        <v>4598</v>
      </c>
      <c r="H132" s="2">
        <v>8251</v>
      </c>
      <c r="I132" s="2">
        <v>7953</v>
      </c>
      <c r="J132" s="2" t="s">
        <v>26</v>
      </c>
      <c r="K132" s="2"/>
      <c r="L132" s="2"/>
    </row>
    <row r="133" spans="1:12" ht="30.75">
      <c r="A133" s="2"/>
      <c r="B133" s="235" t="s">
        <v>962</v>
      </c>
      <c r="C133" s="2"/>
      <c r="D133" s="2" t="s">
        <v>23</v>
      </c>
      <c r="E133" s="2"/>
      <c r="F133" s="62" t="s">
        <v>963</v>
      </c>
      <c r="G133" s="2"/>
      <c r="H133" s="2"/>
      <c r="I133" s="2"/>
      <c r="J133" s="2"/>
      <c r="K133" s="2"/>
      <c r="L133" s="2"/>
    </row>
    <row r="134" spans="1:12" ht="30.75">
      <c r="A134" s="300">
        <v>44610</v>
      </c>
      <c r="B134" s="299" t="s">
        <v>964</v>
      </c>
      <c r="C134" s="300">
        <v>44585</v>
      </c>
      <c r="D134" s="298" t="s">
        <v>23</v>
      </c>
      <c r="E134" s="298"/>
      <c r="F134" s="298" t="s">
        <v>965</v>
      </c>
      <c r="G134" s="298">
        <v>5367</v>
      </c>
      <c r="H134" s="298">
        <v>7438</v>
      </c>
      <c r="I134" s="298">
        <v>7114</v>
      </c>
      <c r="J134" s="298" t="s">
        <v>26</v>
      </c>
      <c r="K134" s="298"/>
      <c r="L134" s="2"/>
    </row>
    <row r="135" spans="1:12" ht="30.75">
      <c r="A135" s="300">
        <v>44610</v>
      </c>
      <c r="B135" s="299" t="s">
        <v>966</v>
      </c>
      <c r="C135" s="300">
        <v>44589</v>
      </c>
      <c r="D135" s="298" t="s">
        <v>23</v>
      </c>
      <c r="E135" s="298"/>
      <c r="F135" s="298" t="s">
        <v>967</v>
      </c>
      <c r="G135" s="298">
        <v>5367</v>
      </c>
      <c r="H135" s="298">
        <v>7439</v>
      </c>
      <c r="I135" s="298">
        <v>7115</v>
      </c>
      <c r="J135" s="298" t="s">
        <v>26</v>
      </c>
      <c r="K135" s="298"/>
      <c r="L135" s="2"/>
    </row>
    <row r="136" spans="1:12" ht="30.75">
      <c r="A136" s="300">
        <v>44610</v>
      </c>
      <c r="B136" s="299" t="s">
        <v>968</v>
      </c>
      <c r="C136" s="300">
        <v>44579</v>
      </c>
      <c r="D136" s="298" t="s">
        <v>23</v>
      </c>
      <c r="E136" s="298"/>
      <c r="F136" s="298" t="s">
        <v>969</v>
      </c>
      <c r="G136" s="298">
        <v>5367</v>
      </c>
      <c r="H136" s="298">
        <v>8256</v>
      </c>
      <c r="I136" s="298">
        <v>7958</v>
      </c>
      <c r="J136" s="298" t="s">
        <v>26</v>
      </c>
      <c r="K136" s="298"/>
      <c r="L136" s="2"/>
    </row>
    <row r="137" spans="1:12" ht="44.25" customHeight="1">
      <c r="A137" s="300">
        <v>44610</v>
      </c>
      <c r="B137" s="299" t="s">
        <v>970</v>
      </c>
      <c r="C137" s="300" t="s">
        <v>971</v>
      </c>
      <c r="D137" s="298" t="s">
        <v>23</v>
      </c>
      <c r="E137" s="298"/>
      <c r="F137" s="298" t="s">
        <v>972</v>
      </c>
      <c r="G137" s="298">
        <v>5367</v>
      </c>
      <c r="H137" s="298">
        <v>8254</v>
      </c>
      <c r="I137" s="298">
        <v>7956</v>
      </c>
      <c r="J137" s="298" t="s">
        <v>26</v>
      </c>
      <c r="K137" s="298"/>
      <c r="L137" s="2"/>
    </row>
    <row r="138" spans="1:12" ht="30.75">
      <c r="A138" s="300">
        <v>44610</v>
      </c>
      <c r="B138" s="299" t="s">
        <v>973</v>
      </c>
      <c r="C138" s="300" t="s">
        <v>974</v>
      </c>
      <c r="D138" s="298" t="s">
        <v>23</v>
      </c>
      <c r="E138" s="298"/>
      <c r="F138" s="298" t="s">
        <v>975</v>
      </c>
      <c r="G138" s="298">
        <v>5367</v>
      </c>
      <c r="H138" s="298">
        <v>8253</v>
      </c>
      <c r="I138" s="298">
        <v>7955</v>
      </c>
      <c r="J138" s="298" t="s">
        <v>26</v>
      </c>
      <c r="K138" s="298"/>
      <c r="L138" s="2"/>
    </row>
    <row r="139" spans="1:12" ht="30.75">
      <c r="A139" s="300">
        <v>44610</v>
      </c>
      <c r="B139" s="299" t="s">
        <v>976</v>
      </c>
      <c r="C139" s="300" t="s">
        <v>977</v>
      </c>
      <c r="D139" s="298" t="s">
        <v>23</v>
      </c>
      <c r="E139" s="298"/>
      <c r="F139" s="298" t="s">
        <v>978</v>
      </c>
      <c r="G139" s="298">
        <v>5367</v>
      </c>
      <c r="H139" s="298">
        <v>8252</v>
      </c>
      <c r="I139" s="298">
        <v>7954</v>
      </c>
      <c r="J139" s="298" t="s">
        <v>26</v>
      </c>
      <c r="K139" s="298"/>
      <c r="L139" s="2"/>
    </row>
    <row r="140" spans="1:12" ht="30.75">
      <c r="A140" s="300">
        <v>44610</v>
      </c>
      <c r="B140" s="299" t="s">
        <v>979</v>
      </c>
      <c r="C140" s="300" t="s">
        <v>980</v>
      </c>
      <c r="D140" s="298" t="s">
        <v>23</v>
      </c>
      <c r="E140" s="298"/>
      <c r="F140" s="298" t="s">
        <v>981</v>
      </c>
      <c r="G140" s="298">
        <v>5367</v>
      </c>
      <c r="H140" s="298">
        <v>8255</v>
      </c>
      <c r="I140" s="298">
        <v>7957</v>
      </c>
      <c r="J140" s="298" t="s">
        <v>26</v>
      </c>
      <c r="K140" s="298"/>
      <c r="L140" s="2"/>
    </row>
    <row r="141" spans="1:12" ht="30.75">
      <c r="A141" s="300">
        <v>44610</v>
      </c>
      <c r="B141" s="299" t="s">
        <v>982</v>
      </c>
      <c r="C141" s="300" t="s">
        <v>36</v>
      </c>
      <c r="D141" s="298" t="s">
        <v>23</v>
      </c>
      <c r="E141" s="298"/>
      <c r="F141" s="298" t="s">
        <v>983</v>
      </c>
      <c r="G141" s="298"/>
      <c r="H141" s="298" t="s">
        <v>36</v>
      </c>
      <c r="I141" s="298" t="s">
        <v>36</v>
      </c>
      <c r="J141" s="298"/>
      <c r="K141" s="298"/>
      <c r="L141" s="2"/>
    </row>
    <row r="142" spans="1:12" ht="30.75">
      <c r="A142" s="7">
        <v>44630</v>
      </c>
      <c r="B142" s="8" t="s">
        <v>984</v>
      </c>
      <c r="C142" s="7" t="s">
        <v>985</v>
      </c>
      <c r="D142" s="2" t="s">
        <v>23</v>
      </c>
      <c r="E142" s="2"/>
      <c r="F142" s="2" t="s">
        <v>986</v>
      </c>
      <c r="G142" s="2">
        <v>5779</v>
      </c>
      <c r="H142" s="2">
        <v>7447</v>
      </c>
      <c r="I142" s="2">
        <v>7123</v>
      </c>
      <c r="J142" s="2" t="s">
        <v>56</v>
      </c>
      <c r="K142" s="2"/>
      <c r="L142" s="2"/>
    </row>
    <row r="143" spans="1:12" ht="30.75">
      <c r="A143" s="7">
        <v>44630</v>
      </c>
      <c r="B143" s="8" t="s">
        <v>987</v>
      </c>
      <c r="C143" s="7" t="s">
        <v>988</v>
      </c>
      <c r="D143" s="2" t="s">
        <v>23</v>
      </c>
      <c r="E143" s="2"/>
      <c r="F143" s="2">
        <v>67.12</v>
      </c>
      <c r="G143" s="2">
        <v>5779</v>
      </c>
      <c r="H143" s="2">
        <v>7446</v>
      </c>
      <c r="I143" s="2">
        <v>7122</v>
      </c>
      <c r="J143" s="2" t="s">
        <v>56</v>
      </c>
      <c r="K143" s="2"/>
      <c r="L143" s="2"/>
    </row>
    <row r="144" spans="1:12" ht="30.75">
      <c r="A144" s="7">
        <v>44630</v>
      </c>
      <c r="B144" s="8" t="s">
        <v>984</v>
      </c>
      <c r="C144" s="7" t="s">
        <v>989</v>
      </c>
      <c r="D144" s="2" t="s">
        <v>23</v>
      </c>
      <c r="E144" s="2"/>
      <c r="F144" s="2">
        <v>75.400000000000006</v>
      </c>
      <c r="G144" s="2">
        <v>5779</v>
      </c>
      <c r="H144" s="2">
        <v>7445</v>
      </c>
      <c r="I144" s="2">
        <v>7121</v>
      </c>
      <c r="J144" s="2" t="s">
        <v>56</v>
      </c>
      <c r="K144" s="2"/>
      <c r="L144" s="2"/>
    </row>
    <row r="145" spans="1:12" ht="30.75">
      <c r="A145" s="7">
        <v>44630</v>
      </c>
      <c r="B145" s="8" t="s">
        <v>990</v>
      </c>
      <c r="C145" s="7" t="s">
        <v>991</v>
      </c>
      <c r="D145" s="2" t="s">
        <v>23</v>
      </c>
      <c r="E145" s="2"/>
      <c r="F145" s="2">
        <v>57.48</v>
      </c>
      <c r="G145" s="2">
        <v>5779</v>
      </c>
      <c r="H145" s="2">
        <v>7437</v>
      </c>
      <c r="I145" s="2">
        <v>7120</v>
      </c>
      <c r="J145" s="2" t="s">
        <v>56</v>
      </c>
      <c r="K145" s="2"/>
      <c r="L145" s="2"/>
    </row>
    <row r="146" spans="1:12" ht="30.75">
      <c r="A146" s="7">
        <v>44630</v>
      </c>
      <c r="B146" s="8" t="s">
        <v>992</v>
      </c>
      <c r="C146" s="7" t="s">
        <v>993</v>
      </c>
      <c r="D146" s="2" t="s">
        <v>23</v>
      </c>
      <c r="E146" s="2"/>
      <c r="F146" s="2">
        <v>93.28</v>
      </c>
      <c r="G146" s="2">
        <v>5779</v>
      </c>
      <c r="H146" s="2">
        <v>7443</v>
      </c>
      <c r="I146" s="2">
        <v>7118</v>
      </c>
      <c r="J146" s="2" t="s">
        <v>56</v>
      </c>
      <c r="K146" s="2"/>
      <c r="L146" s="2"/>
    </row>
    <row r="147" spans="1:12" ht="30.75">
      <c r="A147" s="7">
        <v>44630</v>
      </c>
      <c r="B147" s="8" t="s">
        <v>994</v>
      </c>
      <c r="C147" s="7">
        <v>44596</v>
      </c>
      <c r="D147" s="2" t="s">
        <v>23</v>
      </c>
      <c r="E147" s="2"/>
      <c r="F147" s="2">
        <v>74.92</v>
      </c>
      <c r="G147" s="2">
        <v>5779</v>
      </c>
      <c r="H147" s="2">
        <v>7442</v>
      </c>
      <c r="I147" s="2">
        <v>7117</v>
      </c>
      <c r="J147" s="2" t="s">
        <v>56</v>
      </c>
      <c r="K147" s="2"/>
      <c r="L147" s="2"/>
    </row>
    <row r="148" spans="1:12" ht="30.75">
      <c r="A148" s="7">
        <v>44630</v>
      </c>
      <c r="B148" s="8" t="s">
        <v>995</v>
      </c>
      <c r="C148" s="7">
        <v>44593</v>
      </c>
      <c r="D148" s="2" t="s">
        <v>23</v>
      </c>
      <c r="E148" s="2"/>
      <c r="F148" s="2">
        <v>73.88</v>
      </c>
      <c r="G148" s="2">
        <v>5779</v>
      </c>
      <c r="H148" s="2">
        <v>7441</v>
      </c>
      <c r="I148" s="2">
        <v>7116</v>
      </c>
      <c r="J148" s="2" t="s">
        <v>56</v>
      </c>
      <c r="K148" s="2"/>
      <c r="L148" s="2"/>
    </row>
    <row r="149" spans="1:12" ht="30.75">
      <c r="A149" s="7">
        <v>44630</v>
      </c>
      <c r="B149" s="8" t="s">
        <v>996</v>
      </c>
      <c r="C149" s="7" t="s">
        <v>997</v>
      </c>
      <c r="D149" s="2" t="s">
        <v>23</v>
      </c>
      <c r="E149" s="2"/>
      <c r="F149" s="2">
        <v>79.31</v>
      </c>
      <c r="G149" s="2">
        <v>5779</v>
      </c>
      <c r="H149" s="2">
        <v>7444</v>
      </c>
      <c r="I149" s="2">
        <v>7119</v>
      </c>
      <c r="J149" s="2" t="s">
        <v>56</v>
      </c>
      <c r="K149" s="2"/>
      <c r="L149" s="2"/>
    </row>
    <row r="150" spans="1:12" ht="16.5">
      <c r="A150" s="7"/>
      <c r="B150" s="237" t="s">
        <v>998</v>
      </c>
      <c r="C150" s="281" t="s">
        <v>36</v>
      </c>
      <c r="D150" s="2"/>
      <c r="E150" s="93"/>
      <c r="F150" s="93" t="s">
        <v>999</v>
      </c>
      <c r="G150" s="2"/>
      <c r="H150" s="2" t="s">
        <v>36</v>
      </c>
      <c r="I150" s="2" t="s">
        <v>36</v>
      </c>
      <c r="J150" s="2"/>
      <c r="K150" s="2"/>
      <c r="L150" s="2"/>
    </row>
    <row r="151" spans="1:12" ht="30.75">
      <c r="A151" s="7">
        <v>44676</v>
      </c>
      <c r="B151" s="8" t="s">
        <v>1000</v>
      </c>
      <c r="C151" s="7" t="s">
        <v>1001</v>
      </c>
      <c r="D151" s="2" t="s">
        <v>23</v>
      </c>
      <c r="E151" s="2"/>
      <c r="F151" s="2" t="s">
        <v>1002</v>
      </c>
      <c r="G151" s="2">
        <v>6828</v>
      </c>
      <c r="H151" s="2">
        <v>7448</v>
      </c>
      <c r="I151" s="2">
        <v>7124</v>
      </c>
      <c r="J151" s="2" t="s">
        <v>56</v>
      </c>
      <c r="K151" s="2"/>
      <c r="L151" s="2"/>
    </row>
    <row r="152" spans="1:12" ht="30.75">
      <c r="A152" s="7">
        <v>44676</v>
      </c>
      <c r="B152" s="8">
        <v>427.2</v>
      </c>
      <c r="C152" s="7">
        <v>44624</v>
      </c>
      <c r="D152" s="2" t="s">
        <v>23</v>
      </c>
      <c r="E152" s="2"/>
      <c r="F152" s="2">
        <v>51.72</v>
      </c>
      <c r="G152" s="2">
        <v>6828</v>
      </c>
      <c r="H152" s="2">
        <v>7449</v>
      </c>
      <c r="I152" s="2">
        <v>7125</v>
      </c>
      <c r="J152" s="2" t="s">
        <v>56</v>
      </c>
      <c r="K152" s="2"/>
      <c r="L152" s="2"/>
    </row>
    <row r="153" spans="1:12" ht="30.75">
      <c r="A153" s="7">
        <v>44676</v>
      </c>
      <c r="B153" s="8" t="s">
        <v>1003</v>
      </c>
      <c r="C153" s="7">
        <v>44628</v>
      </c>
      <c r="D153" s="2" t="s">
        <v>23</v>
      </c>
      <c r="E153" s="2"/>
      <c r="F153" s="2" t="s">
        <v>1004</v>
      </c>
      <c r="G153" s="2">
        <v>6828</v>
      </c>
      <c r="H153" s="2">
        <v>7450</v>
      </c>
      <c r="I153" s="2">
        <v>7126</v>
      </c>
      <c r="J153" s="2" t="s">
        <v>56</v>
      </c>
      <c r="K153" s="2"/>
      <c r="L153" s="2"/>
    </row>
    <row r="154" spans="1:12" ht="30.75">
      <c r="A154" s="7">
        <v>44676</v>
      </c>
      <c r="B154" s="8" t="s">
        <v>1005</v>
      </c>
      <c r="C154" s="7">
        <v>44634</v>
      </c>
      <c r="D154" s="2" t="s">
        <v>23</v>
      </c>
      <c r="E154" s="2"/>
      <c r="F154" s="2" t="s">
        <v>1006</v>
      </c>
      <c r="G154" s="2">
        <v>6828</v>
      </c>
      <c r="H154" s="2">
        <v>9109</v>
      </c>
      <c r="I154" s="2">
        <v>8630</v>
      </c>
      <c r="J154" s="2" t="s">
        <v>56</v>
      </c>
      <c r="K154" s="2"/>
      <c r="L154" s="2"/>
    </row>
    <row r="155" spans="1:12" ht="30.75">
      <c r="A155" s="7">
        <v>44676</v>
      </c>
      <c r="B155" s="8" t="s">
        <v>1007</v>
      </c>
      <c r="C155" s="7">
        <v>44637</v>
      </c>
      <c r="D155" s="2" t="s">
        <v>23</v>
      </c>
      <c r="E155" s="2"/>
      <c r="F155" s="2" t="s">
        <v>1008</v>
      </c>
      <c r="G155" s="2">
        <v>6828</v>
      </c>
      <c r="H155" s="2">
        <v>9097</v>
      </c>
      <c r="I155" s="2">
        <v>8631</v>
      </c>
      <c r="J155" s="2" t="s">
        <v>56</v>
      </c>
      <c r="K155" s="2"/>
      <c r="L155" s="2"/>
    </row>
    <row r="156" spans="1:12" ht="30.75">
      <c r="A156" s="7">
        <v>44676</v>
      </c>
      <c r="B156" s="8" t="s">
        <v>1009</v>
      </c>
      <c r="C156" s="7">
        <v>44642</v>
      </c>
      <c r="D156" s="2" t="s">
        <v>23</v>
      </c>
      <c r="E156" s="2"/>
      <c r="F156" s="2">
        <v>89.06</v>
      </c>
      <c r="G156" s="2">
        <v>6828</v>
      </c>
      <c r="H156" s="2">
        <v>9098</v>
      </c>
      <c r="I156" s="2">
        <v>8632</v>
      </c>
      <c r="J156" s="2" t="s">
        <v>56</v>
      </c>
      <c r="K156" s="2"/>
      <c r="L156" s="2"/>
    </row>
    <row r="157" spans="1:12" ht="30.75">
      <c r="A157" s="7">
        <v>44676</v>
      </c>
      <c r="B157" s="8" t="s">
        <v>1010</v>
      </c>
      <c r="C157" s="7">
        <v>44648</v>
      </c>
      <c r="D157" s="2" t="s">
        <v>23</v>
      </c>
      <c r="E157" s="2"/>
      <c r="F157" s="2" t="s">
        <v>1011</v>
      </c>
      <c r="G157" s="2">
        <v>6828</v>
      </c>
      <c r="H157" s="2">
        <v>9098</v>
      </c>
      <c r="I157" s="2">
        <v>8633</v>
      </c>
      <c r="J157" s="2" t="s">
        <v>56</v>
      </c>
      <c r="K157" s="2"/>
      <c r="L157" s="2"/>
    </row>
    <row r="158" spans="1:12" ht="30.75">
      <c r="A158" s="7">
        <v>44676</v>
      </c>
      <c r="B158" s="8">
        <v>621.55999999999995</v>
      </c>
      <c r="C158" s="7">
        <v>44645</v>
      </c>
      <c r="D158" s="2" t="s">
        <v>23</v>
      </c>
      <c r="E158" s="2"/>
      <c r="F158" s="2">
        <v>75.25</v>
      </c>
      <c r="G158" s="2">
        <v>6828</v>
      </c>
      <c r="H158" s="2">
        <v>9100</v>
      </c>
      <c r="I158" s="2">
        <v>8634</v>
      </c>
      <c r="J158" s="2" t="s">
        <v>56</v>
      </c>
      <c r="K158" s="2"/>
      <c r="L158" s="2"/>
    </row>
    <row r="159" spans="1:12" ht="30.75">
      <c r="A159" s="7">
        <v>44676</v>
      </c>
      <c r="B159" s="8" t="s">
        <v>1012</v>
      </c>
      <c r="C159" s="7">
        <v>44651</v>
      </c>
      <c r="D159" s="2" t="s">
        <v>23</v>
      </c>
      <c r="E159" s="2"/>
      <c r="F159" s="2" t="s">
        <v>1013</v>
      </c>
      <c r="G159" s="2">
        <v>6828</v>
      </c>
      <c r="H159" s="2">
        <v>9101</v>
      </c>
      <c r="I159" s="2">
        <v>8635</v>
      </c>
      <c r="J159" s="2" t="s">
        <v>56</v>
      </c>
      <c r="K159" s="2"/>
      <c r="L159" s="2"/>
    </row>
    <row r="160" spans="1:12" ht="30.75">
      <c r="A160" s="2"/>
      <c r="B160" s="327" t="s">
        <v>1014</v>
      </c>
      <c r="C160" s="2"/>
      <c r="D160" s="2" t="s">
        <v>23</v>
      </c>
      <c r="E160" s="2"/>
      <c r="F160" s="93" t="s">
        <v>1015</v>
      </c>
      <c r="G160" s="2"/>
      <c r="H160" s="2"/>
      <c r="I160" s="2"/>
      <c r="J160" s="2"/>
      <c r="K160" s="2"/>
      <c r="L160" s="2"/>
    </row>
    <row r="161" spans="1:12" ht="30.75">
      <c r="A161" s="7">
        <v>44698</v>
      </c>
      <c r="B161" s="8">
        <v>778.67</v>
      </c>
      <c r="C161" s="7">
        <v>44657</v>
      </c>
      <c r="D161" s="2" t="s">
        <v>23</v>
      </c>
      <c r="E161" s="2"/>
      <c r="F161" s="2">
        <v>94.27</v>
      </c>
      <c r="G161" s="2">
        <v>7167</v>
      </c>
      <c r="H161" s="2">
        <v>10311</v>
      </c>
      <c r="I161" s="2">
        <v>10033</v>
      </c>
      <c r="J161" s="2" t="s">
        <v>26</v>
      </c>
      <c r="K161" s="2"/>
      <c r="L161" s="2"/>
    </row>
    <row r="162" spans="1:12" ht="30.75">
      <c r="A162" s="7">
        <v>44698</v>
      </c>
      <c r="B162" s="8">
        <v>801.96</v>
      </c>
      <c r="C162" s="7">
        <v>44663</v>
      </c>
      <c r="D162" s="2" t="s">
        <v>23</v>
      </c>
      <c r="E162" s="2"/>
      <c r="F162" s="2">
        <v>97.09</v>
      </c>
      <c r="G162" s="2">
        <v>7167</v>
      </c>
      <c r="H162" s="2">
        <v>10312</v>
      </c>
      <c r="I162" s="2">
        <v>10034</v>
      </c>
      <c r="J162" s="2" t="s">
        <v>26</v>
      </c>
      <c r="K162" s="2"/>
      <c r="L162" s="2"/>
    </row>
    <row r="163" spans="1:12" ht="30.75">
      <c r="A163" s="7">
        <v>44698</v>
      </c>
      <c r="B163" s="8">
        <v>330.81</v>
      </c>
      <c r="C163" s="7">
        <v>44666</v>
      </c>
      <c r="D163" s="2" t="s">
        <v>23</v>
      </c>
      <c r="E163" s="2"/>
      <c r="F163" s="2">
        <v>40.049999999999997</v>
      </c>
      <c r="G163" s="2">
        <v>7167</v>
      </c>
      <c r="H163" s="2">
        <v>10313</v>
      </c>
      <c r="I163" s="2">
        <v>10035</v>
      </c>
      <c r="J163" s="2" t="s">
        <v>26</v>
      </c>
      <c r="K163" s="2"/>
      <c r="L163" s="2"/>
    </row>
    <row r="164" spans="1:12" ht="30.75">
      <c r="A164" s="7">
        <v>44698</v>
      </c>
      <c r="B164" s="8">
        <v>661.04</v>
      </c>
      <c r="C164" s="7">
        <v>44670</v>
      </c>
      <c r="D164" s="2" t="s">
        <v>23</v>
      </c>
      <c r="E164" s="2"/>
      <c r="F164" s="2">
        <v>80.03</v>
      </c>
      <c r="G164" s="2">
        <v>7167</v>
      </c>
      <c r="H164" s="2">
        <v>10315</v>
      </c>
      <c r="I164" s="2">
        <v>10036</v>
      </c>
      <c r="J164" s="2" t="s">
        <v>26</v>
      </c>
      <c r="K164" s="2"/>
      <c r="L164" s="2"/>
    </row>
    <row r="165" spans="1:12" ht="30.75">
      <c r="A165" s="7">
        <v>44698</v>
      </c>
      <c r="B165" s="8">
        <v>672.77</v>
      </c>
      <c r="C165" s="7">
        <v>44674</v>
      </c>
      <c r="D165" s="2" t="s">
        <v>23</v>
      </c>
      <c r="E165" s="2"/>
      <c r="F165" s="2">
        <v>81.45</v>
      </c>
      <c r="G165" s="2">
        <v>7167</v>
      </c>
      <c r="H165" s="2">
        <v>10314</v>
      </c>
      <c r="I165" s="2">
        <v>10037</v>
      </c>
      <c r="J165" s="2" t="s">
        <v>26</v>
      </c>
      <c r="K165" s="2"/>
      <c r="L165" s="2"/>
    </row>
    <row r="166" spans="1:12" ht="30.75">
      <c r="A166" s="7">
        <v>44698</v>
      </c>
      <c r="B166" s="8">
        <v>379.96</v>
      </c>
      <c r="C166" s="7">
        <v>44677</v>
      </c>
      <c r="D166" s="2" t="s">
        <v>23</v>
      </c>
      <c r="E166" s="2"/>
      <c r="F166" s="2">
        <v>46</v>
      </c>
      <c r="G166" s="2">
        <v>7167</v>
      </c>
      <c r="H166" s="2">
        <v>10316</v>
      </c>
      <c r="I166" s="2">
        <v>10038</v>
      </c>
      <c r="J166" s="2" t="s">
        <v>26</v>
      </c>
      <c r="K166" s="2"/>
      <c r="L166" s="2"/>
    </row>
    <row r="167" spans="1:12" ht="30.75">
      <c r="A167" s="7">
        <v>44698</v>
      </c>
      <c r="B167" s="8">
        <v>591.82000000000005</v>
      </c>
      <c r="C167" s="7">
        <v>44680</v>
      </c>
      <c r="D167" s="2" t="s">
        <v>23</v>
      </c>
      <c r="E167" s="2"/>
      <c r="F167" s="2">
        <v>71.650000000000006</v>
      </c>
      <c r="G167" s="2">
        <v>7167</v>
      </c>
      <c r="H167" s="2">
        <v>10321</v>
      </c>
      <c r="I167" s="2">
        <v>10039</v>
      </c>
      <c r="J167" s="2" t="s">
        <v>26</v>
      </c>
      <c r="K167" s="2"/>
      <c r="L167" s="2"/>
    </row>
    <row r="168" spans="1:12" ht="30.75">
      <c r="A168" s="2"/>
      <c r="B168" s="268" t="s">
        <v>1016</v>
      </c>
      <c r="C168" s="267"/>
      <c r="D168" s="267" t="s">
        <v>23</v>
      </c>
      <c r="E168" s="267"/>
      <c r="F168" s="267">
        <f>SUM(F161:F167)</f>
        <v>510.54000000000008</v>
      </c>
      <c r="G168" s="267" t="s">
        <v>704</v>
      </c>
      <c r="H168" s="2"/>
      <c r="I168" s="2"/>
      <c r="J168" s="2"/>
      <c r="K168" s="2"/>
      <c r="L168" s="2"/>
    </row>
    <row r="169" spans="1:12" ht="30.75">
      <c r="A169" s="374">
        <v>44719</v>
      </c>
      <c r="B169" s="373"/>
      <c r="C169" s="374">
        <v>44712</v>
      </c>
      <c r="D169" s="372" t="s">
        <v>23</v>
      </c>
      <c r="E169" s="372"/>
      <c r="F169" s="372">
        <v>68.88</v>
      </c>
      <c r="G169" s="372">
        <v>7917</v>
      </c>
      <c r="H169" s="372">
        <v>11316</v>
      </c>
      <c r="I169" s="372">
        <v>10978</v>
      </c>
      <c r="J169" s="372" t="s">
        <v>56</v>
      </c>
      <c r="K169" s="372"/>
      <c r="L169" s="2"/>
    </row>
    <row r="170" spans="1:12" ht="30.75">
      <c r="A170" s="374">
        <v>44719</v>
      </c>
      <c r="B170" s="373"/>
      <c r="C170" s="374">
        <v>44708</v>
      </c>
      <c r="D170" s="372" t="s">
        <v>23</v>
      </c>
      <c r="E170" s="372"/>
      <c r="F170" s="372">
        <v>51.95</v>
      </c>
      <c r="G170" s="372">
        <v>7917</v>
      </c>
      <c r="H170" s="372">
        <v>11317</v>
      </c>
      <c r="I170" s="372">
        <v>10977</v>
      </c>
      <c r="J170" s="372" t="s">
        <v>56</v>
      </c>
      <c r="K170" s="372"/>
      <c r="L170" s="2"/>
    </row>
    <row r="171" spans="1:12" ht="30.75">
      <c r="A171" s="374">
        <v>44719</v>
      </c>
      <c r="B171" s="373"/>
      <c r="C171" s="374">
        <v>44705</v>
      </c>
      <c r="D171" s="372" t="s">
        <v>23</v>
      </c>
      <c r="E171" s="372"/>
      <c r="F171" s="372">
        <v>42.05</v>
      </c>
      <c r="G171" s="372">
        <v>7917</v>
      </c>
      <c r="H171" s="372">
        <v>11318</v>
      </c>
      <c r="I171" s="372">
        <v>10976</v>
      </c>
      <c r="J171" s="372" t="s">
        <v>56</v>
      </c>
      <c r="K171" s="372"/>
      <c r="L171" s="2"/>
    </row>
    <row r="172" spans="1:12" ht="30.75">
      <c r="A172" s="374">
        <v>44719</v>
      </c>
      <c r="B172" s="373"/>
      <c r="C172" s="374">
        <v>44702</v>
      </c>
      <c r="D172" s="372" t="s">
        <v>23</v>
      </c>
      <c r="E172" s="372"/>
      <c r="F172" s="372">
        <v>49.42</v>
      </c>
      <c r="G172" s="372">
        <v>7917</v>
      </c>
      <c r="H172" s="372">
        <v>11319</v>
      </c>
      <c r="I172" s="372">
        <v>10975</v>
      </c>
      <c r="J172" s="372" t="s">
        <v>56</v>
      </c>
      <c r="K172" s="372"/>
      <c r="L172" s="2"/>
    </row>
    <row r="173" spans="1:12" ht="30.75">
      <c r="A173" s="374">
        <v>44719</v>
      </c>
      <c r="B173" s="373"/>
      <c r="C173" s="374">
        <v>44699</v>
      </c>
      <c r="D173" s="372" t="s">
        <v>23</v>
      </c>
      <c r="E173" s="372"/>
      <c r="F173" s="372">
        <v>90.57</v>
      </c>
      <c r="G173" s="372">
        <v>7917</v>
      </c>
      <c r="H173" s="372">
        <v>10322</v>
      </c>
      <c r="I173" s="372">
        <v>10044</v>
      </c>
      <c r="J173" s="372" t="s">
        <v>56</v>
      </c>
      <c r="K173" s="372"/>
      <c r="L173" s="2"/>
    </row>
    <row r="174" spans="1:12" ht="30.75">
      <c r="A174" s="374">
        <v>44719</v>
      </c>
      <c r="B174" s="373"/>
      <c r="C174" s="374">
        <v>44688</v>
      </c>
      <c r="D174" s="372" t="s">
        <v>23</v>
      </c>
      <c r="E174" s="372"/>
      <c r="F174" s="372">
        <v>95.2</v>
      </c>
      <c r="G174" s="372">
        <v>7917</v>
      </c>
      <c r="H174" s="372">
        <v>10319</v>
      </c>
      <c r="I174" s="372">
        <v>10041</v>
      </c>
      <c r="J174" s="372" t="s">
        <v>56</v>
      </c>
      <c r="K174" s="372"/>
      <c r="L174" s="2"/>
    </row>
    <row r="175" spans="1:12" ht="30.75">
      <c r="A175" s="374">
        <v>44719</v>
      </c>
      <c r="B175" s="373"/>
      <c r="C175" s="374">
        <v>44684</v>
      </c>
      <c r="D175" s="372" t="s">
        <v>23</v>
      </c>
      <c r="E175" s="372"/>
      <c r="F175" s="372">
        <v>58.01</v>
      </c>
      <c r="G175" s="372">
        <v>7917</v>
      </c>
      <c r="H175" s="372">
        <v>10320</v>
      </c>
      <c r="I175" s="372">
        <v>10040</v>
      </c>
      <c r="J175" s="372" t="s">
        <v>56</v>
      </c>
      <c r="K175" s="372"/>
      <c r="L175" s="2"/>
    </row>
    <row r="176" spans="1:12" ht="30.75">
      <c r="A176" s="372" t="s">
        <v>1017</v>
      </c>
      <c r="B176" s="373"/>
      <c r="C176" s="374">
        <v>44694</v>
      </c>
      <c r="D176" s="372" t="s">
        <v>23</v>
      </c>
      <c r="E176" s="372"/>
      <c r="F176" s="372">
        <v>63.07</v>
      </c>
      <c r="G176" s="372">
        <v>7917</v>
      </c>
      <c r="H176" s="372">
        <v>10317</v>
      </c>
      <c r="I176" s="372"/>
      <c r="J176" s="372" t="s">
        <v>56</v>
      </c>
      <c r="K176" s="372"/>
      <c r="L176" s="2"/>
    </row>
    <row r="177" spans="1:12" ht="30.75">
      <c r="A177" s="374">
        <v>44719</v>
      </c>
      <c r="B177" s="373"/>
      <c r="C177" s="374">
        <v>44691</v>
      </c>
      <c r="D177" s="372" t="s">
        <v>23</v>
      </c>
      <c r="E177" s="372"/>
      <c r="F177" s="372">
        <v>40.049999999999997</v>
      </c>
      <c r="G177" s="372">
        <v>7917</v>
      </c>
      <c r="H177" s="372">
        <v>10318</v>
      </c>
      <c r="I177" s="372"/>
      <c r="J177" s="372" t="s">
        <v>56</v>
      </c>
      <c r="K177" s="372"/>
      <c r="L177" s="2"/>
    </row>
    <row r="178" spans="1:12" ht="30.75">
      <c r="A178" s="2"/>
      <c r="B178" s="8" t="s">
        <v>1018</v>
      </c>
      <c r="C178" s="2"/>
      <c r="D178" s="2" t="s">
        <v>23</v>
      </c>
      <c r="E178" s="2"/>
      <c r="F178" s="363">
        <f>SUM(F169:F177)</f>
        <v>559.19999999999993</v>
      </c>
      <c r="G178" s="2" t="s">
        <v>708</v>
      </c>
      <c r="H178" s="2"/>
      <c r="I178" s="2"/>
      <c r="J178" s="2"/>
      <c r="K178" s="2"/>
      <c r="L178" s="2"/>
    </row>
    <row r="179" spans="1:12" ht="30.75">
      <c r="A179" s="387">
        <v>44753</v>
      </c>
      <c r="B179" s="388"/>
      <c r="C179" s="387">
        <v>44717</v>
      </c>
      <c r="D179" s="303" t="s">
        <v>23</v>
      </c>
      <c r="E179" s="303"/>
      <c r="F179" s="303">
        <v>72.09</v>
      </c>
      <c r="G179" s="303">
        <v>8628</v>
      </c>
      <c r="H179" s="303">
        <v>11315</v>
      </c>
      <c r="I179" s="303">
        <v>10979</v>
      </c>
      <c r="J179" s="303" t="s">
        <v>56</v>
      </c>
      <c r="K179" s="303"/>
      <c r="L179" s="2"/>
    </row>
    <row r="180" spans="1:12" ht="30.75">
      <c r="A180" s="387">
        <v>44753</v>
      </c>
      <c r="B180" s="388"/>
      <c r="C180" s="387">
        <v>44720</v>
      </c>
      <c r="D180" s="303" t="s">
        <v>23</v>
      </c>
      <c r="E180" s="303"/>
      <c r="F180" s="303">
        <v>64.05</v>
      </c>
      <c r="G180" s="303">
        <v>8628</v>
      </c>
      <c r="H180" s="303">
        <v>11314</v>
      </c>
      <c r="I180" s="303">
        <v>10980</v>
      </c>
      <c r="J180" s="303" t="s">
        <v>56</v>
      </c>
      <c r="K180" s="303"/>
      <c r="L180" s="2"/>
    </row>
    <row r="181" spans="1:12" ht="30.75">
      <c r="A181" s="387">
        <v>44753</v>
      </c>
      <c r="B181" s="388"/>
      <c r="C181" s="387">
        <v>44723</v>
      </c>
      <c r="D181" s="303" t="s">
        <v>23</v>
      </c>
      <c r="E181" s="303"/>
      <c r="F181" s="303">
        <v>62.92</v>
      </c>
      <c r="G181" s="303">
        <v>8628</v>
      </c>
      <c r="H181" s="303">
        <v>11313</v>
      </c>
      <c r="I181" s="303">
        <v>10981</v>
      </c>
      <c r="J181" s="303" t="s">
        <v>56</v>
      </c>
      <c r="K181" s="303"/>
      <c r="L181" s="2"/>
    </row>
    <row r="182" spans="1:12" ht="30.75">
      <c r="A182" s="387">
        <v>44753</v>
      </c>
      <c r="B182" s="388"/>
      <c r="C182" s="387">
        <v>44726</v>
      </c>
      <c r="D182" s="303" t="s">
        <v>23</v>
      </c>
      <c r="E182" s="303"/>
      <c r="F182" s="303">
        <v>42.09</v>
      </c>
      <c r="G182" s="303">
        <v>8628</v>
      </c>
      <c r="H182" s="303">
        <v>11312</v>
      </c>
      <c r="I182" s="303">
        <v>10982</v>
      </c>
      <c r="J182" s="303" t="s">
        <v>56</v>
      </c>
      <c r="K182" s="303"/>
      <c r="L182" s="2"/>
    </row>
    <row r="183" spans="1:12" ht="30.75">
      <c r="A183" s="387">
        <v>44753</v>
      </c>
      <c r="B183" s="388"/>
      <c r="C183" s="387">
        <v>44729</v>
      </c>
      <c r="D183" s="303" t="s">
        <v>23</v>
      </c>
      <c r="E183" s="303"/>
      <c r="F183" s="303">
        <v>45.63</v>
      </c>
      <c r="G183" s="303">
        <v>8628</v>
      </c>
      <c r="H183" s="303">
        <v>11311</v>
      </c>
      <c r="I183" s="303">
        <v>10983</v>
      </c>
      <c r="J183" s="303" t="s">
        <v>56</v>
      </c>
      <c r="K183" s="303"/>
      <c r="L183" s="2"/>
    </row>
    <row r="184" spans="1:12" ht="30.75">
      <c r="A184" s="387">
        <v>44753</v>
      </c>
      <c r="B184" s="388"/>
      <c r="C184" s="387">
        <v>44733</v>
      </c>
      <c r="D184" s="303" t="s">
        <v>23</v>
      </c>
      <c r="E184" s="303"/>
      <c r="F184" s="303">
        <v>76.03</v>
      </c>
      <c r="G184" s="303">
        <v>8628</v>
      </c>
      <c r="H184" s="303">
        <v>11310</v>
      </c>
      <c r="I184" s="303">
        <v>10984</v>
      </c>
      <c r="J184" s="303" t="s">
        <v>56</v>
      </c>
      <c r="K184" s="303"/>
      <c r="L184" s="2"/>
    </row>
    <row r="185" spans="1:12" ht="30.75">
      <c r="A185" s="387">
        <v>44753</v>
      </c>
      <c r="B185" s="388"/>
      <c r="C185" s="387">
        <v>44737</v>
      </c>
      <c r="D185" s="303" t="s">
        <v>23</v>
      </c>
      <c r="E185" s="303"/>
      <c r="F185" s="303">
        <v>68.97</v>
      </c>
      <c r="G185" s="303">
        <v>8628</v>
      </c>
      <c r="H185" s="303">
        <v>11309</v>
      </c>
      <c r="I185" s="303">
        <v>10985</v>
      </c>
      <c r="J185" s="303" t="s">
        <v>56</v>
      </c>
      <c r="K185" s="303"/>
      <c r="L185" s="2"/>
    </row>
    <row r="186" spans="1:12" ht="30.75">
      <c r="A186" s="387">
        <v>44753</v>
      </c>
      <c r="B186" s="388"/>
      <c r="C186" s="387">
        <v>44740</v>
      </c>
      <c r="D186" s="303" t="s">
        <v>23</v>
      </c>
      <c r="E186" s="303"/>
      <c r="F186" s="303">
        <v>51.25</v>
      </c>
      <c r="G186" s="303">
        <v>8628</v>
      </c>
      <c r="H186" s="303">
        <v>12148</v>
      </c>
      <c r="I186" s="303">
        <v>11920</v>
      </c>
      <c r="J186" s="303" t="s">
        <v>56</v>
      </c>
      <c r="K186" s="303"/>
      <c r="L186" s="2"/>
    </row>
    <row r="187" spans="1:12">
      <c r="A187" s="312"/>
      <c r="B187" s="389" t="s">
        <v>1019</v>
      </c>
      <c r="C187" s="312"/>
      <c r="D187" s="312" t="s">
        <v>707</v>
      </c>
      <c r="E187" s="312"/>
      <c r="F187" s="312">
        <v>483.03</v>
      </c>
      <c r="G187" s="312"/>
      <c r="H187" s="312"/>
      <c r="I187" s="312"/>
      <c r="J187" s="312"/>
      <c r="K187" s="303"/>
      <c r="L187" s="2"/>
    </row>
    <row r="188" spans="1:12" ht="30.75">
      <c r="A188" s="362">
        <v>44793</v>
      </c>
      <c r="B188" s="392"/>
      <c r="C188" s="362">
        <v>44769</v>
      </c>
      <c r="D188" s="361" t="s">
        <v>23</v>
      </c>
      <c r="E188" s="361"/>
      <c r="F188" s="361">
        <v>83.66</v>
      </c>
      <c r="G188" s="361">
        <v>9577</v>
      </c>
      <c r="H188" s="361">
        <v>14175</v>
      </c>
      <c r="I188" s="361">
        <v>13901</v>
      </c>
      <c r="J188" s="361" t="s">
        <v>56</v>
      </c>
      <c r="K188" s="361"/>
      <c r="L188" s="2"/>
    </row>
    <row r="189" spans="1:12" ht="30.75">
      <c r="A189" s="362">
        <v>44793</v>
      </c>
      <c r="B189" s="392"/>
      <c r="C189" s="362">
        <v>44764</v>
      </c>
      <c r="D189" s="361" t="s">
        <v>23</v>
      </c>
      <c r="E189" s="361"/>
      <c r="F189" s="361">
        <v>69.16</v>
      </c>
      <c r="G189" s="361">
        <v>9577</v>
      </c>
      <c r="H189" s="361">
        <v>12155</v>
      </c>
      <c r="I189" s="361">
        <v>11927</v>
      </c>
      <c r="J189" s="361" t="s">
        <v>56</v>
      </c>
      <c r="K189" s="361"/>
      <c r="L189" s="2"/>
    </row>
    <row r="190" spans="1:12" ht="30.75">
      <c r="A190" s="362">
        <v>44793</v>
      </c>
      <c r="B190" s="392"/>
      <c r="C190" s="362">
        <v>44761</v>
      </c>
      <c r="D190" s="361" t="s">
        <v>23</v>
      </c>
      <c r="E190" s="361"/>
      <c r="F190" s="361">
        <v>63.77</v>
      </c>
      <c r="G190" s="361">
        <v>9577</v>
      </c>
      <c r="H190" s="361">
        <v>12154</v>
      </c>
      <c r="I190" s="361">
        <v>11926</v>
      </c>
      <c r="J190" s="361" t="s">
        <v>56</v>
      </c>
      <c r="K190" s="361"/>
      <c r="L190" s="2"/>
    </row>
    <row r="191" spans="1:12" ht="30.75">
      <c r="A191" s="362">
        <v>44793</v>
      </c>
      <c r="B191" s="392"/>
      <c r="C191" s="362">
        <v>44757</v>
      </c>
      <c r="D191" s="361" t="s">
        <v>23</v>
      </c>
      <c r="E191" s="361"/>
      <c r="F191" s="361">
        <v>70.06</v>
      </c>
      <c r="G191" s="361">
        <v>9577</v>
      </c>
      <c r="H191" s="361">
        <v>12153</v>
      </c>
      <c r="I191" s="361">
        <v>11925</v>
      </c>
      <c r="J191" s="361" t="s">
        <v>56</v>
      </c>
      <c r="K191" s="361"/>
      <c r="L191" s="2"/>
    </row>
    <row r="192" spans="1:12" ht="30.75">
      <c r="A192" s="362">
        <v>44793</v>
      </c>
      <c r="B192" s="392"/>
      <c r="C192" s="362">
        <v>44754</v>
      </c>
      <c r="D192" s="361" t="s">
        <v>23</v>
      </c>
      <c r="E192" s="361"/>
      <c r="F192" s="361">
        <v>50.87</v>
      </c>
      <c r="G192" s="361">
        <v>9577</v>
      </c>
      <c r="H192" s="361">
        <v>12152</v>
      </c>
      <c r="I192" s="361">
        <v>11924</v>
      </c>
      <c r="J192" s="361" t="s">
        <v>56</v>
      </c>
      <c r="K192" s="361"/>
      <c r="L192" s="2"/>
    </row>
    <row r="193" spans="1:12" ht="30.75">
      <c r="A193" s="362">
        <v>44793</v>
      </c>
      <c r="B193" s="392"/>
      <c r="C193" s="362">
        <v>44750</v>
      </c>
      <c r="D193" s="361" t="s">
        <v>23</v>
      </c>
      <c r="E193" s="361"/>
      <c r="F193" s="361">
        <v>48.25</v>
      </c>
      <c r="G193" s="361">
        <v>9577</v>
      </c>
      <c r="H193" s="361">
        <v>12151</v>
      </c>
      <c r="I193" s="361">
        <v>11923</v>
      </c>
      <c r="J193" s="361" t="s">
        <v>56</v>
      </c>
      <c r="K193" s="361"/>
      <c r="L193" s="2"/>
    </row>
    <row r="194" spans="1:12" ht="30.75">
      <c r="A194" s="362">
        <v>44793</v>
      </c>
      <c r="B194" s="392"/>
      <c r="C194" s="362">
        <v>44747</v>
      </c>
      <c r="D194" s="361" t="s">
        <v>23</v>
      </c>
      <c r="E194" s="361"/>
      <c r="F194" s="361">
        <v>58.5</v>
      </c>
      <c r="G194" s="361">
        <v>9577</v>
      </c>
      <c r="H194" s="361">
        <v>12150</v>
      </c>
      <c r="I194" s="361">
        <v>11922</v>
      </c>
      <c r="J194" s="361" t="s">
        <v>56</v>
      </c>
      <c r="K194" s="361"/>
      <c r="L194" s="2"/>
    </row>
    <row r="195" spans="1:12" ht="30.75">
      <c r="A195" s="362">
        <v>44793</v>
      </c>
      <c r="B195" s="392"/>
      <c r="C195" s="362">
        <v>44743</v>
      </c>
      <c r="D195" s="361" t="s">
        <v>23</v>
      </c>
      <c r="E195" s="361"/>
      <c r="F195" s="361">
        <v>41.16</v>
      </c>
      <c r="G195" s="361">
        <v>9577</v>
      </c>
      <c r="H195" s="361">
        <v>12149</v>
      </c>
      <c r="I195" s="361">
        <v>11921</v>
      </c>
      <c r="J195" s="361" t="s">
        <v>56</v>
      </c>
      <c r="K195" s="361"/>
      <c r="L195" s="2"/>
    </row>
    <row r="196" spans="1:12" ht="30.75">
      <c r="A196" s="361"/>
      <c r="B196" s="424" t="s">
        <v>1020</v>
      </c>
      <c r="C196" s="425"/>
      <c r="D196" s="425" t="s">
        <v>23</v>
      </c>
      <c r="E196" s="425"/>
      <c r="F196" s="425">
        <f>SUM(F188:F195)</f>
        <v>485.42999999999995</v>
      </c>
      <c r="G196" s="425" t="s">
        <v>708</v>
      </c>
      <c r="H196" s="361"/>
      <c r="I196" s="361"/>
      <c r="J196" s="361"/>
      <c r="K196" s="361"/>
      <c r="L196" s="2"/>
    </row>
    <row r="197" spans="1:12" ht="30.75">
      <c r="A197" s="421">
        <v>44841</v>
      </c>
      <c r="B197" s="420"/>
      <c r="C197" s="421">
        <v>44777</v>
      </c>
      <c r="D197" s="419" t="s">
        <v>23</v>
      </c>
      <c r="E197" s="419"/>
      <c r="F197" s="419">
        <v>132.06</v>
      </c>
      <c r="G197" s="419">
        <v>10888</v>
      </c>
      <c r="H197" s="419">
        <v>14176</v>
      </c>
      <c r="I197" s="419">
        <v>13900</v>
      </c>
      <c r="J197" s="419" t="s">
        <v>56</v>
      </c>
      <c r="K197" s="419"/>
      <c r="L197" s="2"/>
    </row>
    <row r="198" spans="1:12" ht="30.75">
      <c r="A198" s="421">
        <v>44841</v>
      </c>
      <c r="B198" s="420"/>
      <c r="C198" s="421">
        <v>44782</v>
      </c>
      <c r="D198" s="419" t="s">
        <v>23</v>
      </c>
      <c r="E198" s="419"/>
      <c r="F198" s="419">
        <v>100.35</v>
      </c>
      <c r="G198" s="419">
        <v>10888</v>
      </c>
      <c r="H198" s="419">
        <v>14177</v>
      </c>
      <c r="I198" s="419">
        <v>13899</v>
      </c>
      <c r="J198" s="419" t="s">
        <v>56</v>
      </c>
      <c r="K198" s="419"/>
      <c r="L198" s="2"/>
    </row>
    <row r="199" spans="1:12" ht="30.75">
      <c r="A199" s="421">
        <v>44841</v>
      </c>
      <c r="B199" s="420"/>
      <c r="C199" s="421">
        <v>44804</v>
      </c>
      <c r="D199" s="419" t="s">
        <v>23</v>
      </c>
      <c r="E199" s="419"/>
      <c r="F199" s="419">
        <v>84.56</v>
      </c>
      <c r="G199" s="419">
        <v>10888</v>
      </c>
      <c r="H199" s="419">
        <v>16615</v>
      </c>
      <c r="I199" s="419">
        <v>16240</v>
      </c>
      <c r="J199" s="419" t="s">
        <v>56</v>
      </c>
      <c r="K199" s="419"/>
      <c r="L199" s="2"/>
    </row>
    <row r="200" spans="1:12" ht="30.75">
      <c r="A200" s="421">
        <v>44841</v>
      </c>
      <c r="B200" s="420"/>
      <c r="C200" s="421">
        <v>44800</v>
      </c>
      <c r="D200" s="419" t="s">
        <v>23</v>
      </c>
      <c r="E200" s="419"/>
      <c r="F200" s="419">
        <v>62.6</v>
      </c>
      <c r="G200" s="419">
        <v>10888</v>
      </c>
      <c r="H200" s="419">
        <v>16616</v>
      </c>
      <c r="I200" s="419">
        <v>16239</v>
      </c>
      <c r="J200" s="419" t="s">
        <v>56</v>
      </c>
      <c r="K200" s="419"/>
      <c r="L200" s="2"/>
    </row>
    <row r="201" spans="1:12" ht="30.75">
      <c r="A201" s="421">
        <v>44841</v>
      </c>
      <c r="B201" s="420"/>
      <c r="C201" s="421">
        <v>44797</v>
      </c>
      <c r="D201" s="419" t="s">
        <v>23</v>
      </c>
      <c r="E201" s="419"/>
      <c r="F201" s="419">
        <v>72.099999999999994</v>
      </c>
      <c r="G201" s="419">
        <v>10888</v>
      </c>
      <c r="H201" s="419">
        <v>16617</v>
      </c>
      <c r="I201" s="419">
        <v>16238</v>
      </c>
      <c r="J201" s="419" t="s">
        <v>56</v>
      </c>
      <c r="K201" s="419"/>
      <c r="L201" s="2"/>
    </row>
    <row r="202" spans="1:12" ht="30.75">
      <c r="A202" s="421">
        <v>44841</v>
      </c>
      <c r="B202" s="420"/>
      <c r="C202" s="421">
        <v>44792</v>
      </c>
      <c r="D202" s="419" t="s">
        <v>23</v>
      </c>
      <c r="E202" s="419"/>
      <c r="F202" s="419">
        <v>60.05</v>
      </c>
      <c r="G202" s="419">
        <v>10888</v>
      </c>
      <c r="H202" s="419">
        <v>16618</v>
      </c>
      <c r="I202" s="419">
        <v>16237</v>
      </c>
      <c r="J202" s="419" t="s">
        <v>56</v>
      </c>
      <c r="K202" s="419"/>
      <c r="L202" s="2"/>
    </row>
    <row r="203" spans="1:12" ht="30.75">
      <c r="A203" s="421">
        <v>44841</v>
      </c>
      <c r="B203" s="420"/>
      <c r="C203" s="421">
        <v>44789</v>
      </c>
      <c r="D203" s="419" t="s">
        <v>23</v>
      </c>
      <c r="E203" s="419"/>
      <c r="F203" s="419">
        <v>60</v>
      </c>
      <c r="G203" s="419">
        <v>10888</v>
      </c>
      <c r="H203" s="419">
        <v>16614</v>
      </c>
      <c r="I203" s="419">
        <v>16236</v>
      </c>
      <c r="J203" s="419" t="s">
        <v>56</v>
      </c>
      <c r="K203" s="419"/>
      <c r="L203" s="2"/>
    </row>
    <row r="204" spans="1:12" ht="30.75">
      <c r="A204" s="421">
        <v>44841</v>
      </c>
      <c r="B204" s="420"/>
      <c r="C204" s="421">
        <v>44785</v>
      </c>
      <c r="D204" s="419" t="s">
        <v>23</v>
      </c>
      <c r="E204" s="419"/>
      <c r="F204" s="419">
        <v>48.21</v>
      </c>
      <c r="G204" s="419">
        <v>10888</v>
      </c>
      <c r="H204" s="419">
        <v>14178</v>
      </c>
      <c r="I204" s="419">
        <v>13898</v>
      </c>
      <c r="J204" s="419" t="s">
        <v>56</v>
      </c>
      <c r="K204" s="419"/>
      <c r="L204" s="2"/>
    </row>
    <row r="205" spans="1:12" ht="30.75">
      <c r="A205" s="419"/>
      <c r="B205" s="422" t="s">
        <v>1021</v>
      </c>
      <c r="C205" s="423"/>
      <c r="D205" s="423" t="s">
        <v>23</v>
      </c>
      <c r="E205" s="423"/>
      <c r="F205" s="423">
        <f>SUM(F197:F204)</f>
        <v>619.93000000000006</v>
      </c>
      <c r="G205" s="423" t="s">
        <v>708</v>
      </c>
      <c r="H205" s="419"/>
      <c r="I205" s="419"/>
      <c r="J205" s="419"/>
      <c r="K205" s="419"/>
      <c r="L205" s="2"/>
    </row>
    <row r="206" spans="1:12" ht="30.75">
      <c r="A206" s="2" t="s">
        <v>167</v>
      </c>
      <c r="B206" s="8"/>
      <c r="C206" s="7">
        <v>44816</v>
      </c>
      <c r="D206" s="2" t="s">
        <v>23</v>
      </c>
      <c r="E206" s="2"/>
      <c r="F206" s="100">
        <v>102.87</v>
      </c>
      <c r="G206" s="2">
        <v>10948</v>
      </c>
      <c r="H206" s="2">
        <v>16620</v>
      </c>
      <c r="I206" s="2">
        <v>16242</v>
      </c>
      <c r="J206" s="2" t="s">
        <v>56</v>
      </c>
      <c r="K206" s="2" t="s">
        <v>73</v>
      </c>
      <c r="L206" s="2"/>
    </row>
    <row r="207" spans="1:12" ht="30.75">
      <c r="A207" s="2" t="s">
        <v>167</v>
      </c>
      <c r="B207" s="8"/>
      <c r="C207" s="7">
        <v>44811</v>
      </c>
      <c r="D207" s="2" t="s">
        <v>23</v>
      </c>
      <c r="E207" s="2"/>
      <c r="F207" s="100">
        <v>114.9</v>
      </c>
      <c r="G207" s="2">
        <v>10948</v>
      </c>
      <c r="H207" s="2">
        <v>16619</v>
      </c>
      <c r="I207" s="2">
        <v>16241</v>
      </c>
      <c r="J207" s="2" t="s">
        <v>56</v>
      </c>
      <c r="K207" s="2" t="s">
        <v>73</v>
      </c>
      <c r="L207" s="2"/>
    </row>
    <row r="208" spans="1:12" ht="30.75">
      <c r="A208" s="2" t="s">
        <v>167</v>
      </c>
      <c r="B208" s="8"/>
      <c r="C208" s="7">
        <v>44824</v>
      </c>
      <c r="D208" s="2" t="s">
        <v>23</v>
      </c>
      <c r="E208" s="2"/>
      <c r="F208" s="100">
        <v>62.52</v>
      </c>
      <c r="G208" s="2">
        <v>10948</v>
      </c>
      <c r="H208" s="2">
        <v>18666</v>
      </c>
      <c r="I208" s="100">
        <v>17724</v>
      </c>
      <c r="J208" s="2" t="s">
        <v>56</v>
      </c>
      <c r="K208" s="2" t="s">
        <v>73</v>
      </c>
      <c r="L208" s="2"/>
    </row>
    <row r="209" spans="1:12" ht="30.75">
      <c r="A209" s="2" t="s">
        <v>167</v>
      </c>
      <c r="B209" s="8"/>
      <c r="C209" s="7">
        <v>44820</v>
      </c>
      <c r="D209" s="2" t="s">
        <v>23</v>
      </c>
      <c r="E209" s="2"/>
      <c r="F209" s="100">
        <v>82.67</v>
      </c>
      <c r="G209" s="2">
        <v>10948</v>
      </c>
      <c r="H209" s="2">
        <v>18667</v>
      </c>
      <c r="I209" s="100">
        <v>17722</v>
      </c>
      <c r="J209" s="2" t="s">
        <v>56</v>
      </c>
      <c r="K209" s="2" t="s">
        <v>73</v>
      </c>
      <c r="L209" s="2"/>
    </row>
    <row r="210" spans="1:12" ht="30.75">
      <c r="A210" s="2" t="s">
        <v>167</v>
      </c>
      <c r="B210" s="8"/>
      <c r="C210" s="7">
        <v>44831</v>
      </c>
      <c r="D210" s="2" t="s">
        <v>23</v>
      </c>
      <c r="E210" s="2"/>
      <c r="F210" s="100">
        <v>59.5</v>
      </c>
      <c r="G210" s="2">
        <v>10948</v>
      </c>
      <c r="H210" s="2">
        <v>18669</v>
      </c>
      <c r="I210" s="100">
        <v>17727</v>
      </c>
      <c r="J210" s="2" t="s">
        <v>56</v>
      </c>
      <c r="K210" s="2" t="s">
        <v>73</v>
      </c>
      <c r="L210" s="2"/>
    </row>
    <row r="211" spans="1:12" ht="30.75">
      <c r="A211" s="2" t="s">
        <v>167</v>
      </c>
      <c r="B211" s="8"/>
      <c r="C211" s="7">
        <v>44827</v>
      </c>
      <c r="D211" s="2" t="s">
        <v>23</v>
      </c>
      <c r="E211" s="2"/>
      <c r="F211" s="100">
        <v>46.9</v>
      </c>
      <c r="G211" s="2">
        <v>10948</v>
      </c>
      <c r="H211" s="2">
        <v>18670</v>
      </c>
      <c r="I211" s="100">
        <v>17726</v>
      </c>
      <c r="J211" s="2" t="s">
        <v>56</v>
      </c>
      <c r="K211" s="2" t="s">
        <v>73</v>
      </c>
      <c r="L211" s="2"/>
    </row>
    <row r="212" spans="1:12" ht="30.75">
      <c r="A212" s="2" t="s">
        <v>167</v>
      </c>
      <c r="B212" s="8"/>
      <c r="C212" s="7">
        <v>44834</v>
      </c>
      <c r="D212" s="2" t="s">
        <v>23</v>
      </c>
      <c r="E212" s="2"/>
      <c r="F212" s="100">
        <v>51.35</v>
      </c>
      <c r="G212" s="2">
        <v>10948</v>
      </c>
      <c r="H212" s="2">
        <v>18671</v>
      </c>
      <c r="I212" s="100">
        <v>17728</v>
      </c>
      <c r="J212" s="2" t="s">
        <v>56</v>
      </c>
      <c r="K212" s="2" t="s">
        <v>73</v>
      </c>
      <c r="L212" s="2"/>
    </row>
    <row r="213" spans="1:12" ht="32.25">
      <c r="A213" s="2"/>
      <c r="B213" s="237" t="s">
        <v>1022</v>
      </c>
      <c r="C213" s="93"/>
      <c r="D213" s="93" t="s">
        <v>23</v>
      </c>
      <c r="E213" s="93"/>
      <c r="F213" s="93">
        <f>SUM(F206:F212)</f>
        <v>520.71</v>
      </c>
      <c r="G213" s="93" t="s">
        <v>708</v>
      </c>
      <c r="H213" s="2"/>
      <c r="I213" s="2"/>
      <c r="J213" s="2"/>
      <c r="K213" s="2"/>
      <c r="L213" s="2"/>
    </row>
    <row r="214" spans="1:12" ht="30.75">
      <c r="A214" s="316" t="s">
        <v>1023</v>
      </c>
      <c r="B214" s="315"/>
      <c r="C214" s="314">
        <v>44661</v>
      </c>
      <c r="D214" s="316" t="s">
        <v>23</v>
      </c>
      <c r="E214" s="316"/>
      <c r="F214" s="316">
        <v>68.44</v>
      </c>
      <c r="G214" s="316">
        <v>11782</v>
      </c>
      <c r="H214" s="316">
        <v>18672</v>
      </c>
      <c r="I214" s="316">
        <v>17729</v>
      </c>
      <c r="J214" s="316" t="s">
        <v>56</v>
      </c>
      <c r="K214" s="316" t="s">
        <v>170</v>
      </c>
      <c r="L214" s="2"/>
    </row>
    <row r="215" spans="1:12" ht="30.75">
      <c r="A215" s="316" t="s">
        <v>1023</v>
      </c>
      <c r="B215" s="315"/>
      <c r="C215" s="314">
        <v>44752</v>
      </c>
      <c r="D215" s="316" t="s">
        <v>23</v>
      </c>
      <c r="E215" s="316"/>
      <c r="F215" s="316">
        <v>80.25</v>
      </c>
      <c r="G215" s="316">
        <v>11782</v>
      </c>
      <c r="H215" s="316">
        <v>18673</v>
      </c>
      <c r="I215" s="316">
        <v>17730</v>
      </c>
      <c r="J215" s="316" t="s">
        <v>56</v>
      </c>
      <c r="K215" s="316" t="s">
        <v>170</v>
      </c>
      <c r="L215" s="100" t="s">
        <v>1024</v>
      </c>
    </row>
    <row r="216" spans="1:12" ht="30.75">
      <c r="A216" s="316" t="s">
        <v>1023</v>
      </c>
      <c r="B216" s="315"/>
      <c r="C216" s="314">
        <v>44875</v>
      </c>
      <c r="D216" s="316" t="s">
        <v>23</v>
      </c>
      <c r="E216" s="316"/>
      <c r="F216" s="316">
        <v>75.73</v>
      </c>
      <c r="G216" s="316">
        <v>11782</v>
      </c>
      <c r="H216" s="316">
        <v>18674</v>
      </c>
      <c r="I216" s="316">
        <v>17744</v>
      </c>
      <c r="J216" s="316" t="s">
        <v>56</v>
      </c>
      <c r="K216" s="316" t="s">
        <v>170</v>
      </c>
      <c r="L216" s="100" t="s">
        <v>1025</v>
      </c>
    </row>
    <row r="217" spans="1:12" ht="30.75">
      <c r="A217" s="316" t="s">
        <v>1023</v>
      </c>
      <c r="B217" s="315"/>
      <c r="C217" s="316" t="s">
        <v>1026</v>
      </c>
      <c r="D217" s="316" t="s">
        <v>23</v>
      </c>
      <c r="E217" s="316"/>
      <c r="F217" s="316">
        <v>105.05</v>
      </c>
      <c r="G217" s="316">
        <v>11782</v>
      </c>
      <c r="H217" s="316">
        <v>18675</v>
      </c>
      <c r="I217" s="316">
        <v>17745</v>
      </c>
      <c r="J217" s="316" t="s">
        <v>56</v>
      </c>
      <c r="K217" s="316" t="s">
        <v>170</v>
      </c>
      <c r="L217" s="2"/>
    </row>
    <row r="218" spans="1:12" ht="30.75">
      <c r="A218" s="316" t="s">
        <v>1023</v>
      </c>
      <c r="B218" s="315"/>
      <c r="C218" s="316" t="s">
        <v>743</v>
      </c>
      <c r="D218" s="316" t="s">
        <v>23</v>
      </c>
      <c r="E218" s="316"/>
      <c r="F218" s="316">
        <v>106.32</v>
      </c>
      <c r="G218" s="316">
        <v>11782</v>
      </c>
      <c r="H218" s="316">
        <v>18676</v>
      </c>
      <c r="I218" s="316">
        <v>17746</v>
      </c>
      <c r="J218" s="316" t="s">
        <v>56</v>
      </c>
      <c r="K218" s="316" t="s">
        <v>170</v>
      </c>
      <c r="L218" s="2"/>
    </row>
    <row r="219" spans="1:12" ht="30.75">
      <c r="A219" s="316" t="s">
        <v>1023</v>
      </c>
      <c r="B219" s="315"/>
      <c r="C219" s="316" t="s">
        <v>741</v>
      </c>
      <c r="D219" s="316" t="s">
        <v>23</v>
      </c>
      <c r="E219" s="316"/>
      <c r="F219" s="316">
        <v>38.28</v>
      </c>
      <c r="G219" s="316">
        <v>11782</v>
      </c>
      <c r="H219" s="316">
        <v>19125</v>
      </c>
      <c r="I219" s="316">
        <v>18647</v>
      </c>
      <c r="J219" s="316" t="s">
        <v>56</v>
      </c>
      <c r="K219" s="316" t="s">
        <v>170</v>
      </c>
      <c r="L219" s="2"/>
    </row>
    <row r="220" spans="1:12" ht="30.75">
      <c r="A220" s="316" t="s">
        <v>1023</v>
      </c>
      <c r="B220" s="315"/>
      <c r="C220" s="316" t="s">
        <v>60</v>
      </c>
      <c r="D220" s="316" t="s">
        <v>23</v>
      </c>
      <c r="E220" s="316"/>
      <c r="F220" s="316">
        <v>50.73</v>
      </c>
      <c r="G220" s="316">
        <v>11782</v>
      </c>
      <c r="H220" s="316">
        <v>19127</v>
      </c>
      <c r="I220" s="316">
        <v>18648</v>
      </c>
      <c r="J220" s="316" t="s">
        <v>56</v>
      </c>
      <c r="K220" s="316" t="s">
        <v>170</v>
      </c>
      <c r="L220" s="2"/>
    </row>
    <row r="221" spans="1:12" ht="16.5">
      <c r="A221" s="2"/>
      <c r="B221" s="237" t="s">
        <v>1027</v>
      </c>
      <c r="C221" s="2"/>
      <c r="D221" s="2"/>
      <c r="E221" s="2"/>
      <c r="F221" s="267">
        <f>SUM(F214:F220)</f>
        <v>524.80000000000007</v>
      </c>
      <c r="G221" s="267" t="s">
        <v>708</v>
      </c>
      <c r="H221" s="2"/>
      <c r="I221" s="2"/>
      <c r="J221" s="2"/>
      <c r="K221" s="2"/>
      <c r="L221" s="2"/>
    </row>
    <row r="222" spans="1:12">
      <c r="A222" s="2"/>
      <c r="B222" s="8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>
      <c r="A223" s="2"/>
      <c r="B223" s="8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>
      <c r="A224" s="2"/>
      <c r="B224" s="8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21">
      <c r="A225" s="2"/>
      <c r="B225" s="243"/>
      <c r="C225" s="295" t="s">
        <v>36</v>
      </c>
      <c r="D225" s="244"/>
      <c r="E225" s="244"/>
      <c r="F225" s="244"/>
      <c r="G225" s="2"/>
      <c r="H225" s="2"/>
      <c r="I225" s="2"/>
      <c r="J225" s="2"/>
      <c r="K225" s="2"/>
      <c r="L225" s="2"/>
    </row>
  </sheetData>
  <mergeCells count="5">
    <mergeCell ref="A1:I1"/>
    <mergeCell ref="F5:H5"/>
    <mergeCell ref="J5:L5"/>
    <mergeCell ref="C6:E6"/>
    <mergeCell ref="G4:L4"/>
  </mergeCells>
  <dataValidations count="1">
    <dataValidation type="list" allowBlank="1" showInputMessage="1" showErrorMessage="1" sqref="E8:E224" xr:uid="{00000000-0002-0000-0700-000000000000}">
      <formula1>"EFECTIVO, CHEQUE, TRANSFERENCIA,DEPOSITO"</formula1>
    </dataValidation>
  </dataValidations>
  <hyperlinks>
    <hyperlink ref="B4" r:id="rId1" xr:uid="{00000000-0004-0000-0700-000000000000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87641-B885-40B7-A5BD-7729A2364078}">
  <sheetPr>
    <tabColor rgb="FFFF0000"/>
  </sheetPr>
  <dimension ref="A1:L62"/>
  <sheetViews>
    <sheetView workbookViewId="0">
      <selection activeCell="A13" sqref="A13"/>
    </sheetView>
  </sheetViews>
  <sheetFormatPr defaultColWidth="11.42578125" defaultRowHeight="15"/>
  <cols>
    <col min="2" max="2" width="26.42578125" customWidth="1"/>
    <col min="3" max="3" width="16" customWidth="1"/>
    <col min="6" max="6" width="12.140625" bestFit="1" customWidth="1"/>
  </cols>
  <sheetData>
    <row r="1" spans="1:12" ht="23.25">
      <c r="A1" s="647" t="s">
        <v>1028</v>
      </c>
      <c r="B1" s="647"/>
      <c r="C1" s="647"/>
      <c r="D1" s="647"/>
      <c r="E1" s="647"/>
      <c r="F1" s="647"/>
      <c r="G1" s="647"/>
      <c r="H1" s="647"/>
      <c r="I1" s="647"/>
    </row>
    <row r="2" spans="1:12" ht="30" customHeight="1">
      <c r="A2" s="2" t="s">
        <v>93</v>
      </c>
      <c r="D2" s="686" t="s">
        <v>1029</v>
      </c>
      <c r="E2" s="686"/>
      <c r="F2" s="686"/>
      <c r="G2" s="686"/>
      <c r="K2" t="s">
        <v>1030</v>
      </c>
    </row>
    <row r="3" spans="1:12">
      <c r="A3" s="2" t="s">
        <v>1</v>
      </c>
      <c r="B3">
        <v>20452379661</v>
      </c>
    </row>
    <row r="4" spans="1:12" ht="23.25">
      <c r="A4" s="4" t="s">
        <v>2</v>
      </c>
      <c r="B4" s="16" t="s">
        <v>1031</v>
      </c>
      <c r="E4" s="26"/>
      <c r="F4" s="52"/>
      <c r="G4" s="680" t="s">
        <v>1032</v>
      </c>
      <c r="H4" s="680"/>
      <c r="I4" s="680"/>
      <c r="J4" s="680"/>
      <c r="K4" s="50"/>
      <c r="L4" s="50"/>
    </row>
    <row r="5" spans="1:12" ht="46.5">
      <c r="A5" s="17" t="s">
        <v>4</v>
      </c>
      <c r="B5" s="18">
        <v>44501</v>
      </c>
      <c r="D5" s="6"/>
      <c r="E5" s="6"/>
      <c r="F5" s="681" t="s">
        <v>1033</v>
      </c>
      <c r="G5" s="681"/>
      <c r="H5" s="681"/>
      <c r="I5" s="50"/>
      <c r="J5" s="682"/>
      <c r="K5" s="682"/>
      <c r="L5" s="682"/>
    </row>
    <row r="6" spans="1:12" ht="18.75">
      <c r="A6" s="19"/>
      <c r="B6" s="19"/>
      <c r="C6" s="683" t="s">
        <v>341</v>
      </c>
      <c r="D6" s="684"/>
      <c r="E6" s="685"/>
      <c r="F6" s="19"/>
      <c r="G6" s="19"/>
      <c r="H6" s="19"/>
      <c r="I6" s="19"/>
      <c r="J6" s="19"/>
      <c r="K6" s="51"/>
      <c r="L6" s="51"/>
    </row>
    <row r="7" spans="1:12" ht="56.25">
      <c r="A7" s="19" t="s">
        <v>7</v>
      </c>
      <c r="B7" s="19" t="s">
        <v>8</v>
      </c>
      <c r="C7" s="19" t="s">
        <v>10</v>
      </c>
      <c r="D7" s="19" t="s">
        <v>11</v>
      </c>
      <c r="E7" s="19" t="s">
        <v>12</v>
      </c>
      <c r="F7" s="19" t="s">
        <v>342</v>
      </c>
      <c r="G7" s="19" t="s">
        <v>14</v>
      </c>
      <c r="H7" s="19" t="s">
        <v>343</v>
      </c>
      <c r="I7" s="19" t="s">
        <v>16</v>
      </c>
      <c r="J7" s="19" t="s">
        <v>18</v>
      </c>
      <c r="K7" s="19" t="s">
        <v>99</v>
      </c>
      <c r="L7" s="329" t="s">
        <v>19</v>
      </c>
    </row>
    <row r="8" spans="1:12" ht="30">
      <c r="A8" s="7"/>
      <c r="B8" s="8">
        <v>308</v>
      </c>
      <c r="C8" s="7">
        <v>44156</v>
      </c>
      <c r="D8" s="2" t="s">
        <v>23</v>
      </c>
      <c r="E8" s="2" t="s">
        <v>24</v>
      </c>
      <c r="F8" s="2">
        <v>44</v>
      </c>
      <c r="G8" s="2">
        <v>1337</v>
      </c>
      <c r="H8" s="9" t="s">
        <v>1034</v>
      </c>
      <c r="I8" s="9" t="s">
        <v>1034</v>
      </c>
      <c r="J8" s="2" t="s">
        <v>26</v>
      </c>
      <c r="K8" s="2"/>
      <c r="L8" s="2"/>
    </row>
    <row r="9" spans="1:12" ht="30">
      <c r="A9" s="7">
        <v>44249</v>
      </c>
      <c r="B9" s="8">
        <v>151.9</v>
      </c>
      <c r="C9" s="7">
        <v>44182</v>
      </c>
      <c r="D9" s="2" t="s">
        <v>23</v>
      </c>
      <c r="E9" s="2" t="s">
        <v>24</v>
      </c>
      <c r="F9" s="2">
        <v>21.7</v>
      </c>
      <c r="G9" s="2">
        <v>1628</v>
      </c>
      <c r="H9" s="9" t="s">
        <v>1035</v>
      </c>
      <c r="I9" s="9" t="s">
        <v>1035</v>
      </c>
      <c r="J9" s="2" t="s">
        <v>26</v>
      </c>
      <c r="K9" s="2"/>
      <c r="L9" s="2"/>
    </row>
    <row r="10" spans="1:12" ht="30">
      <c r="A10" s="7">
        <v>44249</v>
      </c>
      <c r="B10" s="8">
        <v>268.10000000000002</v>
      </c>
      <c r="C10" s="7">
        <v>44198</v>
      </c>
      <c r="D10" s="2" t="s">
        <v>23</v>
      </c>
      <c r="E10" s="2" t="s">
        <v>24</v>
      </c>
      <c r="F10" s="2">
        <v>38.299999999999997</v>
      </c>
      <c r="G10" s="2">
        <v>1628</v>
      </c>
      <c r="H10" s="9" t="s">
        <v>1036</v>
      </c>
      <c r="I10" s="9" t="s">
        <v>1037</v>
      </c>
      <c r="J10" s="2" t="s">
        <v>26</v>
      </c>
      <c r="K10" s="2"/>
      <c r="L10" s="2"/>
    </row>
    <row r="11" spans="1:12" ht="30">
      <c r="A11" s="7">
        <v>44341</v>
      </c>
      <c r="B11" s="8">
        <v>140</v>
      </c>
      <c r="C11" s="7">
        <v>44250</v>
      </c>
      <c r="D11" s="2" t="s">
        <v>23</v>
      </c>
      <c r="E11" s="2" t="s">
        <v>24</v>
      </c>
      <c r="F11" s="2">
        <v>20</v>
      </c>
      <c r="G11" s="2">
        <v>2008</v>
      </c>
      <c r="H11" s="9" t="s">
        <v>1038</v>
      </c>
      <c r="I11" s="9" t="s">
        <v>1039</v>
      </c>
      <c r="J11" s="2" t="s">
        <v>26</v>
      </c>
      <c r="K11" s="2"/>
      <c r="L11" s="2"/>
    </row>
    <row r="12" spans="1:12" ht="30.75">
      <c r="A12" s="7">
        <v>44341</v>
      </c>
      <c r="B12" s="8">
        <v>329</v>
      </c>
      <c r="C12" s="7">
        <v>44261</v>
      </c>
      <c r="D12" s="2" t="s">
        <v>23</v>
      </c>
      <c r="E12" s="2" t="s">
        <v>24</v>
      </c>
      <c r="F12" s="2">
        <v>47</v>
      </c>
      <c r="G12" s="9" t="s">
        <v>1040</v>
      </c>
      <c r="H12" s="9" t="s">
        <v>1041</v>
      </c>
      <c r="I12" s="9"/>
      <c r="J12" s="2" t="s">
        <v>26</v>
      </c>
      <c r="K12" s="2"/>
      <c r="L12" s="2"/>
    </row>
    <row r="13" spans="1:12" ht="30">
      <c r="A13" s="7">
        <v>44427</v>
      </c>
      <c r="B13" s="8">
        <v>329</v>
      </c>
      <c r="C13" s="7">
        <v>44345</v>
      </c>
      <c r="D13" s="2" t="s">
        <v>23</v>
      </c>
      <c r="E13" s="2" t="s">
        <v>24</v>
      </c>
      <c r="F13" s="2">
        <v>47</v>
      </c>
      <c r="G13" s="9" t="s">
        <v>1042</v>
      </c>
      <c r="H13" s="9" t="s">
        <v>1043</v>
      </c>
      <c r="I13" s="9" t="s">
        <v>1044</v>
      </c>
      <c r="J13" s="2" t="s">
        <v>26</v>
      </c>
      <c r="K13" s="2"/>
      <c r="L13" s="2"/>
    </row>
    <row r="14" spans="1:12" ht="30">
      <c r="A14" s="7">
        <v>44480</v>
      </c>
      <c r="B14" s="8">
        <v>489</v>
      </c>
      <c r="C14" s="7">
        <v>44419</v>
      </c>
      <c r="D14" s="2" t="s">
        <v>23</v>
      </c>
      <c r="E14" s="2" t="s">
        <v>24</v>
      </c>
      <c r="F14" s="2">
        <v>70</v>
      </c>
      <c r="G14" s="9" t="s">
        <v>1045</v>
      </c>
      <c r="H14" s="9" t="s">
        <v>1046</v>
      </c>
      <c r="I14" s="9" t="s">
        <v>1047</v>
      </c>
      <c r="J14" s="2" t="s">
        <v>26</v>
      </c>
      <c r="K14" s="2"/>
      <c r="L14" s="2"/>
    </row>
    <row r="15" spans="1:12" ht="30">
      <c r="A15" s="7">
        <v>44481</v>
      </c>
      <c r="B15" s="8" t="s">
        <v>1048</v>
      </c>
      <c r="C15" s="7">
        <v>44450</v>
      </c>
      <c r="D15" s="2" t="s">
        <v>23</v>
      </c>
      <c r="E15" s="2" t="s">
        <v>24</v>
      </c>
      <c r="F15" s="2" t="s">
        <v>1049</v>
      </c>
      <c r="G15" s="9" t="s">
        <v>1050</v>
      </c>
      <c r="H15" s="9" t="s">
        <v>1051</v>
      </c>
      <c r="I15" s="9" t="s">
        <v>1052</v>
      </c>
      <c r="J15" s="2" t="s">
        <v>56</v>
      </c>
      <c r="K15" s="2"/>
      <c r="L15" s="2"/>
    </row>
    <row r="16" spans="1:12" ht="30">
      <c r="A16" s="7">
        <v>44636</v>
      </c>
      <c r="B16" s="8">
        <v>175</v>
      </c>
      <c r="C16" s="7">
        <v>44474</v>
      </c>
      <c r="D16" s="2" t="s">
        <v>23</v>
      </c>
      <c r="E16" s="2" t="s">
        <v>24</v>
      </c>
      <c r="F16" s="2">
        <v>25</v>
      </c>
      <c r="G16" s="9" t="s">
        <v>1053</v>
      </c>
      <c r="H16" s="9"/>
      <c r="I16" s="9" t="s">
        <v>1054</v>
      </c>
      <c r="J16" s="2" t="s">
        <v>56</v>
      </c>
      <c r="K16" s="2"/>
      <c r="L16" s="2"/>
    </row>
    <row r="17" spans="1:12" ht="30">
      <c r="A17" s="7">
        <v>44636</v>
      </c>
      <c r="B17" s="8">
        <v>357</v>
      </c>
      <c r="C17" s="7">
        <v>44499</v>
      </c>
      <c r="D17" s="2" t="s">
        <v>23</v>
      </c>
      <c r="E17" s="2" t="s">
        <v>24</v>
      </c>
      <c r="F17" s="2">
        <v>51</v>
      </c>
      <c r="G17" s="9" t="s">
        <v>1055</v>
      </c>
      <c r="H17" s="9"/>
      <c r="I17" s="9"/>
      <c r="J17" s="2" t="s">
        <v>56</v>
      </c>
      <c r="K17" s="2"/>
      <c r="L17" s="2"/>
    </row>
    <row r="18" spans="1:12" ht="30">
      <c r="A18" s="7">
        <v>44636</v>
      </c>
      <c r="B18" s="8">
        <v>455</v>
      </c>
      <c r="C18" s="7">
        <v>44530</v>
      </c>
      <c r="D18" s="2" t="s">
        <v>23</v>
      </c>
      <c r="E18" s="2" t="s">
        <v>24</v>
      </c>
      <c r="F18" s="2">
        <v>65</v>
      </c>
      <c r="G18" s="9" t="s">
        <v>1056</v>
      </c>
      <c r="H18" s="9" t="s">
        <v>1057</v>
      </c>
      <c r="I18" s="9" t="s">
        <v>1058</v>
      </c>
      <c r="J18" s="2" t="s">
        <v>56</v>
      </c>
      <c r="K18" s="2"/>
      <c r="L18" s="2"/>
    </row>
    <row r="19" spans="1:12" ht="30">
      <c r="A19" s="7">
        <v>44636</v>
      </c>
      <c r="B19" s="8" t="s">
        <v>1059</v>
      </c>
      <c r="C19" s="7">
        <v>44560</v>
      </c>
      <c r="D19" s="2" t="s">
        <v>23</v>
      </c>
      <c r="E19" s="2" t="s">
        <v>24</v>
      </c>
      <c r="F19" s="2" t="s">
        <v>1060</v>
      </c>
      <c r="G19" s="9" t="s">
        <v>1061</v>
      </c>
      <c r="H19" s="9" t="s">
        <v>1062</v>
      </c>
      <c r="I19" s="9" t="s">
        <v>1063</v>
      </c>
      <c r="J19" s="2" t="s">
        <v>56</v>
      </c>
      <c r="K19" s="2"/>
      <c r="L19" s="2"/>
    </row>
    <row r="20" spans="1:12" ht="30">
      <c r="A20" s="7">
        <v>44722</v>
      </c>
      <c r="B20" s="2" t="s">
        <v>1064</v>
      </c>
      <c r="C20" s="7">
        <v>44681</v>
      </c>
      <c r="D20" s="2" t="s">
        <v>23</v>
      </c>
      <c r="E20" s="2" t="s">
        <v>24</v>
      </c>
      <c r="F20" s="2">
        <v>174.88</v>
      </c>
      <c r="G20" s="9" t="s">
        <v>1065</v>
      </c>
      <c r="H20" s="9"/>
      <c r="I20" s="9" t="s">
        <v>1066</v>
      </c>
      <c r="J20" s="2" t="s">
        <v>26</v>
      </c>
      <c r="K20" s="2"/>
      <c r="L20" s="2"/>
    </row>
    <row r="21" spans="1:12" ht="33">
      <c r="A21" s="7">
        <v>44734</v>
      </c>
      <c r="B21" s="2" t="s">
        <v>1067</v>
      </c>
      <c r="C21" s="345">
        <v>44681</v>
      </c>
      <c r="D21" s="2" t="s">
        <v>23</v>
      </c>
      <c r="E21" s="278" t="s">
        <v>24</v>
      </c>
      <c r="F21" s="346">
        <v>32.799999999999997</v>
      </c>
      <c r="G21" s="347" t="s">
        <v>1068</v>
      </c>
      <c r="H21" s="44"/>
      <c r="I21" s="9" t="s">
        <v>1066</v>
      </c>
      <c r="J21" s="278" t="s">
        <v>26</v>
      </c>
      <c r="K21" s="2"/>
      <c r="L21" s="2"/>
    </row>
    <row r="22" spans="1:12" ht="32.25">
      <c r="A22" s="2" t="s">
        <v>180</v>
      </c>
      <c r="B22" s="369" t="s">
        <v>1069</v>
      </c>
      <c r="C22" s="370">
        <v>44712</v>
      </c>
      <c r="D22" s="2" t="s">
        <v>23</v>
      </c>
      <c r="E22" s="2" t="s">
        <v>24</v>
      </c>
      <c r="F22" s="369">
        <v>41.5</v>
      </c>
      <c r="G22" s="371" t="s">
        <v>1070</v>
      </c>
      <c r="H22" s="371"/>
      <c r="I22" s="371" t="s">
        <v>1071</v>
      </c>
      <c r="J22" s="369" t="s">
        <v>26</v>
      </c>
      <c r="K22" s="2" t="s">
        <v>170</v>
      </c>
      <c r="L22" s="2"/>
    </row>
    <row r="23" spans="1:12">
      <c r="A23" s="2"/>
      <c r="B23" s="2"/>
      <c r="C23" s="7"/>
      <c r="D23" s="2"/>
      <c r="E23" s="2"/>
      <c r="F23" s="2"/>
      <c r="G23" s="9"/>
      <c r="H23" s="9"/>
      <c r="I23" s="9"/>
      <c r="J23" s="2"/>
      <c r="K23" s="2"/>
      <c r="L23" s="2"/>
    </row>
    <row r="24" spans="1:12">
      <c r="A24" s="2"/>
      <c r="B24" s="2"/>
      <c r="C24" s="7"/>
      <c r="D24" s="2"/>
      <c r="E24" s="2"/>
      <c r="F24" s="2"/>
      <c r="G24" s="9"/>
      <c r="H24" s="9"/>
      <c r="I24" s="9"/>
      <c r="J24" s="2"/>
      <c r="K24" s="2"/>
      <c r="L24" s="2"/>
    </row>
    <row r="25" spans="1:12">
      <c r="A25" s="2"/>
      <c r="B25" s="2"/>
      <c r="C25" s="7"/>
      <c r="D25" s="2"/>
      <c r="E25" s="2"/>
      <c r="F25" s="2"/>
      <c r="G25" s="9"/>
      <c r="H25" s="9"/>
      <c r="I25" s="9"/>
      <c r="J25" s="2"/>
      <c r="K25" s="2"/>
      <c r="L25" s="2"/>
    </row>
    <row r="26" spans="1:12">
      <c r="A26" s="2"/>
      <c r="B26" s="2"/>
      <c r="C26" s="7"/>
      <c r="D26" s="2"/>
      <c r="E26" s="2"/>
      <c r="F26" s="2"/>
      <c r="G26" s="9"/>
      <c r="H26" s="9"/>
      <c r="I26" s="9"/>
      <c r="J26" s="2"/>
      <c r="K26" s="2"/>
      <c r="L26" s="2"/>
    </row>
    <row r="27" spans="1:12">
      <c r="A27" s="2"/>
      <c r="B27" s="2"/>
      <c r="C27" s="7"/>
      <c r="D27" s="2"/>
      <c r="E27" s="2"/>
      <c r="F27" s="2"/>
      <c r="G27" s="2"/>
      <c r="H27" s="9"/>
      <c r="I27" s="9"/>
      <c r="J27" s="2"/>
      <c r="K27" s="2"/>
      <c r="L27" s="2"/>
    </row>
    <row r="28" spans="1:12">
      <c r="A28" s="2"/>
      <c r="B28" s="2"/>
      <c r="C28" s="7"/>
      <c r="D28" s="2"/>
      <c r="E28" s="2"/>
      <c r="F28" s="2"/>
      <c r="G28" s="2"/>
      <c r="H28" s="9"/>
      <c r="I28" s="9"/>
      <c r="J28" s="2"/>
      <c r="K28" s="2"/>
      <c r="L28" s="2"/>
    </row>
    <row r="29" spans="1:12">
      <c r="A29" s="2"/>
      <c r="B29" s="2"/>
      <c r="C29" s="7"/>
      <c r="D29" s="2"/>
      <c r="E29" s="2"/>
      <c r="F29" s="2"/>
      <c r="G29" s="2"/>
      <c r="H29" s="9"/>
      <c r="I29" s="9"/>
      <c r="J29" s="2"/>
      <c r="K29" s="2"/>
      <c r="L29" s="2"/>
    </row>
    <row r="30" spans="1:12">
      <c r="A30" s="2"/>
      <c r="B30" s="2"/>
      <c r="C30" s="7"/>
      <c r="D30" s="2"/>
      <c r="E30" s="2"/>
      <c r="F30" s="2"/>
      <c r="G30" s="2"/>
      <c r="H30" s="9"/>
      <c r="I30" s="9"/>
      <c r="J30" s="2"/>
      <c r="K30" s="2"/>
      <c r="L30" s="2"/>
    </row>
    <row r="31" spans="1:12">
      <c r="A31" s="2"/>
      <c r="B31" s="2"/>
      <c r="C31" s="7"/>
      <c r="D31" s="2"/>
      <c r="E31" s="2"/>
      <c r="F31" s="2"/>
      <c r="G31" s="2"/>
      <c r="H31" s="9"/>
      <c r="I31" s="9"/>
      <c r="J31" s="2"/>
      <c r="K31" s="2"/>
      <c r="L31" s="2"/>
    </row>
    <row r="32" spans="1:12">
      <c r="A32" s="2"/>
      <c r="B32" s="2"/>
      <c r="C32" s="7"/>
      <c r="D32" s="2"/>
      <c r="E32" s="2"/>
      <c r="F32" s="2"/>
      <c r="G32" s="2"/>
      <c r="H32" s="9"/>
      <c r="I32" s="9"/>
      <c r="J32" s="2"/>
      <c r="K32" s="2"/>
      <c r="L32" s="2"/>
    </row>
    <row r="33" spans="1:12">
      <c r="A33" s="2"/>
      <c r="B33" s="2"/>
      <c r="C33" s="7"/>
      <c r="D33" s="2"/>
      <c r="E33" s="2"/>
      <c r="F33" s="2"/>
      <c r="G33" s="2"/>
      <c r="H33" s="9"/>
      <c r="I33" s="9"/>
      <c r="J33" s="2"/>
      <c r="K33" s="2"/>
      <c r="L33" s="2"/>
    </row>
    <row r="34" spans="1:12">
      <c r="A34" s="2"/>
      <c r="B34" s="2"/>
      <c r="C34" s="7"/>
      <c r="D34" s="2"/>
      <c r="E34" s="2"/>
      <c r="F34" s="2"/>
      <c r="G34" s="2"/>
      <c r="H34" s="9"/>
      <c r="I34" s="9"/>
      <c r="J34" s="2"/>
      <c r="K34" s="2"/>
      <c r="L34" s="2"/>
    </row>
    <row r="35" spans="1:12" ht="15.75">
      <c r="A35" s="2"/>
      <c r="B35" s="27"/>
      <c r="C35" s="28"/>
      <c r="D35" s="2"/>
      <c r="E35" s="27"/>
      <c r="F35" s="27"/>
      <c r="G35" s="2"/>
      <c r="H35" s="9"/>
      <c r="I35" s="9"/>
      <c r="J35" s="2"/>
      <c r="K35" s="2"/>
      <c r="L35" s="2"/>
    </row>
    <row r="36" spans="1:12">
      <c r="A36" s="2"/>
      <c r="B36" s="2"/>
      <c r="C36" s="7"/>
      <c r="D36" s="2"/>
      <c r="E36" s="2"/>
      <c r="F36" s="2"/>
      <c r="G36" s="2"/>
      <c r="H36" s="9"/>
      <c r="I36" s="9"/>
      <c r="J36" s="2"/>
      <c r="K36" s="2"/>
      <c r="L36" s="2"/>
    </row>
    <row r="37" spans="1:12">
      <c r="A37" s="2"/>
      <c r="B37" s="2"/>
      <c r="C37" s="7"/>
      <c r="D37" s="2"/>
      <c r="E37" s="2"/>
      <c r="F37" s="2"/>
      <c r="G37" s="2"/>
      <c r="H37" s="9"/>
      <c r="I37" s="9"/>
      <c r="J37" s="2"/>
      <c r="K37" s="2"/>
      <c r="L37" s="2"/>
    </row>
    <row r="38" spans="1:12">
      <c r="A38" s="2"/>
      <c r="B38" s="2"/>
      <c r="C38" s="7"/>
      <c r="D38" s="2"/>
      <c r="E38" s="2"/>
      <c r="F38" s="2"/>
      <c r="G38" s="2"/>
      <c r="H38" s="9"/>
      <c r="I38" s="9"/>
      <c r="J38" s="2"/>
      <c r="K38" s="2"/>
      <c r="L38" s="2"/>
    </row>
    <row r="39" spans="1:12">
      <c r="A39" s="2"/>
      <c r="B39" s="2"/>
      <c r="C39" s="7"/>
      <c r="D39" s="2"/>
      <c r="E39" s="2"/>
      <c r="F39" s="2"/>
      <c r="G39" s="2"/>
      <c r="H39" s="9"/>
      <c r="I39" s="9"/>
      <c r="J39" s="2"/>
      <c r="K39" s="2"/>
      <c r="L39" s="2"/>
    </row>
    <row r="40" spans="1:12">
      <c r="A40" s="2"/>
      <c r="B40" s="2"/>
      <c r="C40" s="7"/>
      <c r="D40" s="2"/>
      <c r="E40" s="2"/>
      <c r="F40" s="2"/>
      <c r="G40" s="2"/>
      <c r="H40" s="9"/>
      <c r="I40" s="9"/>
      <c r="J40" s="2"/>
      <c r="K40" s="2"/>
      <c r="L40" s="2"/>
    </row>
    <row r="41" spans="1:12">
      <c r="A41" s="2"/>
      <c r="B41" s="2"/>
      <c r="C41" s="7"/>
      <c r="D41" s="2"/>
      <c r="E41" s="2"/>
      <c r="F41" s="2"/>
      <c r="G41" s="2"/>
      <c r="H41" s="9"/>
      <c r="I41" s="9"/>
      <c r="J41" s="2"/>
      <c r="K41" s="2"/>
      <c r="L41" s="2"/>
    </row>
    <row r="42" spans="1:12">
      <c r="A42" s="2"/>
      <c r="B42" s="2"/>
      <c r="C42" s="7"/>
      <c r="D42" s="2"/>
      <c r="E42" s="2"/>
      <c r="F42" s="2"/>
      <c r="G42" s="2"/>
      <c r="H42" s="9"/>
      <c r="I42" s="9"/>
      <c r="J42" s="2"/>
      <c r="K42" s="2"/>
      <c r="L42" s="2"/>
    </row>
    <row r="43" spans="1:12">
      <c r="A43" s="2"/>
      <c r="B43" s="2"/>
      <c r="C43" s="7"/>
      <c r="D43" s="2"/>
      <c r="E43" s="2"/>
      <c r="F43" s="2"/>
      <c r="G43" s="2"/>
      <c r="H43" s="9"/>
      <c r="I43" s="9"/>
      <c r="J43" s="2"/>
      <c r="K43" s="2"/>
      <c r="L43" s="2"/>
    </row>
    <row r="44" spans="1:12">
      <c r="A44" s="2"/>
      <c r="B44" s="2"/>
      <c r="C44" s="7"/>
      <c r="D44" s="2"/>
      <c r="E44" s="2"/>
      <c r="F44" s="2"/>
      <c r="G44" s="2"/>
      <c r="H44" s="9"/>
      <c r="I44" s="9"/>
      <c r="J44" s="2"/>
      <c r="K44" s="2"/>
      <c r="L44" s="2"/>
    </row>
    <row r="45" spans="1:12">
      <c r="A45" s="2"/>
      <c r="B45" s="2"/>
      <c r="C45" s="7"/>
      <c r="D45" s="2"/>
      <c r="E45" s="2"/>
      <c r="F45" s="2"/>
      <c r="G45" s="2"/>
      <c r="H45" s="9"/>
      <c r="I45" s="9"/>
      <c r="J45" s="2"/>
      <c r="K45" s="2"/>
      <c r="L45" s="2"/>
    </row>
    <row r="46" spans="1:12">
      <c r="A46" s="2"/>
      <c r="B46" s="2"/>
      <c r="C46" s="7"/>
      <c r="D46" s="2"/>
      <c r="E46" s="2"/>
      <c r="F46" s="2"/>
      <c r="G46" s="2"/>
      <c r="H46" s="9"/>
      <c r="I46" s="9"/>
      <c r="J46" s="2"/>
      <c r="K46" s="2"/>
      <c r="L46" s="2"/>
    </row>
    <row r="47" spans="1:12">
      <c r="A47" s="2"/>
      <c r="B47" s="2"/>
      <c r="C47" s="7"/>
      <c r="D47" s="2"/>
      <c r="E47" s="2"/>
      <c r="F47" s="2"/>
      <c r="G47" s="2"/>
      <c r="H47" s="9"/>
      <c r="I47" s="9"/>
      <c r="J47" s="2"/>
      <c r="K47" s="2"/>
      <c r="L47" s="2"/>
    </row>
    <row r="48" spans="1:12">
      <c r="A48" s="2"/>
      <c r="B48" s="2"/>
      <c r="C48" s="7"/>
      <c r="D48" s="2"/>
      <c r="E48" s="2"/>
      <c r="F48" s="2"/>
      <c r="G48" s="2"/>
      <c r="H48" s="9"/>
      <c r="I48" s="9"/>
      <c r="J48" s="2"/>
      <c r="K48" s="2"/>
      <c r="L48" s="2"/>
    </row>
    <row r="49" spans="1:12">
      <c r="A49" s="2"/>
      <c r="B49" s="2"/>
      <c r="C49" s="7"/>
      <c r="D49" s="2"/>
      <c r="E49" s="2"/>
      <c r="F49" s="2"/>
      <c r="G49" s="2"/>
      <c r="H49" s="9"/>
      <c r="I49" s="9"/>
      <c r="J49" s="2"/>
      <c r="K49" s="2"/>
      <c r="L49" s="2"/>
    </row>
    <row r="50" spans="1:12">
      <c r="A50" s="2"/>
      <c r="B50" s="2"/>
      <c r="C50" s="7"/>
      <c r="D50" s="2"/>
      <c r="E50" s="2"/>
      <c r="F50" s="2"/>
      <c r="G50" s="2"/>
      <c r="H50" s="9"/>
      <c r="I50" s="9"/>
      <c r="J50" s="2"/>
      <c r="K50" s="2"/>
      <c r="L50" s="2"/>
    </row>
    <row r="51" spans="1:12">
      <c r="A51" s="2"/>
      <c r="B51" s="2"/>
      <c r="C51" s="7"/>
      <c r="D51" s="2"/>
      <c r="E51" s="2"/>
      <c r="F51" s="2"/>
      <c r="G51" s="2"/>
      <c r="H51" s="9"/>
      <c r="I51" s="9"/>
      <c r="J51" s="2"/>
      <c r="K51" s="2"/>
      <c r="L51" s="2"/>
    </row>
    <row r="52" spans="1:12">
      <c r="A52" s="2"/>
      <c r="B52" s="2"/>
      <c r="C52" s="7"/>
      <c r="D52" s="2"/>
      <c r="E52" s="2"/>
      <c r="F52" s="2"/>
      <c r="G52" s="2"/>
      <c r="H52" s="9"/>
      <c r="I52" s="9"/>
      <c r="J52" s="2"/>
      <c r="K52" s="2"/>
      <c r="L52" s="2"/>
    </row>
    <row r="53" spans="1:12">
      <c r="A53" s="2"/>
      <c r="B53" s="2"/>
      <c r="C53" s="7"/>
      <c r="D53" s="2"/>
      <c r="E53" s="2"/>
      <c r="F53" s="2"/>
      <c r="G53" s="2"/>
      <c r="H53" s="9"/>
      <c r="I53" s="9"/>
      <c r="J53" s="2"/>
      <c r="K53" s="2"/>
      <c r="L53" s="2"/>
    </row>
    <row r="54" spans="1:12">
      <c r="A54" s="2"/>
      <c r="B54" s="2"/>
      <c r="C54" s="7"/>
      <c r="D54" s="2"/>
      <c r="E54" s="2"/>
      <c r="F54" s="2"/>
      <c r="G54" s="2"/>
      <c r="H54" s="9"/>
      <c r="I54" s="9"/>
      <c r="J54" s="2"/>
      <c r="K54" s="2"/>
      <c r="L54" s="2"/>
    </row>
    <row r="55" spans="1:12">
      <c r="A55" s="2"/>
      <c r="B55" s="2"/>
      <c r="C55" s="7"/>
      <c r="D55" s="2"/>
      <c r="E55" s="2"/>
      <c r="F55" s="2"/>
      <c r="G55" s="2"/>
      <c r="H55" s="9"/>
      <c r="I55" s="9"/>
      <c r="J55" s="2"/>
      <c r="K55" s="2"/>
      <c r="L55" s="2"/>
    </row>
    <row r="56" spans="1:12">
      <c r="A56" s="2"/>
      <c r="B56" s="2"/>
      <c r="C56" s="7"/>
      <c r="D56" s="2"/>
      <c r="E56" s="2"/>
      <c r="F56" s="2"/>
      <c r="G56" s="2"/>
      <c r="H56" s="9"/>
      <c r="I56" s="9"/>
      <c r="J56" s="2"/>
      <c r="K56" s="2"/>
      <c r="L56" s="2"/>
    </row>
    <row r="57" spans="1:12">
      <c r="A57" s="2"/>
      <c r="B57" s="2"/>
      <c r="C57" s="7"/>
      <c r="D57" s="2"/>
      <c r="E57" s="2"/>
      <c r="F57" s="2"/>
      <c r="G57" s="2"/>
      <c r="H57" s="9"/>
      <c r="I57" s="9"/>
      <c r="J57" s="2"/>
      <c r="K57" s="2"/>
      <c r="L57" s="2"/>
    </row>
    <row r="58" spans="1:12">
      <c r="A58" s="2"/>
      <c r="B58" s="2"/>
      <c r="C58" s="7"/>
      <c r="D58" s="2"/>
      <c r="E58" s="2"/>
      <c r="F58" s="2"/>
      <c r="G58" s="2"/>
      <c r="H58" s="9"/>
      <c r="I58" s="9"/>
      <c r="J58" s="2"/>
      <c r="K58" s="2"/>
      <c r="L58" s="2"/>
    </row>
    <row r="59" spans="1:12">
      <c r="A59" s="2"/>
      <c r="B59" s="2"/>
      <c r="C59" s="7"/>
      <c r="D59" s="2"/>
      <c r="E59" s="2"/>
      <c r="F59" s="2"/>
      <c r="G59" s="2"/>
      <c r="H59" s="9"/>
      <c r="I59" s="9"/>
      <c r="J59" s="2"/>
      <c r="K59" s="2"/>
      <c r="L59" s="2"/>
    </row>
    <row r="60" spans="1:12">
      <c r="A60" s="2"/>
      <c r="B60" s="2"/>
      <c r="C60" s="7"/>
      <c r="D60" s="2"/>
      <c r="E60" s="2"/>
      <c r="F60" s="2"/>
      <c r="G60" s="2"/>
      <c r="H60" s="9"/>
      <c r="I60" s="9"/>
      <c r="J60" s="2"/>
      <c r="K60" s="2"/>
      <c r="L60" s="2"/>
    </row>
    <row r="61" spans="1:12">
      <c r="A61" s="2"/>
      <c r="B61" s="2"/>
      <c r="C61" s="7"/>
      <c r="D61" s="2"/>
      <c r="E61" s="2"/>
      <c r="F61" s="2"/>
      <c r="G61" s="2"/>
      <c r="H61" s="9"/>
      <c r="I61" s="9"/>
      <c r="J61" s="2"/>
      <c r="K61" s="2"/>
      <c r="L61" s="2"/>
    </row>
    <row r="62" spans="1:12">
      <c r="A62" s="2"/>
      <c r="B62" s="2"/>
      <c r="C62" s="7"/>
      <c r="D62" s="2"/>
      <c r="E62" s="2"/>
      <c r="F62" s="2"/>
      <c r="G62" s="2"/>
      <c r="H62" s="9"/>
      <c r="I62" s="9"/>
      <c r="J62" s="2"/>
      <c r="K62" s="2"/>
      <c r="L62" s="2"/>
    </row>
  </sheetData>
  <mergeCells count="6">
    <mergeCell ref="A1:I1"/>
    <mergeCell ref="G4:J4"/>
    <mergeCell ref="F5:H5"/>
    <mergeCell ref="J5:L5"/>
    <mergeCell ref="C6:E6"/>
    <mergeCell ref="D2:G2"/>
  </mergeCells>
  <dataValidations count="1">
    <dataValidation type="list" allowBlank="1" showInputMessage="1" showErrorMessage="1" sqref="E8:E62" xr:uid="{00000000-0002-0000-0800-000000000000}">
      <formula1>"EFECTIVO, CHEQUE, TRANSFERENCIA,DEPOSITO"</formula1>
    </dataValidation>
  </dataValidations>
  <hyperlinks>
    <hyperlink ref="B4" r:id="rId1" xr:uid="{00000000-0004-0000-0800-000000000000}"/>
  </hyperlinks>
  <pageMargins left="0.7" right="0.7" top="0.75" bottom="0.75" header="0.3" footer="0.3"/>
  <pageSetup orientation="portrait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8122-4EF6-4615-A3B5-1EE2E426D030}">
  <sheetPr>
    <tabColor rgb="FFFF0000"/>
  </sheetPr>
  <dimension ref="A1:O25"/>
  <sheetViews>
    <sheetView workbookViewId="0">
      <selection sqref="A1:I1"/>
    </sheetView>
  </sheetViews>
  <sheetFormatPr defaultColWidth="11.42578125" defaultRowHeight="15"/>
  <cols>
    <col min="2" max="2" width="15.28515625" bestFit="1" customWidth="1"/>
    <col min="3" max="3" width="13.7109375" bestFit="1" customWidth="1"/>
  </cols>
  <sheetData>
    <row r="1" spans="1:15" ht="23.25">
      <c r="A1" s="687" t="s">
        <v>1072</v>
      </c>
      <c r="B1" s="687"/>
      <c r="C1" s="687"/>
      <c r="D1" s="687"/>
      <c r="E1" s="687"/>
      <c r="F1" s="687"/>
      <c r="G1" s="687"/>
      <c r="H1" s="687"/>
      <c r="I1" s="687"/>
      <c r="J1" s="367"/>
    </row>
    <row r="2" spans="1:15" ht="16.5" customHeight="1">
      <c r="A2" s="2" t="s">
        <v>247</v>
      </c>
      <c r="B2" s="638"/>
      <c r="C2" s="638"/>
    </row>
    <row r="3" spans="1:15" ht="23.25" customHeight="1">
      <c r="A3" s="2" t="s">
        <v>1</v>
      </c>
      <c r="B3" s="3">
        <v>20494826632</v>
      </c>
      <c r="K3" s="690" t="s">
        <v>1073</v>
      </c>
      <c r="L3" s="690"/>
      <c r="M3" s="690"/>
      <c r="N3" s="690"/>
      <c r="O3" s="690"/>
    </row>
    <row r="4" spans="1:15" ht="55.5" customHeight="1">
      <c r="A4" s="4" t="s">
        <v>2</v>
      </c>
      <c r="B4" s="5"/>
      <c r="C4" s="639" t="s">
        <v>1074</v>
      </c>
      <c r="D4" s="639"/>
      <c r="E4" s="639"/>
      <c r="H4" s="688" t="s">
        <v>1075</v>
      </c>
      <c r="I4" s="688"/>
      <c r="J4" s="688"/>
      <c r="K4" s="688"/>
      <c r="L4" s="260" t="s">
        <v>341</v>
      </c>
    </row>
    <row r="5" spans="1:15" ht="46.5">
      <c r="A5" s="224" t="s">
        <v>4</v>
      </c>
      <c r="B5" s="225">
        <v>44378</v>
      </c>
      <c r="C5" s="35"/>
      <c r="D5" s="689" t="s">
        <v>341</v>
      </c>
      <c r="E5" s="689"/>
      <c r="F5" s="226"/>
      <c r="G5" s="226"/>
      <c r="H5" s="35"/>
      <c r="I5" s="35"/>
      <c r="J5" s="35"/>
      <c r="K5" s="35"/>
      <c r="L5" s="35"/>
    </row>
    <row r="6" spans="1:15" ht="57">
      <c r="A6" s="227" t="s">
        <v>7</v>
      </c>
      <c r="B6" s="227" t="s">
        <v>1076</v>
      </c>
      <c r="C6" s="227" t="s">
        <v>9</v>
      </c>
      <c r="D6" s="227" t="s">
        <v>10</v>
      </c>
      <c r="E6" s="227" t="s">
        <v>11</v>
      </c>
      <c r="F6" s="227" t="s">
        <v>12</v>
      </c>
      <c r="G6" s="227" t="s">
        <v>13</v>
      </c>
      <c r="H6" s="227" t="s">
        <v>14</v>
      </c>
      <c r="I6" s="227" t="s">
        <v>15</v>
      </c>
      <c r="J6" s="227" t="s">
        <v>252</v>
      </c>
      <c r="K6" s="227" t="s">
        <v>16</v>
      </c>
      <c r="L6" s="227" t="s">
        <v>18</v>
      </c>
      <c r="M6" s="227" t="s">
        <v>99</v>
      </c>
    </row>
    <row r="7" spans="1:15" ht="30">
      <c r="A7" s="7">
        <v>44480</v>
      </c>
      <c r="B7" s="8">
        <v>250</v>
      </c>
      <c r="C7" s="2" t="s">
        <v>47</v>
      </c>
      <c r="D7" s="7">
        <v>44408</v>
      </c>
      <c r="E7" s="2" t="s">
        <v>23</v>
      </c>
      <c r="F7" s="2" t="s">
        <v>24</v>
      </c>
      <c r="G7" s="2">
        <v>1</v>
      </c>
      <c r="H7" s="2">
        <v>1890</v>
      </c>
      <c r="I7" s="9"/>
      <c r="J7" s="9" t="s">
        <v>661</v>
      </c>
      <c r="K7" s="9" t="s">
        <v>1077</v>
      </c>
      <c r="L7" s="2" t="s">
        <v>26</v>
      </c>
      <c r="M7" s="2"/>
    </row>
    <row r="8" spans="1:15" ht="30.75">
      <c r="A8" s="7">
        <v>44481</v>
      </c>
      <c r="B8" s="8" t="s">
        <v>1076</v>
      </c>
      <c r="C8" s="2" t="s">
        <v>50</v>
      </c>
      <c r="D8" s="7">
        <v>44437</v>
      </c>
      <c r="E8" s="2" t="s">
        <v>23</v>
      </c>
      <c r="F8" s="2" t="s">
        <v>24</v>
      </c>
      <c r="G8" s="2">
        <v>2</v>
      </c>
      <c r="H8" s="9" t="s">
        <v>1078</v>
      </c>
      <c r="I8" s="2"/>
      <c r="J8" s="9" t="s">
        <v>1079</v>
      </c>
      <c r="K8" s="2">
        <v>5858</v>
      </c>
      <c r="L8" s="2" t="s">
        <v>56</v>
      </c>
      <c r="M8" s="2"/>
    </row>
    <row r="9" spans="1:15" ht="30.75">
      <c r="A9" s="7">
        <v>44496</v>
      </c>
      <c r="B9" s="2" t="s">
        <v>1076</v>
      </c>
      <c r="C9" s="2" t="s">
        <v>22</v>
      </c>
      <c r="D9" s="7">
        <v>44470</v>
      </c>
      <c r="E9" s="2" t="s">
        <v>23</v>
      </c>
      <c r="F9" s="2" t="s">
        <v>24</v>
      </c>
      <c r="G9" s="2">
        <v>3</v>
      </c>
      <c r="H9" s="2">
        <v>2905</v>
      </c>
      <c r="I9" s="2"/>
      <c r="J9" s="9" t="s">
        <v>149</v>
      </c>
      <c r="K9" s="2">
        <v>6793</v>
      </c>
      <c r="L9" s="2" t="s">
        <v>56</v>
      </c>
      <c r="M9" s="2"/>
    </row>
    <row r="10" spans="1:15" ht="30">
      <c r="A10" s="7">
        <v>44522</v>
      </c>
      <c r="B10" s="2">
        <v>250</v>
      </c>
      <c r="C10" s="2" t="s">
        <v>54</v>
      </c>
      <c r="D10" s="7">
        <v>44499</v>
      </c>
      <c r="E10" s="2" t="s">
        <v>23</v>
      </c>
      <c r="F10" s="2" t="s">
        <v>24</v>
      </c>
      <c r="G10" s="2">
        <v>4</v>
      </c>
      <c r="H10" s="2">
        <v>3406</v>
      </c>
      <c r="I10" s="2"/>
      <c r="J10" s="9" t="s">
        <v>1080</v>
      </c>
      <c r="K10" s="2">
        <v>6865</v>
      </c>
      <c r="L10" s="2" t="s">
        <v>26</v>
      </c>
      <c r="M10" s="2"/>
    </row>
    <row r="11" spans="1:15" ht="30">
      <c r="A11" s="7">
        <v>44546</v>
      </c>
      <c r="B11" s="2">
        <v>250</v>
      </c>
      <c r="C11" s="2" t="s">
        <v>27</v>
      </c>
      <c r="D11" s="7">
        <v>44530</v>
      </c>
      <c r="E11" s="2" t="s">
        <v>23</v>
      </c>
      <c r="F11" s="2" t="s">
        <v>24</v>
      </c>
      <c r="G11" s="2">
        <v>5</v>
      </c>
      <c r="H11" s="2">
        <v>4056</v>
      </c>
      <c r="I11" s="2"/>
      <c r="J11" s="9" t="s">
        <v>1081</v>
      </c>
      <c r="K11" s="2">
        <v>7928</v>
      </c>
      <c r="L11" s="2" t="s">
        <v>56</v>
      </c>
      <c r="M11" s="2"/>
    </row>
    <row r="12" spans="1:15" ht="30">
      <c r="A12" s="7">
        <v>44614</v>
      </c>
      <c r="B12" s="2">
        <v>250</v>
      </c>
      <c r="C12" s="2" t="s">
        <v>30</v>
      </c>
      <c r="D12" s="7">
        <v>44560</v>
      </c>
      <c r="E12" s="2" t="s">
        <v>23</v>
      </c>
      <c r="F12" s="2" t="s">
        <v>24</v>
      </c>
      <c r="G12" s="2">
        <v>6</v>
      </c>
      <c r="H12" s="2">
        <v>4617</v>
      </c>
      <c r="I12" s="2"/>
      <c r="J12" s="9" t="s">
        <v>1082</v>
      </c>
      <c r="K12" s="2">
        <v>8621</v>
      </c>
      <c r="L12" s="2" t="s">
        <v>56</v>
      </c>
      <c r="M12" s="2"/>
    </row>
    <row r="13" spans="1:15" ht="30">
      <c r="A13" s="7">
        <v>44614</v>
      </c>
      <c r="B13" s="2">
        <v>250</v>
      </c>
      <c r="C13" s="2" t="s">
        <v>32</v>
      </c>
      <c r="D13" s="7">
        <v>44592</v>
      </c>
      <c r="E13" s="2" t="s">
        <v>23</v>
      </c>
      <c r="F13" s="2" t="s">
        <v>24</v>
      </c>
      <c r="G13" s="2">
        <v>7</v>
      </c>
      <c r="H13" s="2">
        <v>5418</v>
      </c>
      <c r="I13" s="2"/>
      <c r="J13" s="9" t="s">
        <v>1083</v>
      </c>
      <c r="K13" s="2">
        <v>10018</v>
      </c>
      <c r="L13" s="2" t="s">
        <v>56</v>
      </c>
      <c r="M13" s="2"/>
    </row>
    <row r="14" spans="1:15" ht="30.75">
      <c r="A14" s="7">
        <v>44638</v>
      </c>
      <c r="B14" s="2" t="s">
        <v>1076</v>
      </c>
      <c r="C14" s="2" t="s">
        <v>38</v>
      </c>
      <c r="D14" s="7">
        <v>44652</v>
      </c>
      <c r="E14" s="2" t="s">
        <v>23</v>
      </c>
      <c r="F14" s="2" t="s">
        <v>24</v>
      </c>
      <c r="G14" s="2">
        <v>8</v>
      </c>
      <c r="H14" s="2">
        <v>5789</v>
      </c>
      <c r="I14" s="2"/>
      <c r="J14" s="9" t="s">
        <v>1084</v>
      </c>
      <c r="K14" s="2">
        <v>11929</v>
      </c>
      <c r="L14" s="2" t="s">
        <v>56</v>
      </c>
      <c r="M14" s="2"/>
    </row>
    <row r="15" spans="1:15" ht="30.75">
      <c r="A15" s="7">
        <v>44711</v>
      </c>
      <c r="B15" s="2" t="s">
        <v>1076</v>
      </c>
      <c r="C15" s="2" t="s">
        <v>41</v>
      </c>
      <c r="D15" s="7">
        <v>44681</v>
      </c>
      <c r="E15" s="2" t="s">
        <v>23</v>
      </c>
      <c r="F15" s="2" t="s">
        <v>24</v>
      </c>
      <c r="G15" s="2">
        <v>9</v>
      </c>
      <c r="H15" s="2">
        <v>6764</v>
      </c>
      <c r="I15" s="2"/>
      <c r="J15" s="9" t="s">
        <v>1085</v>
      </c>
      <c r="K15" s="2">
        <v>12850</v>
      </c>
      <c r="L15" s="2" t="s">
        <v>26</v>
      </c>
      <c r="M15" s="2"/>
    </row>
    <row r="16" spans="1:15" ht="30">
      <c r="A16" s="7">
        <v>44751</v>
      </c>
      <c r="B16" s="2">
        <v>250</v>
      </c>
      <c r="C16" s="2" t="s">
        <v>44</v>
      </c>
      <c r="D16" s="7">
        <v>44712</v>
      </c>
      <c r="E16" s="2" t="s">
        <v>23</v>
      </c>
      <c r="F16" s="2" t="s">
        <v>24</v>
      </c>
      <c r="G16" s="2">
        <v>10</v>
      </c>
      <c r="H16" s="2">
        <v>8117</v>
      </c>
      <c r="I16" s="2"/>
      <c r="J16" s="9" t="s">
        <v>1086</v>
      </c>
      <c r="K16" s="2">
        <v>13903</v>
      </c>
      <c r="L16" s="2" t="s">
        <v>26</v>
      </c>
      <c r="M16" s="2"/>
    </row>
    <row r="17" spans="1:13" ht="30">
      <c r="A17" s="7">
        <v>44751</v>
      </c>
      <c r="B17" s="2">
        <v>250</v>
      </c>
      <c r="C17" s="2" t="s">
        <v>57</v>
      </c>
      <c r="D17" s="7">
        <v>44740</v>
      </c>
      <c r="E17" s="2" t="s">
        <v>23</v>
      </c>
      <c r="F17" s="2" t="s">
        <v>24</v>
      </c>
      <c r="G17" s="2">
        <v>11</v>
      </c>
      <c r="H17" s="2">
        <v>8674</v>
      </c>
      <c r="I17" s="2"/>
      <c r="J17" s="9" t="s">
        <v>36</v>
      </c>
      <c r="K17" s="2">
        <v>14640</v>
      </c>
      <c r="L17" s="2" t="s">
        <v>26</v>
      </c>
      <c r="M17" s="2"/>
    </row>
    <row r="18" spans="1:13" ht="30">
      <c r="A18" s="7">
        <v>44816</v>
      </c>
      <c r="B18" s="2">
        <v>250</v>
      </c>
      <c r="C18" s="2" t="s">
        <v>47</v>
      </c>
      <c r="D18" s="7">
        <v>44774</v>
      </c>
      <c r="E18" s="2" t="s">
        <v>23</v>
      </c>
      <c r="F18" s="2" t="s">
        <v>24</v>
      </c>
      <c r="G18" s="2">
        <v>12</v>
      </c>
      <c r="H18" s="2">
        <v>9628</v>
      </c>
      <c r="I18" s="2"/>
      <c r="J18" s="9" t="s">
        <v>1087</v>
      </c>
      <c r="K18" s="2">
        <v>15838</v>
      </c>
      <c r="L18" s="2" t="s">
        <v>26</v>
      </c>
      <c r="M18" s="2" t="s">
        <v>1088</v>
      </c>
    </row>
    <row r="19" spans="1:13" ht="30">
      <c r="A19" s="7">
        <v>44816</v>
      </c>
      <c r="B19" s="2">
        <v>250</v>
      </c>
      <c r="C19" s="2" t="s">
        <v>50</v>
      </c>
      <c r="D19" s="7">
        <v>44802</v>
      </c>
      <c r="E19" s="2" t="s">
        <v>23</v>
      </c>
      <c r="F19" s="2" t="s">
        <v>24</v>
      </c>
      <c r="G19" s="2">
        <v>13</v>
      </c>
      <c r="H19" s="2">
        <v>10376</v>
      </c>
      <c r="I19" s="2"/>
      <c r="J19" s="9" t="s">
        <v>1089</v>
      </c>
      <c r="K19" s="2">
        <v>16733</v>
      </c>
      <c r="L19" s="2" t="s">
        <v>26</v>
      </c>
      <c r="M19" s="2"/>
    </row>
    <row r="20" spans="1:13" ht="30.75">
      <c r="A20" s="2" t="s">
        <v>751</v>
      </c>
      <c r="B20" s="2">
        <v>250</v>
      </c>
      <c r="C20" s="2" t="s">
        <v>22</v>
      </c>
      <c r="D20" s="7">
        <v>44630</v>
      </c>
      <c r="E20" s="2" t="s">
        <v>23</v>
      </c>
      <c r="F20" s="2" t="s">
        <v>24</v>
      </c>
      <c r="G20" s="2">
        <v>14</v>
      </c>
      <c r="H20" s="2">
        <v>11196</v>
      </c>
      <c r="I20" s="2"/>
      <c r="J20" s="9"/>
      <c r="K20" s="2">
        <v>18072</v>
      </c>
      <c r="L20" s="2" t="s">
        <v>26</v>
      </c>
      <c r="M20" s="2" t="s">
        <v>170</v>
      </c>
    </row>
    <row r="21" spans="1:13" ht="30.75">
      <c r="A21" s="2" t="s">
        <v>751</v>
      </c>
      <c r="B21" s="2">
        <v>250</v>
      </c>
      <c r="C21" s="2" t="s">
        <v>54</v>
      </c>
      <c r="D21" s="7">
        <v>44572</v>
      </c>
      <c r="E21" s="2" t="s">
        <v>23</v>
      </c>
      <c r="F21" s="2" t="s">
        <v>24</v>
      </c>
      <c r="G21" s="2">
        <v>15</v>
      </c>
      <c r="H21" s="2">
        <v>11833</v>
      </c>
      <c r="I21" s="2"/>
      <c r="J21" s="9"/>
      <c r="K21" s="2">
        <v>18587</v>
      </c>
      <c r="L21" s="2" t="s">
        <v>26</v>
      </c>
      <c r="M21" s="2" t="s">
        <v>170</v>
      </c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9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9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9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9"/>
      <c r="K25" s="2"/>
      <c r="L25" s="2"/>
      <c r="M25" s="2"/>
    </row>
  </sheetData>
  <mergeCells count="6">
    <mergeCell ref="A1:I1"/>
    <mergeCell ref="B2:C2"/>
    <mergeCell ref="C4:E4"/>
    <mergeCell ref="H4:K4"/>
    <mergeCell ref="D5:E5"/>
    <mergeCell ref="K3:O3"/>
  </mergeCells>
  <dataValidations count="2">
    <dataValidation type="list" allowBlank="1" showInputMessage="1" showErrorMessage="1" sqref="F7:F25" xr:uid="{A0E15AE7-6283-4794-AB81-2AF40A5C6F7E}">
      <formula1>"EFECTIVO, CHEQUE, TRANSFERENCIA,DEPOSITO"</formula1>
    </dataValidation>
    <dataValidation type="list" allowBlank="1" showInputMessage="1" showErrorMessage="1" sqref="C7:C25" xr:uid="{0074FBDA-A38F-4E93-AC63-730FC710ABB5}">
      <formula1>"ENERO,FEBRERO,MARZO,ABRIL,MAYO,JUNIO,JULIO,AGOSTO,SEPTIEMBRE,OCTUBRE,NOVIEMBRE,DICIEMBRE"</formula1>
    </dataValidation>
  </dataValidations>
  <hyperlinks>
    <hyperlink ref="C4:E4" r:id="rId1" display="donayree@gmail.com" xr:uid="{496F4F85-0A6D-4ADE-BB3B-8093B9065309}"/>
  </hyperlinks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5DCD-17DB-43F7-89EE-3BF52CA1BC2F}">
  <sheetPr>
    <tabColor rgb="FFFF0000"/>
  </sheetPr>
  <dimension ref="A1:M17"/>
  <sheetViews>
    <sheetView topLeftCell="B1" workbookViewId="0">
      <selection activeCell="B3" sqref="B3"/>
    </sheetView>
  </sheetViews>
  <sheetFormatPr defaultColWidth="11.42578125" defaultRowHeight="15"/>
  <cols>
    <col min="2" max="2" width="26.85546875" customWidth="1"/>
  </cols>
  <sheetData>
    <row r="1" spans="1:13" ht="23.25">
      <c r="A1" s="687" t="s">
        <v>1090</v>
      </c>
      <c r="B1" s="687"/>
      <c r="C1" s="687"/>
      <c r="D1" s="687"/>
      <c r="E1" s="687"/>
      <c r="F1" s="687"/>
      <c r="G1" s="687"/>
      <c r="H1" s="687"/>
      <c r="I1" s="687"/>
      <c r="J1" s="631"/>
    </row>
    <row r="2" spans="1:13" ht="45" customHeight="1">
      <c r="A2" s="2" t="s">
        <v>247</v>
      </c>
      <c r="B2" s="638" t="s">
        <v>1091</v>
      </c>
      <c r="C2" s="638"/>
      <c r="H2" s="692" t="s">
        <v>1092</v>
      </c>
      <c r="I2" s="692"/>
      <c r="J2" s="692"/>
      <c r="K2" s="692"/>
    </row>
    <row r="3" spans="1:13" ht="18.75" customHeight="1">
      <c r="A3" s="2" t="s">
        <v>1</v>
      </c>
      <c r="B3" s="3">
        <v>20601095450</v>
      </c>
    </row>
    <row r="4" spans="1:13" ht="30" customHeight="1">
      <c r="A4" s="4" t="s">
        <v>2</v>
      </c>
      <c r="B4" s="5" t="s">
        <v>1093</v>
      </c>
      <c r="C4" s="639" t="s">
        <v>1094</v>
      </c>
      <c r="D4" s="639"/>
      <c r="E4" s="639"/>
      <c r="H4" s="691" t="s">
        <v>1095</v>
      </c>
      <c r="I4" s="691"/>
      <c r="J4" s="691"/>
      <c r="K4" s="691"/>
    </row>
    <row r="5" spans="1:13" ht="46.5">
      <c r="A5" s="224" t="s">
        <v>4</v>
      </c>
      <c r="B5" s="225">
        <v>44378</v>
      </c>
      <c r="C5" s="35"/>
      <c r="D5" s="689" t="s">
        <v>341</v>
      </c>
      <c r="E5" s="689"/>
      <c r="F5" s="226"/>
      <c r="G5" s="226"/>
      <c r="H5" s="35"/>
      <c r="I5" s="35"/>
      <c r="J5" s="35"/>
      <c r="K5" s="35"/>
      <c r="L5" s="35"/>
    </row>
    <row r="6" spans="1:13" ht="75">
      <c r="A6" s="227" t="s">
        <v>7</v>
      </c>
      <c r="B6" s="227" t="s">
        <v>8</v>
      </c>
      <c r="C6" s="227" t="s">
        <v>9</v>
      </c>
      <c r="D6" s="227" t="s">
        <v>10</v>
      </c>
      <c r="E6" s="227" t="s">
        <v>11</v>
      </c>
      <c r="F6" s="227" t="s">
        <v>12</v>
      </c>
      <c r="G6" s="227" t="s">
        <v>13</v>
      </c>
      <c r="H6" s="227" t="s">
        <v>14</v>
      </c>
      <c r="I6" s="227" t="s">
        <v>15</v>
      </c>
      <c r="J6" s="227" t="s">
        <v>252</v>
      </c>
      <c r="K6" s="227" t="s">
        <v>16</v>
      </c>
      <c r="L6" s="227" t="s">
        <v>18</v>
      </c>
      <c r="M6" s="227" t="s">
        <v>99</v>
      </c>
    </row>
    <row r="7" spans="1:13" ht="30">
      <c r="A7" s="7">
        <v>44432</v>
      </c>
      <c r="B7" s="8">
        <v>200</v>
      </c>
      <c r="C7" s="2" t="s">
        <v>47</v>
      </c>
      <c r="D7" s="7">
        <v>44408</v>
      </c>
      <c r="E7" s="2" t="s">
        <v>23</v>
      </c>
      <c r="F7" s="2" t="s">
        <v>24</v>
      </c>
      <c r="G7" s="2">
        <v>1</v>
      </c>
      <c r="H7" s="2">
        <v>1891</v>
      </c>
      <c r="I7" s="9"/>
      <c r="J7" s="9" t="s">
        <v>1096</v>
      </c>
      <c r="K7" s="9" t="s">
        <v>1097</v>
      </c>
      <c r="L7" s="2" t="s">
        <v>26</v>
      </c>
      <c r="M7" s="2"/>
    </row>
    <row r="8" spans="1:13" ht="30">
      <c r="A8" s="7">
        <v>44482</v>
      </c>
      <c r="B8" s="8">
        <v>200</v>
      </c>
      <c r="C8" s="2" t="s">
        <v>50</v>
      </c>
      <c r="D8" s="7">
        <v>44439</v>
      </c>
      <c r="E8" s="2" t="s">
        <v>23</v>
      </c>
      <c r="F8" s="2" t="s">
        <v>24</v>
      </c>
      <c r="G8" s="2">
        <v>2</v>
      </c>
      <c r="H8" s="9" t="s">
        <v>1098</v>
      </c>
      <c r="I8" s="2"/>
      <c r="J8" s="9" t="s">
        <v>657</v>
      </c>
      <c r="K8" s="2">
        <v>5450</v>
      </c>
      <c r="L8" s="2" t="s">
        <v>26</v>
      </c>
      <c r="M8" s="2"/>
    </row>
    <row r="9" spans="1:13" ht="30">
      <c r="A9" s="7">
        <v>44505</v>
      </c>
      <c r="B9" s="2">
        <v>200</v>
      </c>
      <c r="C9" s="2" t="s">
        <v>22</v>
      </c>
      <c r="D9" s="7" t="s">
        <v>36</v>
      </c>
      <c r="E9" s="2" t="s">
        <v>23</v>
      </c>
      <c r="F9" s="2" t="s">
        <v>24</v>
      </c>
      <c r="G9" s="2">
        <v>3</v>
      </c>
      <c r="H9" s="2">
        <v>3256</v>
      </c>
      <c r="I9" s="2"/>
      <c r="J9" s="9" t="s">
        <v>36</v>
      </c>
      <c r="K9" s="2" t="s">
        <v>36</v>
      </c>
      <c r="L9" s="2" t="s">
        <v>26</v>
      </c>
      <c r="M9" s="2"/>
    </row>
    <row r="10" spans="1:13" ht="30">
      <c r="A10" s="7">
        <v>44536</v>
      </c>
      <c r="B10" s="2">
        <v>200</v>
      </c>
      <c r="C10" s="2" t="s">
        <v>54</v>
      </c>
      <c r="D10" s="7">
        <v>44499</v>
      </c>
      <c r="E10" s="2" t="s">
        <v>23</v>
      </c>
      <c r="F10" s="2" t="s">
        <v>24</v>
      </c>
      <c r="G10" s="2">
        <v>4</v>
      </c>
      <c r="H10" s="2">
        <v>3404</v>
      </c>
      <c r="I10" s="2"/>
      <c r="J10" s="9" t="s">
        <v>1099</v>
      </c>
      <c r="K10" s="2">
        <v>6866</v>
      </c>
      <c r="L10" s="2" t="s">
        <v>56</v>
      </c>
      <c r="M10" s="2"/>
    </row>
    <row r="11" spans="1:13" ht="30">
      <c r="A11" s="7">
        <v>44552</v>
      </c>
      <c r="B11" s="2">
        <v>200</v>
      </c>
      <c r="C11" s="2" t="s">
        <v>27</v>
      </c>
      <c r="D11" s="7">
        <v>44530</v>
      </c>
      <c r="E11" s="2" t="s">
        <v>23</v>
      </c>
      <c r="F11" s="2" t="s">
        <v>24</v>
      </c>
      <c r="G11" s="2">
        <v>5</v>
      </c>
      <c r="H11" s="2">
        <v>4057</v>
      </c>
      <c r="I11" s="2"/>
      <c r="J11" s="9" t="s">
        <v>1100</v>
      </c>
      <c r="K11" s="2">
        <v>7929</v>
      </c>
      <c r="L11" s="2" t="s">
        <v>26</v>
      </c>
      <c r="M11" s="2"/>
    </row>
    <row r="12" spans="1:13" ht="30">
      <c r="A12" s="7">
        <v>44603</v>
      </c>
      <c r="B12" s="2">
        <v>200</v>
      </c>
      <c r="C12" s="2" t="s">
        <v>30</v>
      </c>
      <c r="D12" s="7">
        <v>44558</v>
      </c>
      <c r="E12" s="2" t="s">
        <v>23</v>
      </c>
      <c r="F12" s="2" t="s">
        <v>24</v>
      </c>
      <c r="G12" s="2">
        <v>6</v>
      </c>
      <c r="H12" s="2">
        <v>4618</v>
      </c>
      <c r="I12" s="2"/>
      <c r="J12" s="9" t="s">
        <v>1101</v>
      </c>
      <c r="K12" s="2">
        <v>8622</v>
      </c>
      <c r="L12" s="2" t="s">
        <v>26</v>
      </c>
      <c r="M12" s="2"/>
    </row>
    <row r="13" spans="1:13" ht="30">
      <c r="A13" s="7">
        <v>44643</v>
      </c>
      <c r="B13" s="2">
        <v>200</v>
      </c>
      <c r="C13" s="2" t="s">
        <v>38</v>
      </c>
      <c r="D13" s="7">
        <v>44652</v>
      </c>
      <c r="E13" s="2" t="s">
        <v>23</v>
      </c>
      <c r="F13" s="2" t="s">
        <v>24</v>
      </c>
      <c r="G13" s="2">
        <v>7</v>
      </c>
      <c r="H13" s="2">
        <v>5790</v>
      </c>
      <c r="I13" s="2"/>
      <c r="J13" s="9"/>
      <c r="K13" s="2">
        <v>11930</v>
      </c>
      <c r="L13" s="2" t="s">
        <v>26</v>
      </c>
      <c r="M13" s="2"/>
    </row>
    <row r="14" spans="1:13" ht="30">
      <c r="A14" s="7">
        <v>44643</v>
      </c>
      <c r="B14" s="2">
        <v>200</v>
      </c>
      <c r="C14" s="2" t="s">
        <v>41</v>
      </c>
      <c r="D14" s="7">
        <v>44681</v>
      </c>
      <c r="E14" s="2" t="s">
        <v>23</v>
      </c>
      <c r="F14" s="2" t="s">
        <v>24</v>
      </c>
      <c r="G14" s="2">
        <v>8</v>
      </c>
      <c r="H14" s="2">
        <v>5791</v>
      </c>
      <c r="I14" s="2"/>
      <c r="J14" s="9"/>
      <c r="K14" s="2">
        <v>12851</v>
      </c>
      <c r="L14" s="2" t="s">
        <v>26</v>
      </c>
      <c r="M14" s="2"/>
    </row>
    <row r="15" spans="1:13" ht="30">
      <c r="A15" s="7">
        <v>44761</v>
      </c>
      <c r="B15" s="2">
        <v>200</v>
      </c>
      <c r="C15" s="2" t="s">
        <v>44</v>
      </c>
      <c r="D15" s="7">
        <v>44709</v>
      </c>
      <c r="E15" s="2" t="s">
        <v>23</v>
      </c>
      <c r="F15" s="2" t="s">
        <v>24</v>
      </c>
      <c r="G15" s="2">
        <v>9</v>
      </c>
      <c r="H15" s="2">
        <v>8118</v>
      </c>
      <c r="I15" s="2"/>
      <c r="J15" s="9" t="s">
        <v>1102</v>
      </c>
      <c r="K15" s="2">
        <v>13904</v>
      </c>
      <c r="L15" s="2" t="s">
        <v>26</v>
      </c>
      <c r="M15" s="2"/>
    </row>
    <row r="16" spans="1:13" ht="30">
      <c r="A16" s="7">
        <v>44761</v>
      </c>
      <c r="B16" s="2">
        <v>200</v>
      </c>
      <c r="C16" s="2" t="s">
        <v>57</v>
      </c>
      <c r="D16" s="7">
        <v>44740</v>
      </c>
      <c r="E16" s="2" t="s">
        <v>23</v>
      </c>
      <c r="F16" s="2" t="s">
        <v>24</v>
      </c>
      <c r="G16" s="2">
        <v>10</v>
      </c>
      <c r="H16" s="2">
        <v>8675</v>
      </c>
      <c r="I16" s="2"/>
      <c r="J16" s="9" t="s">
        <v>1103</v>
      </c>
      <c r="K16" s="2">
        <v>14641</v>
      </c>
      <c r="L16" s="2" t="s">
        <v>26</v>
      </c>
      <c r="M16" s="2"/>
    </row>
    <row r="17" spans="1:13" ht="30">
      <c r="A17" s="7">
        <v>44905</v>
      </c>
      <c r="B17" s="2">
        <v>200</v>
      </c>
      <c r="C17" s="2" t="s">
        <v>47</v>
      </c>
      <c r="D17" s="7">
        <v>44772</v>
      </c>
      <c r="E17" s="2" t="s">
        <v>23</v>
      </c>
      <c r="F17" s="2" t="s">
        <v>24</v>
      </c>
      <c r="G17" s="2">
        <v>11</v>
      </c>
      <c r="H17" s="2">
        <v>9631</v>
      </c>
      <c r="I17" s="2"/>
      <c r="J17" s="9" t="s">
        <v>1104</v>
      </c>
      <c r="K17" s="2">
        <v>15832</v>
      </c>
      <c r="L17" s="2" t="s">
        <v>26</v>
      </c>
      <c r="M17" s="2" t="s">
        <v>170</v>
      </c>
    </row>
  </sheetData>
  <mergeCells count="6">
    <mergeCell ref="A1:I1"/>
    <mergeCell ref="B2:C2"/>
    <mergeCell ref="C4:E4"/>
    <mergeCell ref="H4:K4"/>
    <mergeCell ref="D5:E5"/>
    <mergeCell ref="H2:K2"/>
  </mergeCells>
  <dataValidations disablePrompts="1" count="2">
    <dataValidation type="list" allowBlank="1" showInputMessage="1" showErrorMessage="1" sqref="C7:C17" xr:uid="{31DD4FBA-F062-4D3A-B31F-7DC10547CB51}">
      <formula1>"ENERO,FEBRERO,MARZO,ABRIL,MAYO,JUNIO,JULIO,AGOSTO,SEPTIEMBRE,OCTUBRE,NOVIEMBRE,DICIEMBRE"</formula1>
    </dataValidation>
    <dataValidation type="list" allowBlank="1" showInputMessage="1" showErrorMessage="1" sqref="F7:F17" xr:uid="{B018371E-26A3-4B7F-843F-72F6F03E9DA0}">
      <formula1>"EFECTIVO, CHEQUE, TRANSFERENCIA,DEPOSITO"</formula1>
    </dataValidation>
  </dataValidations>
  <hyperlinks>
    <hyperlink ref="B4" r:id="rId1" xr:uid="{9CEF13FC-EEE7-47B0-954A-A51B2E0252D7}"/>
    <hyperlink ref="C4:E4" r:id="rId2" display="icamedic.sac@gmail.com" xr:uid="{8EE319F4-239D-49A5-AF73-5BB16210AC10}"/>
  </hyperlinks>
  <pageMargins left="0.7" right="0.7" top="0.75" bottom="0.75" header="0.3" footer="0.3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AD4A-0413-43FF-A74A-115E1E94A9A3}">
  <sheetPr>
    <tabColor rgb="FFFF0000"/>
  </sheetPr>
  <dimension ref="A1:L18"/>
  <sheetViews>
    <sheetView topLeftCell="A10" workbookViewId="0">
      <selection activeCell="A15" sqref="A15"/>
    </sheetView>
  </sheetViews>
  <sheetFormatPr defaultColWidth="11.42578125" defaultRowHeight="15"/>
  <cols>
    <col min="1" max="1" width="16" customWidth="1"/>
    <col min="2" max="2" width="20.42578125" customWidth="1"/>
  </cols>
  <sheetData>
    <row r="1" spans="1:12" ht="24" customHeight="1">
      <c r="A1" s="687" t="s">
        <v>1105</v>
      </c>
      <c r="B1" s="687"/>
      <c r="C1" s="687"/>
      <c r="D1" s="687"/>
      <c r="E1" s="687"/>
      <c r="F1" s="687"/>
      <c r="G1" s="687"/>
      <c r="H1" s="687"/>
      <c r="I1" s="687"/>
      <c r="J1" s="631"/>
    </row>
    <row r="2" spans="1:12" ht="31.5" customHeight="1">
      <c r="A2" s="2" t="s">
        <v>247</v>
      </c>
      <c r="B2" s="638" t="s">
        <v>1106</v>
      </c>
      <c r="C2" s="638"/>
    </row>
    <row r="3" spans="1:12" hidden="1">
      <c r="A3" s="2" t="s">
        <v>1</v>
      </c>
      <c r="B3" s="3">
        <v>20494652031</v>
      </c>
    </row>
    <row r="4" spans="1:12" ht="40.5" customHeight="1">
      <c r="A4" s="2" t="s">
        <v>1</v>
      </c>
      <c r="B4" s="3">
        <v>20494652031</v>
      </c>
      <c r="H4" s="693" t="s">
        <v>1107</v>
      </c>
      <c r="I4" s="693"/>
      <c r="J4" s="693"/>
    </row>
    <row r="5" spans="1:12" ht="59.25" customHeight="1">
      <c r="A5" s="4" t="s">
        <v>2</v>
      </c>
      <c r="B5" s="5"/>
      <c r="C5" s="639"/>
      <c r="D5" s="639"/>
      <c r="E5" s="639"/>
      <c r="H5" s="691" t="s">
        <v>1095</v>
      </c>
      <c r="I5" s="691"/>
      <c r="J5" s="691"/>
      <c r="K5" s="691"/>
    </row>
    <row r="6" spans="1:12" ht="46.5">
      <c r="A6" s="224" t="s">
        <v>4</v>
      </c>
      <c r="B6" s="225">
        <v>44378</v>
      </c>
      <c r="C6" s="35"/>
      <c r="D6" s="689" t="s">
        <v>341</v>
      </c>
      <c r="E6" s="689"/>
      <c r="F6" s="226"/>
      <c r="G6" s="226"/>
      <c r="H6" s="35"/>
      <c r="I6" s="35"/>
      <c r="J6" s="35"/>
      <c r="K6" s="35"/>
      <c r="L6" s="35"/>
    </row>
    <row r="7" spans="1:12" ht="75">
      <c r="A7" s="227" t="s">
        <v>7</v>
      </c>
      <c r="B7" s="227" t="s">
        <v>8</v>
      </c>
      <c r="C7" s="227" t="s">
        <v>9</v>
      </c>
      <c r="D7" s="227" t="s">
        <v>10</v>
      </c>
      <c r="E7" s="227" t="s">
        <v>11</v>
      </c>
      <c r="F7" s="227" t="s">
        <v>12</v>
      </c>
      <c r="G7" s="227" t="s">
        <v>13</v>
      </c>
      <c r="H7" s="227" t="s">
        <v>14</v>
      </c>
      <c r="I7" s="227" t="s">
        <v>15</v>
      </c>
      <c r="J7" s="227" t="s">
        <v>252</v>
      </c>
      <c r="K7" s="227" t="s">
        <v>16</v>
      </c>
      <c r="L7" s="227" t="s">
        <v>18</v>
      </c>
    </row>
    <row r="8" spans="1:12" ht="30">
      <c r="A8" s="7">
        <v>44487</v>
      </c>
      <c r="B8" s="8">
        <v>200</v>
      </c>
      <c r="C8" s="2" t="s">
        <v>47</v>
      </c>
      <c r="D8" s="7">
        <v>44408</v>
      </c>
      <c r="E8" s="2" t="s">
        <v>23</v>
      </c>
      <c r="F8" s="2" t="s">
        <v>24</v>
      </c>
      <c r="G8" s="2">
        <v>1</v>
      </c>
      <c r="H8" s="2">
        <v>2013</v>
      </c>
      <c r="I8" s="9"/>
      <c r="J8" s="9" t="s">
        <v>659</v>
      </c>
      <c r="K8" s="9" t="s">
        <v>1108</v>
      </c>
      <c r="L8" s="2" t="s">
        <v>74</v>
      </c>
    </row>
    <row r="9" spans="1:12" ht="30">
      <c r="A9" s="7">
        <v>44517</v>
      </c>
      <c r="B9" s="2">
        <v>200</v>
      </c>
      <c r="C9" s="2" t="s">
        <v>50</v>
      </c>
      <c r="D9" s="7">
        <v>44439</v>
      </c>
      <c r="E9" s="2" t="s">
        <v>23</v>
      </c>
      <c r="F9" s="2" t="s">
        <v>24</v>
      </c>
      <c r="G9" s="2">
        <v>2</v>
      </c>
      <c r="H9" s="9" t="s">
        <v>1109</v>
      </c>
      <c r="I9" s="2"/>
      <c r="J9" s="9" t="s">
        <v>1110</v>
      </c>
      <c r="K9" s="2">
        <v>5859</v>
      </c>
      <c r="L9" s="2" t="s">
        <v>74</v>
      </c>
    </row>
    <row r="10" spans="1:12" ht="30">
      <c r="A10" s="7">
        <v>44615</v>
      </c>
      <c r="B10" s="2">
        <v>200</v>
      </c>
      <c r="C10" s="2" t="s">
        <v>54</v>
      </c>
      <c r="D10" s="7">
        <v>44499</v>
      </c>
      <c r="E10" s="2" t="s">
        <v>23</v>
      </c>
      <c r="F10" s="2" t="s">
        <v>24</v>
      </c>
      <c r="G10" s="2">
        <v>3</v>
      </c>
      <c r="H10" s="2">
        <v>3257</v>
      </c>
      <c r="I10" s="2"/>
      <c r="J10" s="9" t="s">
        <v>1111</v>
      </c>
      <c r="K10" s="2">
        <v>6871</v>
      </c>
      <c r="L10" s="2" t="s">
        <v>74</v>
      </c>
    </row>
    <row r="11" spans="1:12" ht="30">
      <c r="A11" s="7">
        <v>44615</v>
      </c>
      <c r="B11" s="2">
        <v>200</v>
      </c>
      <c r="C11" s="2" t="s">
        <v>27</v>
      </c>
      <c r="D11" s="7">
        <v>44530</v>
      </c>
      <c r="E11" s="2" t="s">
        <v>23</v>
      </c>
      <c r="F11" s="2" t="s">
        <v>24</v>
      </c>
      <c r="G11" s="2">
        <v>4</v>
      </c>
      <c r="H11" s="2">
        <v>4619</v>
      </c>
      <c r="I11" s="2"/>
      <c r="J11" s="9" t="s">
        <v>1112</v>
      </c>
      <c r="K11" s="2">
        <v>7930</v>
      </c>
      <c r="L11" s="2" t="s">
        <v>74</v>
      </c>
    </row>
    <row r="12" spans="1:12" ht="30">
      <c r="A12" s="7">
        <v>44615</v>
      </c>
      <c r="B12" s="2">
        <v>200</v>
      </c>
      <c r="C12" s="2" t="s">
        <v>30</v>
      </c>
      <c r="D12" s="7">
        <v>44558</v>
      </c>
      <c r="E12" s="2" t="s">
        <v>23</v>
      </c>
      <c r="F12" s="2" t="s">
        <v>24</v>
      </c>
      <c r="G12" s="2">
        <v>5</v>
      </c>
      <c r="H12" s="2">
        <v>4619</v>
      </c>
      <c r="I12" s="2"/>
      <c r="J12" s="9" t="s">
        <v>1113</v>
      </c>
      <c r="K12" s="2">
        <v>8623</v>
      </c>
      <c r="L12" s="2" t="s">
        <v>74</v>
      </c>
    </row>
    <row r="13" spans="1:12" ht="30">
      <c r="A13" s="7">
        <v>44642</v>
      </c>
      <c r="B13" s="2">
        <v>200</v>
      </c>
      <c r="C13" s="2" t="s">
        <v>32</v>
      </c>
      <c r="D13" s="7">
        <v>44592</v>
      </c>
      <c r="E13" s="2" t="s">
        <v>23</v>
      </c>
      <c r="F13" s="2" t="s">
        <v>24</v>
      </c>
      <c r="G13" s="2">
        <v>6</v>
      </c>
      <c r="H13" s="2">
        <v>5419</v>
      </c>
      <c r="I13" s="2"/>
      <c r="J13" s="9" t="s">
        <v>1114</v>
      </c>
      <c r="K13" s="2">
        <v>10068</v>
      </c>
      <c r="L13" s="2" t="s">
        <v>74</v>
      </c>
    </row>
    <row r="14" spans="1:12" ht="30">
      <c r="A14" s="7">
        <v>44642</v>
      </c>
      <c r="B14" s="2">
        <v>200</v>
      </c>
      <c r="C14" s="2" t="s">
        <v>34</v>
      </c>
      <c r="D14" s="7">
        <v>44620</v>
      </c>
      <c r="E14" s="2" t="s">
        <v>23</v>
      </c>
      <c r="F14" s="2" t="s">
        <v>24</v>
      </c>
      <c r="G14" s="2">
        <v>7</v>
      </c>
      <c r="H14" s="2">
        <v>6198</v>
      </c>
      <c r="I14" s="2"/>
      <c r="J14" s="9" t="s">
        <v>1115</v>
      </c>
      <c r="K14" s="2">
        <v>11016</v>
      </c>
      <c r="L14" s="2" t="s">
        <v>74</v>
      </c>
    </row>
    <row r="15" spans="1:12" ht="30">
      <c r="A15" s="7">
        <v>44712</v>
      </c>
      <c r="B15" s="2">
        <v>200</v>
      </c>
      <c r="C15" s="2" t="s">
        <v>38</v>
      </c>
      <c r="D15" s="7">
        <v>44652</v>
      </c>
      <c r="E15" s="2" t="s">
        <v>23</v>
      </c>
      <c r="F15" s="2" t="s">
        <v>24</v>
      </c>
      <c r="G15" s="2">
        <v>8</v>
      </c>
      <c r="H15" s="2">
        <v>6923</v>
      </c>
      <c r="I15" s="2"/>
      <c r="J15" s="9"/>
      <c r="K15" s="2">
        <v>11948</v>
      </c>
      <c r="L15" s="2" t="s">
        <v>74</v>
      </c>
    </row>
    <row r="16" spans="1:12" ht="30">
      <c r="A16" s="7">
        <v>44712</v>
      </c>
      <c r="B16" s="2">
        <v>200</v>
      </c>
      <c r="C16" s="2" t="s">
        <v>41</v>
      </c>
      <c r="D16" s="7">
        <v>44681</v>
      </c>
      <c r="E16" s="2" t="s">
        <v>23</v>
      </c>
      <c r="F16" s="2" t="s">
        <v>24</v>
      </c>
      <c r="G16" s="2">
        <v>9</v>
      </c>
      <c r="H16" s="2">
        <v>7180</v>
      </c>
      <c r="I16" s="2"/>
      <c r="J16" s="9"/>
      <c r="K16" s="2">
        <v>12869</v>
      </c>
      <c r="L16" s="2" t="s">
        <v>74</v>
      </c>
    </row>
    <row r="17" spans="1:12" ht="30">
      <c r="A17" s="2"/>
      <c r="B17" s="2"/>
      <c r="C17" s="2"/>
      <c r="D17" s="2"/>
      <c r="E17" s="2" t="s">
        <v>23</v>
      </c>
      <c r="F17" s="2"/>
      <c r="G17" s="2"/>
      <c r="H17" s="2"/>
      <c r="I17" s="2"/>
      <c r="J17" s="9"/>
      <c r="K17" s="2"/>
      <c r="L17" s="2"/>
    </row>
    <row r="18" spans="1:12" ht="30">
      <c r="A18" s="2"/>
      <c r="B18" s="2"/>
      <c r="C18" s="2"/>
      <c r="D18" s="2"/>
      <c r="E18" s="2" t="s">
        <v>23</v>
      </c>
      <c r="F18" s="2"/>
      <c r="G18" s="2"/>
      <c r="H18" s="2"/>
      <c r="I18" s="2"/>
      <c r="J18" s="9"/>
      <c r="K18" s="2"/>
      <c r="L18" s="2"/>
    </row>
  </sheetData>
  <mergeCells count="6">
    <mergeCell ref="A1:I1"/>
    <mergeCell ref="B2:C2"/>
    <mergeCell ref="C5:E5"/>
    <mergeCell ref="H5:K5"/>
    <mergeCell ref="D6:E6"/>
    <mergeCell ref="H4:J4"/>
  </mergeCells>
  <dataValidations count="2">
    <dataValidation type="list" allowBlank="1" showInputMessage="1" showErrorMessage="1" sqref="F8:F18" xr:uid="{77EB8116-1D7A-4F20-8AE0-1D1199837A44}">
      <formula1>"EFECTIVO, CHEQUE, TRANSFERENCIA,DEPOSITO"</formula1>
    </dataValidation>
    <dataValidation type="list" allowBlank="1" showInputMessage="1" showErrorMessage="1" sqref="C8:C18" xr:uid="{E4B994F5-D621-4226-9A9E-F1B1F40FC1F3}">
      <formula1>"ENERO,FEBRERO,MARZO,ABRIL,MAYO,JUNIO,JULIO,AGOSTO,SEPTIEMBRE,OCTUBRE,NOVIEMBRE,DICIEMBRE"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EF7B-9366-444A-8051-9D3E299B8A9E}">
  <sheetPr>
    <tabColor rgb="FFFFC000"/>
  </sheetPr>
  <dimension ref="A1:M63"/>
  <sheetViews>
    <sheetView workbookViewId="0">
      <selection activeCell="L13" sqref="L13"/>
    </sheetView>
  </sheetViews>
  <sheetFormatPr defaultColWidth="11.42578125" defaultRowHeight="15"/>
  <cols>
    <col min="2" max="2" width="26.42578125" customWidth="1"/>
  </cols>
  <sheetData>
    <row r="1" spans="1:13" ht="23.25">
      <c r="A1" s="697" t="s">
        <v>1116</v>
      </c>
      <c r="B1" s="697"/>
      <c r="C1" s="697"/>
      <c r="D1" s="697"/>
      <c r="E1" s="697"/>
      <c r="F1" s="697"/>
      <c r="G1" s="697"/>
      <c r="H1" s="697"/>
      <c r="I1" s="697"/>
    </row>
    <row r="2" spans="1:13" ht="30">
      <c r="A2" s="2" t="s">
        <v>93</v>
      </c>
      <c r="G2" s="702" t="s">
        <v>1117</v>
      </c>
      <c r="H2" s="702"/>
      <c r="I2" s="702"/>
      <c r="J2" s="702"/>
    </row>
    <row r="3" spans="1:13">
      <c r="A3" s="2" t="s">
        <v>1</v>
      </c>
      <c r="B3">
        <v>20269376806</v>
      </c>
    </row>
    <row r="4" spans="1:13" ht="23.25">
      <c r="A4" s="4" t="s">
        <v>2</v>
      </c>
      <c r="B4" s="16"/>
      <c r="E4" s="26"/>
      <c r="F4" s="39"/>
      <c r="G4" s="698"/>
      <c r="H4" s="698"/>
      <c r="I4" s="698"/>
      <c r="J4" s="698"/>
      <c r="K4" s="38"/>
      <c r="L4" s="38"/>
      <c r="M4" s="40"/>
    </row>
    <row r="5" spans="1:13" ht="46.5">
      <c r="A5" s="36" t="s">
        <v>4</v>
      </c>
      <c r="B5" s="37"/>
      <c r="C5" s="699"/>
      <c r="D5" s="699"/>
      <c r="E5" s="699"/>
      <c r="F5" s="700"/>
      <c r="G5" s="700"/>
      <c r="H5" s="700"/>
      <c r="I5" s="38"/>
      <c r="J5" s="701"/>
      <c r="K5" s="701"/>
      <c r="L5" s="701"/>
    </row>
    <row r="6" spans="1:13" ht="19.5" thickBot="1">
      <c r="A6" s="41"/>
      <c r="B6" s="41"/>
      <c r="C6" s="694" t="s">
        <v>316</v>
      </c>
      <c r="D6" s="695"/>
      <c r="E6" s="696"/>
      <c r="F6" s="41"/>
      <c r="G6" s="41"/>
      <c r="H6" s="41"/>
      <c r="I6" s="41"/>
      <c r="J6" s="41"/>
      <c r="K6" s="38"/>
      <c r="L6" s="35"/>
    </row>
    <row r="7" spans="1:13" ht="75.75" thickBot="1">
      <c r="A7" s="41" t="s">
        <v>7</v>
      </c>
      <c r="B7" s="41" t="s">
        <v>8</v>
      </c>
      <c r="C7" s="41" t="s">
        <v>10</v>
      </c>
      <c r="D7" s="41" t="s">
        <v>11</v>
      </c>
      <c r="E7" s="41" t="s">
        <v>12</v>
      </c>
      <c r="F7" s="41" t="s">
        <v>342</v>
      </c>
      <c r="G7" s="41" t="s">
        <v>14</v>
      </c>
      <c r="H7" s="41" t="s">
        <v>343</v>
      </c>
      <c r="I7" s="41" t="s">
        <v>16</v>
      </c>
      <c r="J7" s="41" t="s">
        <v>18</v>
      </c>
      <c r="K7" s="41" t="s">
        <v>99</v>
      </c>
      <c r="L7" s="35"/>
    </row>
    <row r="8" spans="1:13" ht="30">
      <c r="A8" s="7"/>
      <c r="B8" s="8"/>
      <c r="C8" s="7">
        <v>44084</v>
      </c>
      <c r="D8" s="2" t="s">
        <v>23</v>
      </c>
      <c r="E8" s="2" t="s">
        <v>24</v>
      </c>
      <c r="F8" s="2">
        <v>1962</v>
      </c>
      <c r="G8" s="2"/>
      <c r="H8" s="9" t="s">
        <v>1118</v>
      </c>
      <c r="I8" s="9"/>
      <c r="J8" s="2" t="s">
        <v>1119</v>
      </c>
      <c r="K8" s="2" t="s">
        <v>1120</v>
      </c>
    </row>
    <row r="9" spans="1:13" ht="30">
      <c r="A9" s="7"/>
      <c r="B9" s="8"/>
      <c r="C9" s="7">
        <v>44086</v>
      </c>
      <c r="D9" s="2" t="s">
        <v>23</v>
      </c>
      <c r="E9" s="2" t="s">
        <v>24</v>
      </c>
      <c r="F9" s="2">
        <v>1281</v>
      </c>
      <c r="G9" s="2"/>
      <c r="H9" s="9" t="s">
        <v>1121</v>
      </c>
      <c r="I9" s="9"/>
      <c r="J9" s="2" t="s">
        <v>1119</v>
      </c>
      <c r="K9" s="2" t="s">
        <v>1120</v>
      </c>
    </row>
    <row r="10" spans="1:13" ht="30">
      <c r="A10" s="7"/>
      <c r="B10" s="8"/>
      <c r="C10" s="7"/>
      <c r="D10" s="2" t="s">
        <v>23</v>
      </c>
      <c r="E10" s="2"/>
      <c r="F10" s="2"/>
      <c r="G10" s="2"/>
      <c r="H10" s="9"/>
      <c r="I10" s="9"/>
      <c r="J10" s="2"/>
      <c r="K10" s="2"/>
    </row>
    <row r="11" spans="1:13" ht="30">
      <c r="A11" s="7"/>
      <c r="B11" s="8"/>
      <c r="C11" s="7"/>
      <c r="D11" s="2" t="s">
        <v>23</v>
      </c>
      <c r="E11" s="2"/>
      <c r="F11" s="2"/>
      <c r="G11" s="2"/>
      <c r="H11" s="9"/>
      <c r="I11" s="9"/>
      <c r="J11" s="2"/>
      <c r="K11" s="2"/>
    </row>
    <row r="12" spans="1:13" ht="30">
      <c r="A12" s="2"/>
      <c r="B12" s="8"/>
      <c r="C12" s="7"/>
      <c r="D12" s="2" t="s">
        <v>23</v>
      </c>
      <c r="E12" s="2"/>
      <c r="F12" s="2"/>
      <c r="G12" s="2"/>
      <c r="H12" s="9"/>
      <c r="I12" s="9"/>
      <c r="J12" s="2"/>
      <c r="K12" s="2"/>
    </row>
    <row r="13" spans="1:13" ht="30">
      <c r="A13" s="2"/>
      <c r="B13" s="8"/>
      <c r="C13" s="7"/>
      <c r="D13" s="2" t="s">
        <v>23</v>
      </c>
      <c r="E13" s="2"/>
      <c r="F13" s="2"/>
      <c r="G13" s="2"/>
      <c r="H13" s="9"/>
      <c r="I13" s="9"/>
      <c r="J13" s="2"/>
      <c r="K13" s="2"/>
    </row>
    <row r="14" spans="1:13" ht="30">
      <c r="A14" s="2"/>
      <c r="B14" s="8"/>
      <c r="C14" s="7"/>
      <c r="D14" s="2" t="s">
        <v>23</v>
      </c>
      <c r="E14" s="2"/>
      <c r="F14" s="2"/>
      <c r="G14" s="2"/>
      <c r="H14" s="9"/>
      <c r="I14" s="9"/>
      <c r="J14" s="2"/>
      <c r="K14" s="2"/>
    </row>
    <row r="15" spans="1:13" ht="30">
      <c r="A15" s="2"/>
      <c r="B15" s="8"/>
      <c r="C15" s="7"/>
      <c r="D15" s="2" t="s">
        <v>23</v>
      </c>
      <c r="E15" s="2"/>
      <c r="F15" s="2"/>
      <c r="G15" s="2"/>
      <c r="H15" s="9"/>
      <c r="I15" s="9"/>
      <c r="J15" s="2"/>
      <c r="K15" s="2"/>
    </row>
    <row r="16" spans="1:13" ht="30">
      <c r="A16" s="2"/>
      <c r="B16" s="8"/>
      <c r="C16" s="7"/>
      <c r="D16" s="2" t="s">
        <v>23</v>
      </c>
      <c r="E16" s="2"/>
      <c r="F16" s="2"/>
      <c r="G16" s="2"/>
      <c r="H16" s="9"/>
      <c r="I16" s="9"/>
      <c r="J16" s="2"/>
      <c r="K16" s="2"/>
    </row>
    <row r="17" spans="1:11" ht="30">
      <c r="A17" s="2"/>
      <c r="B17" s="8"/>
      <c r="C17" s="7"/>
      <c r="D17" s="2" t="s">
        <v>23</v>
      </c>
      <c r="E17" s="2"/>
      <c r="F17" s="2"/>
      <c r="G17" s="2"/>
      <c r="H17" s="9"/>
      <c r="I17" s="9"/>
      <c r="J17" s="2"/>
      <c r="K17" s="2"/>
    </row>
    <row r="18" spans="1:11" ht="30">
      <c r="A18" s="2"/>
      <c r="B18" s="8"/>
      <c r="C18" s="7"/>
      <c r="D18" s="2" t="s">
        <v>23</v>
      </c>
      <c r="E18" s="2"/>
      <c r="F18" s="2"/>
      <c r="G18" s="2"/>
      <c r="H18" s="9"/>
      <c r="I18" s="9"/>
      <c r="J18" s="2"/>
      <c r="K18" s="2"/>
    </row>
    <row r="19" spans="1:11" ht="30">
      <c r="A19" s="2"/>
      <c r="B19" s="8"/>
      <c r="C19" s="7"/>
      <c r="D19" s="2" t="s">
        <v>23</v>
      </c>
      <c r="E19" s="2"/>
      <c r="F19" s="2"/>
      <c r="G19" s="2"/>
      <c r="H19" s="9"/>
      <c r="I19" s="9"/>
      <c r="J19" s="2"/>
      <c r="K19" s="2"/>
    </row>
    <row r="20" spans="1:11" ht="30">
      <c r="A20" s="2"/>
      <c r="B20" s="2"/>
      <c r="C20" s="7"/>
      <c r="D20" s="2" t="s">
        <v>23</v>
      </c>
      <c r="E20" s="2"/>
      <c r="F20" s="2"/>
      <c r="G20" s="2"/>
      <c r="H20" s="9"/>
      <c r="I20" s="9"/>
      <c r="J20" s="2"/>
      <c r="K20" s="2"/>
    </row>
    <row r="21" spans="1:11" ht="30">
      <c r="A21" s="2"/>
      <c r="B21" s="2"/>
      <c r="C21" s="7"/>
      <c r="D21" s="2" t="s">
        <v>23</v>
      </c>
      <c r="E21" s="2"/>
      <c r="F21" s="2"/>
      <c r="G21" s="2"/>
      <c r="H21" s="9"/>
      <c r="I21" s="9"/>
      <c r="J21" s="2"/>
      <c r="K21" s="2"/>
    </row>
    <row r="22" spans="1:11" ht="30">
      <c r="A22" s="2"/>
      <c r="B22" s="27"/>
      <c r="C22" s="28"/>
      <c r="D22" s="2" t="s">
        <v>23</v>
      </c>
      <c r="E22" s="27"/>
      <c r="F22" s="27"/>
      <c r="G22" s="27"/>
      <c r="H22" s="29"/>
      <c r="I22" s="29"/>
      <c r="J22" s="27"/>
      <c r="K22" s="2"/>
    </row>
    <row r="23" spans="1:11" ht="30">
      <c r="A23" s="2"/>
      <c r="B23" s="2"/>
      <c r="C23" s="7"/>
      <c r="D23" s="2" t="s">
        <v>23</v>
      </c>
      <c r="E23" s="2"/>
      <c r="F23" s="2"/>
      <c r="G23" s="2"/>
      <c r="H23" s="9"/>
      <c r="I23" s="9"/>
      <c r="J23" s="2"/>
      <c r="K23" s="2"/>
    </row>
    <row r="24" spans="1:11" ht="30">
      <c r="A24" s="2"/>
      <c r="B24" s="2"/>
      <c r="C24" s="7"/>
      <c r="D24" s="2" t="s">
        <v>23</v>
      </c>
      <c r="E24" s="2"/>
      <c r="F24" s="2"/>
      <c r="G24" s="2"/>
      <c r="H24" s="9"/>
      <c r="I24" s="9"/>
      <c r="J24" s="2"/>
      <c r="K24" s="2"/>
    </row>
    <row r="25" spans="1:11" ht="30">
      <c r="A25" s="2"/>
      <c r="B25" s="2"/>
      <c r="C25" s="7"/>
      <c r="D25" s="2" t="s">
        <v>23</v>
      </c>
      <c r="E25" s="2"/>
      <c r="F25" s="2"/>
      <c r="G25" s="2"/>
      <c r="H25" s="9"/>
      <c r="I25" s="9"/>
      <c r="J25" s="2"/>
      <c r="K25" s="2"/>
    </row>
    <row r="26" spans="1:11" ht="30">
      <c r="A26" s="2"/>
      <c r="B26" s="2"/>
      <c r="C26" s="7"/>
      <c r="D26" s="2" t="s">
        <v>23</v>
      </c>
      <c r="E26" s="2"/>
      <c r="F26" s="2"/>
      <c r="G26" s="2"/>
      <c r="H26" s="9"/>
      <c r="I26" s="9"/>
      <c r="J26" s="2"/>
      <c r="K26" s="2"/>
    </row>
    <row r="27" spans="1:11" ht="30">
      <c r="A27" s="2"/>
      <c r="B27" s="2"/>
      <c r="C27" s="7"/>
      <c r="D27" s="2" t="s">
        <v>23</v>
      </c>
      <c r="E27" s="2"/>
      <c r="F27" s="2"/>
      <c r="G27" s="2"/>
      <c r="H27" s="9"/>
      <c r="I27" s="9"/>
      <c r="J27" s="2"/>
      <c r="K27" s="2"/>
    </row>
    <row r="28" spans="1:11" ht="30">
      <c r="A28" s="2"/>
      <c r="B28" s="2"/>
      <c r="C28" s="7"/>
      <c r="D28" s="2" t="s">
        <v>23</v>
      </c>
      <c r="E28" s="2"/>
      <c r="F28" s="2"/>
      <c r="G28" s="2"/>
      <c r="H28" s="9"/>
      <c r="I28" s="9"/>
      <c r="J28" s="2"/>
      <c r="K28" s="2"/>
    </row>
    <row r="29" spans="1:11" ht="30">
      <c r="A29" s="2"/>
      <c r="B29" s="2"/>
      <c r="C29" s="7"/>
      <c r="D29" s="2" t="s">
        <v>23</v>
      </c>
      <c r="E29" s="2"/>
      <c r="F29" s="2"/>
      <c r="G29" s="2"/>
      <c r="H29" s="9"/>
      <c r="I29" s="9"/>
      <c r="J29" s="2"/>
      <c r="K29" s="2"/>
    </row>
    <row r="30" spans="1:11" ht="30">
      <c r="A30" s="2"/>
      <c r="B30" s="2"/>
      <c r="C30" s="7"/>
      <c r="D30" s="2" t="s">
        <v>23</v>
      </c>
      <c r="E30" s="2"/>
      <c r="F30" s="2"/>
      <c r="G30" s="2"/>
      <c r="H30" s="9"/>
      <c r="I30" s="9"/>
      <c r="J30" s="2"/>
      <c r="K30" s="2"/>
    </row>
    <row r="31" spans="1:11" ht="30">
      <c r="A31" s="2"/>
      <c r="B31" s="2"/>
      <c r="C31" s="7"/>
      <c r="D31" s="2" t="s">
        <v>23</v>
      </c>
      <c r="E31" s="2"/>
      <c r="F31" s="2"/>
      <c r="G31" s="2"/>
      <c r="H31" s="9"/>
      <c r="I31" s="9"/>
      <c r="J31" s="2"/>
      <c r="K31" s="2"/>
    </row>
    <row r="32" spans="1:11" ht="30">
      <c r="A32" s="2"/>
      <c r="B32" s="2"/>
      <c r="C32" s="7"/>
      <c r="D32" s="2" t="s">
        <v>23</v>
      </c>
      <c r="E32" s="2"/>
      <c r="F32" s="2"/>
      <c r="G32" s="2"/>
      <c r="H32" s="9"/>
      <c r="I32" s="9"/>
      <c r="J32" s="2"/>
      <c r="K32" s="2"/>
    </row>
    <row r="33" spans="1:11" ht="30">
      <c r="A33" s="2"/>
      <c r="B33" s="2"/>
      <c r="C33" s="7"/>
      <c r="D33" s="2" t="s">
        <v>23</v>
      </c>
      <c r="E33" s="2"/>
      <c r="F33" s="2"/>
      <c r="G33" s="2"/>
      <c r="H33" s="9"/>
      <c r="I33" s="9"/>
      <c r="J33" s="2"/>
      <c r="K33" s="2"/>
    </row>
    <row r="34" spans="1:11" ht="30">
      <c r="A34" s="2"/>
      <c r="B34" s="2"/>
      <c r="C34" s="7"/>
      <c r="D34" s="2" t="s">
        <v>23</v>
      </c>
      <c r="E34" s="2"/>
      <c r="F34" s="2"/>
      <c r="G34" s="2"/>
      <c r="H34" s="9"/>
      <c r="I34" s="9"/>
      <c r="J34" s="2"/>
      <c r="K34" s="2"/>
    </row>
    <row r="35" spans="1:11" ht="30">
      <c r="A35" s="2"/>
      <c r="B35" s="2"/>
      <c r="C35" s="7"/>
      <c r="D35" s="2" t="s">
        <v>23</v>
      </c>
      <c r="E35" s="2"/>
      <c r="F35" s="2"/>
      <c r="G35" s="2"/>
      <c r="H35" s="9"/>
      <c r="I35" s="9"/>
      <c r="J35" s="2"/>
      <c r="K35" s="2"/>
    </row>
    <row r="36" spans="1:11" ht="30">
      <c r="A36" s="2"/>
      <c r="B36" s="27"/>
      <c r="C36" s="28"/>
      <c r="D36" s="2" t="s">
        <v>23</v>
      </c>
      <c r="E36" s="27"/>
      <c r="F36" s="27"/>
      <c r="G36" s="2"/>
      <c r="H36" s="9"/>
      <c r="I36" s="9"/>
      <c r="J36" s="2"/>
      <c r="K36" s="2"/>
    </row>
    <row r="37" spans="1:11" ht="30">
      <c r="A37" s="2"/>
      <c r="B37" s="2"/>
      <c r="C37" s="7"/>
      <c r="D37" s="2" t="s">
        <v>23</v>
      </c>
      <c r="E37" s="2"/>
      <c r="F37" s="2"/>
      <c r="G37" s="2"/>
      <c r="H37" s="9"/>
      <c r="I37" s="9"/>
      <c r="J37" s="2"/>
      <c r="K37" s="2"/>
    </row>
    <row r="38" spans="1:11" ht="30">
      <c r="A38" s="2"/>
      <c r="B38" s="2"/>
      <c r="C38" s="7"/>
      <c r="D38" s="2" t="s">
        <v>23</v>
      </c>
      <c r="E38" s="2"/>
      <c r="F38" s="2"/>
      <c r="G38" s="2"/>
      <c r="H38" s="9"/>
      <c r="I38" s="9"/>
      <c r="J38" s="2"/>
      <c r="K38" s="2"/>
    </row>
    <row r="39" spans="1:11" ht="30">
      <c r="A39" s="2"/>
      <c r="B39" s="2"/>
      <c r="C39" s="7"/>
      <c r="D39" s="2" t="s">
        <v>23</v>
      </c>
      <c r="E39" s="2"/>
      <c r="F39" s="2"/>
      <c r="G39" s="2"/>
      <c r="H39" s="9"/>
      <c r="I39" s="9"/>
      <c r="J39" s="2"/>
      <c r="K39" s="2"/>
    </row>
    <row r="40" spans="1:11" ht="30">
      <c r="A40" s="2"/>
      <c r="B40" s="2"/>
      <c r="C40" s="7"/>
      <c r="D40" s="2" t="s">
        <v>23</v>
      </c>
      <c r="E40" s="2"/>
      <c r="F40" s="2"/>
      <c r="G40" s="2"/>
      <c r="H40" s="9"/>
      <c r="I40" s="9"/>
      <c r="J40" s="2"/>
      <c r="K40" s="2"/>
    </row>
    <row r="41" spans="1:11" ht="30">
      <c r="A41" s="2"/>
      <c r="B41" s="2"/>
      <c r="C41" s="7"/>
      <c r="D41" s="2" t="s">
        <v>23</v>
      </c>
      <c r="E41" s="2"/>
      <c r="F41" s="2"/>
      <c r="G41" s="2"/>
      <c r="H41" s="9"/>
      <c r="I41" s="9"/>
      <c r="J41" s="2"/>
      <c r="K41" s="2"/>
    </row>
    <row r="42" spans="1:11" ht="30">
      <c r="A42" s="2"/>
      <c r="B42" s="2"/>
      <c r="C42" s="7"/>
      <c r="D42" s="2" t="s">
        <v>23</v>
      </c>
      <c r="E42" s="2"/>
      <c r="F42" s="2"/>
      <c r="G42" s="2"/>
      <c r="H42" s="9"/>
      <c r="I42" s="9"/>
      <c r="J42" s="2"/>
      <c r="K42" s="2"/>
    </row>
    <row r="43" spans="1:11" ht="30">
      <c r="A43" s="2"/>
      <c r="B43" s="2"/>
      <c r="C43" s="7"/>
      <c r="D43" s="2" t="s">
        <v>23</v>
      </c>
      <c r="E43" s="2"/>
      <c r="F43" s="2"/>
      <c r="G43" s="2"/>
      <c r="H43" s="9"/>
      <c r="I43" s="9"/>
      <c r="J43" s="2"/>
      <c r="K43" s="2"/>
    </row>
    <row r="44" spans="1:11" ht="30">
      <c r="A44" s="2"/>
      <c r="B44" s="2"/>
      <c r="C44" s="7"/>
      <c r="D44" s="2" t="s">
        <v>23</v>
      </c>
      <c r="E44" s="2"/>
      <c r="F44" s="2"/>
      <c r="G44" s="2"/>
      <c r="H44" s="9"/>
      <c r="I44" s="9"/>
      <c r="J44" s="2"/>
      <c r="K44" s="2"/>
    </row>
    <row r="45" spans="1:11" ht="30">
      <c r="A45" s="2"/>
      <c r="B45" s="2"/>
      <c r="C45" s="7"/>
      <c r="D45" s="2" t="s">
        <v>23</v>
      </c>
      <c r="E45" s="2"/>
      <c r="F45" s="2"/>
      <c r="G45" s="2"/>
      <c r="H45" s="9"/>
      <c r="I45" s="9"/>
      <c r="J45" s="2"/>
      <c r="K45" s="2"/>
    </row>
    <row r="46" spans="1:11" ht="30">
      <c r="A46" s="2"/>
      <c r="B46" s="2"/>
      <c r="C46" s="7"/>
      <c r="D46" s="2" t="s">
        <v>23</v>
      </c>
      <c r="E46" s="2"/>
      <c r="F46" s="2"/>
      <c r="G46" s="2"/>
      <c r="H46" s="9"/>
      <c r="I46" s="9"/>
      <c r="J46" s="2"/>
      <c r="K46" s="2"/>
    </row>
    <row r="47" spans="1:11" ht="30">
      <c r="A47" s="2"/>
      <c r="B47" s="2"/>
      <c r="C47" s="7"/>
      <c r="D47" s="2" t="s">
        <v>23</v>
      </c>
      <c r="E47" s="2"/>
      <c r="F47" s="2"/>
      <c r="G47" s="2"/>
      <c r="H47" s="9"/>
      <c r="I47" s="9"/>
      <c r="J47" s="2"/>
      <c r="K47" s="2"/>
    </row>
    <row r="48" spans="1:11" ht="30">
      <c r="A48" s="2"/>
      <c r="B48" s="2"/>
      <c r="C48" s="7"/>
      <c r="D48" s="2" t="s">
        <v>23</v>
      </c>
      <c r="E48" s="2"/>
      <c r="F48" s="2"/>
      <c r="G48" s="2"/>
      <c r="H48" s="9"/>
      <c r="I48" s="9"/>
      <c r="J48" s="2"/>
      <c r="K48" s="2"/>
    </row>
    <row r="49" spans="1:11" ht="30">
      <c r="A49" s="2"/>
      <c r="B49" s="2"/>
      <c r="C49" s="7"/>
      <c r="D49" s="2" t="s">
        <v>23</v>
      </c>
      <c r="E49" s="2"/>
      <c r="F49" s="2"/>
      <c r="G49" s="2"/>
      <c r="H49" s="9"/>
      <c r="I49" s="9"/>
      <c r="J49" s="2"/>
      <c r="K49" s="2"/>
    </row>
    <row r="50" spans="1:11" ht="30">
      <c r="A50" s="2"/>
      <c r="B50" s="2"/>
      <c r="C50" s="7"/>
      <c r="D50" s="2" t="s">
        <v>23</v>
      </c>
      <c r="E50" s="2"/>
      <c r="F50" s="2"/>
      <c r="G50" s="2"/>
      <c r="H50" s="9"/>
      <c r="I50" s="9"/>
      <c r="J50" s="2"/>
      <c r="K50" s="2"/>
    </row>
    <row r="51" spans="1:11" ht="30">
      <c r="A51" s="2"/>
      <c r="B51" s="2"/>
      <c r="C51" s="7"/>
      <c r="D51" s="2" t="s">
        <v>23</v>
      </c>
      <c r="E51" s="2"/>
      <c r="F51" s="2"/>
      <c r="G51" s="2"/>
      <c r="H51" s="9"/>
      <c r="I51" s="9"/>
      <c r="J51" s="2"/>
      <c r="K51" s="2"/>
    </row>
    <row r="52" spans="1:11" ht="30">
      <c r="A52" s="2"/>
      <c r="B52" s="2"/>
      <c r="C52" s="7"/>
      <c r="D52" s="2" t="s">
        <v>23</v>
      </c>
      <c r="E52" s="2"/>
      <c r="F52" s="2"/>
      <c r="G52" s="2"/>
      <c r="H52" s="9"/>
      <c r="I52" s="9"/>
      <c r="J52" s="2"/>
      <c r="K52" s="2"/>
    </row>
    <row r="53" spans="1:11" ht="30">
      <c r="A53" s="2"/>
      <c r="B53" s="2"/>
      <c r="C53" s="7"/>
      <c r="D53" s="2" t="s">
        <v>23</v>
      </c>
      <c r="E53" s="2"/>
      <c r="F53" s="2"/>
      <c r="G53" s="2"/>
      <c r="H53" s="9"/>
      <c r="I53" s="9"/>
      <c r="J53" s="2"/>
      <c r="K53" s="2"/>
    </row>
    <row r="54" spans="1:11" ht="30">
      <c r="A54" s="2"/>
      <c r="B54" s="2"/>
      <c r="C54" s="7"/>
      <c r="D54" s="2" t="s">
        <v>23</v>
      </c>
      <c r="E54" s="2"/>
      <c r="F54" s="2"/>
      <c r="G54" s="2"/>
      <c r="H54" s="9"/>
      <c r="I54" s="9"/>
      <c r="J54" s="2"/>
      <c r="K54" s="2"/>
    </row>
    <row r="55" spans="1:11" ht="30">
      <c r="A55" s="2"/>
      <c r="B55" s="2"/>
      <c r="C55" s="7"/>
      <c r="D55" s="2" t="s">
        <v>23</v>
      </c>
      <c r="E55" s="2"/>
      <c r="F55" s="2"/>
      <c r="G55" s="2"/>
      <c r="H55" s="9"/>
      <c r="I55" s="9"/>
      <c r="J55" s="2"/>
      <c r="K55" s="2"/>
    </row>
    <row r="56" spans="1:11">
      <c r="A56" s="2"/>
      <c r="B56" s="2"/>
      <c r="C56" s="7"/>
      <c r="D56" s="2"/>
      <c r="E56" s="2"/>
      <c r="F56" s="2"/>
      <c r="G56" s="2"/>
      <c r="H56" s="9"/>
      <c r="I56" s="9"/>
      <c r="J56" s="2"/>
      <c r="K56" s="2"/>
    </row>
    <row r="57" spans="1:11">
      <c r="A57" s="2"/>
      <c r="B57" s="2"/>
      <c r="C57" s="7"/>
      <c r="D57" s="2"/>
      <c r="E57" s="2"/>
      <c r="F57" s="2"/>
      <c r="G57" s="2"/>
      <c r="H57" s="9"/>
      <c r="I57" s="9"/>
      <c r="J57" s="2"/>
      <c r="K57" s="2"/>
    </row>
    <row r="58" spans="1:11">
      <c r="A58" s="2"/>
      <c r="B58" s="2"/>
      <c r="C58" s="7"/>
      <c r="D58" s="2"/>
      <c r="E58" s="2"/>
      <c r="F58" s="2"/>
      <c r="G58" s="2"/>
      <c r="H58" s="9"/>
      <c r="I58" s="9"/>
      <c r="J58" s="2"/>
      <c r="K58" s="2"/>
    </row>
    <row r="59" spans="1:11">
      <c r="A59" s="2"/>
      <c r="B59" s="2"/>
      <c r="C59" s="7"/>
      <c r="D59" s="2"/>
      <c r="E59" s="2"/>
      <c r="F59" s="2"/>
      <c r="G59" s="2"/>
      <c r="H59" s="9"/>
      <c r="I59" s="9"/>
      <c r="J59" s="2"/>
      <c r="K59" s="2"/>
    </row>
    <row r="60" spans="1:11">
      <c r="A60" s="2"/>
      <c r="B60" s="2"/>
      <c r="C60" s="7"/>
      <c r="D60" s="2"/>
      <c r="E60" s="2"/>
      <c r="F60" s="2"/>
      <c r="G60" s="2"/>
      <c r="H60" s="9"/>
      <c r="I60" s="9"/>
      <c r="J60" s="2"/>
      <c r="K60" s="2"/>
    </row>
    <row r="61" spans="1:11">
      <c r="A61" s="2"/>
      <c r="B61" s="2"/>
      <c r="C61" s="7"/>
      <c r="D61" s="2"/>
      <c r="E61" s="2"/>
      <c r="F61" s="2"/>
      <c r="G61" s="2"/>
      <c r="H61" s="9"/>
      <c r="I61" s="9"/>
      <c r="J61" s="2"/>
      <c r="K61" s="2"/>
    </row>
    <row r="62" spans="1:11">
      <c r="A62" s="2"/>
      <c r="B62" s="2"/>
      <c r="C62" s="7"/>
      <c r="D62" s="2"/>
      <c r="E62" s="2"/>
      <c r="F62" s="2"/>
      <c r="G62" s="2"/>
      <c r="H62" s="9"/>
      <c r="I62" s="9"/>
      <c r="J62" s="2"/>
      <c r="K62" s="2"/>
    </row>
    <row r="63" spans="1:11">
      <c r="A63" s="2"/>
      <c r="B63" s="2"/>
      <c r="C63" s="7"/>
      <c r="D63" s="2"/>
      <c r="E63" s="2"/>
      <c r="F63" s="2"/>
      <c r="G63" s="2"/>
      <c r="H63" s="9"/>
      <c r="I63" s="9"/>
      <c r="J63" s="2"/>
      <c r="K63" s="2"/>
    </row>
  </sheetData>
  <mergeCells count="7">
    <mergeCell ref="C6:E6"/>
    <mergeCell ref="A1:I1"/>
    <mergeCell ref="G4:J4"/>
    <mergeCell ref="C5:E5"/>
    <mergeCell ref="F5:H5"/>
    <mergeCell ref="J5:L5"/>
    <mergeCell ref="G2:J2"/>
  </mergeCells>
  <dataValidations count="1">
    <dataValidation type="list" allowBlank="1" showInputMessage="1" showErrorMessage="1" sqref="E8:E63" xr:uid="{00000000-0002-0000-0900-000000000000}">
      <formula1>"EFECTIVO, CHEQUE, TRANSFERENCIA,DEPOSITO"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1B04-DA38-442C-AEC4-8CB8C697846E}">
  <dimension ref="A1:O73"/>
  <sheetViews>
    <sheetView topLeftCell="A57" workbookViewId="0">
      <selection activeCell="I70" sqref="I70"/>
    </sheetView>
  </sheetViews>
  <sheetFormatPr defaultColWidth="11.42578125" defaultRowHeight="15"/>
  <cols>
    <col min="2" max="2" width="15.42578125" customWidth="1"/>
    <col min="3" max="3" width="14.7109375" customWidth="1"/>
    <col min="4" max="4" width="13.7109375" bestFit="1" customWidth="1"/>
    <col min="16" max="16" width="12.85546875" bestFit="1" customWidth="1"/>
  </cols>
  <sheetData>
    <row r="1" spans="1:15" ht="23.25">
      <c r="A1" s="673" t="s">
        <v>1122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</row>
    <row r="2" spans="1:15" ht="30.75">
      <c r="A2" s="2" t="s">
        <v>93</v>
      </c>
      <c r="I2" s="703"/>
      <c r="J2" s="703"/>
      <c r="K2" s="703"/>
      <c r="L2" s="703"/>
    </row>
    <row r="3" spans="1:15" ht="23.25">
      <c r="A3" s="2" t="s">
        <v>1</v>
      </c>
      <c r="B3">
        <v>20606160926</v>
      </c>
      <c r="L3" s="703"/>
      <c r="M3" s="703"/>
      <c r="N3" s="703"/>
      <c r="O3" s="703"/>
    </row>
    <row r="4" spans="1:15" ht="23.25">
      <c r="A4" s="4" t="s">
        <v>2</v>
      </c>
      <c r="B4" s="16" t="s">
        <v>1123</v>
      </c>
      <c r="C4" s="16"/>
      <c r="F4" s="26"/>
      <c r="G4" s="95"/>
      <c r="H4" s="95"/>
      <c r="I4" s="703"/>
      <c r="J4" s="703"/>
      <c r="K4" s="703"/>
      <c r="L4" s="703"/>
    </row>
    <row r="5" spans="1:15" ht="47.25">
      <c r="A5" s="45" t="s">
        <v>4</v>
      </c>
      <c r="B5" s="46">
        <v>45699</v>
      </c>
      <c r="C5" s="46"/>
      <c r="D5" s="704"/>
      <c r="E5" s="704"/>
      <c r="F5" s="704"/>
      <c r="G5" s="705" t="s">
        <v>1124</v>
      </c>
      <c r="H5" s="705"/>
      <c r="I5" s="705"/>
      <c r="J5" s="705"/>
      <c r="K5" s="633"/>
      <c r="L5" s="633"/>
    </row>
    <row r="6" spans="1:15" ht="18.75">
      <c r="A6" s="96"/>
      <c r="B6" s="96"/>
      <c r="C6" s="587"/>
      <c r="D6" s="676" t="s">
        <v>1125</v>
      </c>
      <c r="E6" s="677"/>
      <c r="F6" s="678"/>
      <c r="G6" s="96"/>
      <c r="H6" s="96"/>
      <c r="I6" s="96"/>
      <c r="J6" s="96"/>
      <c r="K6" s="96"/>
      <c r="L6" s="96"/>
    </row>
    <row r="7" spans="1:15" ht="57">
      <c r="A7" s="136" t="s">
        <v>7</v>
      </c>
      <c r="B7" s="136" t="s">
        <v>8</v>
      </c>
      <c r="C7" s="136" t="s">
        <v>17</v>
      </c>
      <c r="D7" s="136" t="s">
        <v>10</v>
      </c>
      <c r="E7" s="136" t="s">
        <v>11</v>
      </c>
      <c r="F7" s="136" t="s">
        <v>12</v>
      </c>
      <c r="G7" s="136" t="s">
        <v>342</v>
      </c>
      <c r="H7" s="136" t="s">
        <v>1126</v>
      </c>
      <c r="I7" s="136" t="s">
        <v>14</v>
      </c>
      <c r="J7" s="136" t="s">
        <v>343</v>
      </c>
      <c r="K7" s="136" t="s">
        <v>16</v>
      </c>
      <c r="L7" s="136" t="s">
        <v>18</v>
      </c>
      <c r="M7" s="336" t="s">
        <v>99</v>
      </c>
      <c r="N7" s="336" t="s">
        <v>19</v>
      </c>
    </row>
    <row r="8" spans="1:15" ht="30.75">
      <c r="A8" s="7">
        <v>44298</v>
      </c>
      <c r="B8" s="8">
        <v>236</v>
      </c>
      <c r="C8" s="8" t="str">
        <f>UPPER(TEXT(Tabla356734567893568192091012[[#This Row],[FECHA DE SERVICIO]], "[$-es-MX]mmmm"))</f>
        <v>MARZO</v>
      </c>
      <c r="D8" s="7">
        <v>43900</v>
      </c>
      <c r="E8" s="2" t="s">
        <v>23</v>
      </c>
      <c r="F8" s="2" t="s">
        <v>24</v>
      </c>
      <c r="G8" s="2" t="s">
        <v>1127</v>
      </c>
      <c r="H8" s="2"/>
      <c r="I8" s="9" t="s">
        <v>1128</v>
      </c>
      <c r="J8" s="9"/>
      <c r="K8" s="9" t="s">
        <v>1129</v>
      </c>
      <c r="L8" s="2" t="s">
        <v>26</v>
      </c>
      <c r="M8" s="2"/>
      <c r="N8" s="2"/>
    </row>
    <row r="9" spans="1:15" ht="30.75">
      <c r="A9" s="7">
        <v>44337</v>
      </c>
      <c r="B9" s="8">
        <v>236</v>
      </c>
      <c r="C9" s="8" t="str">
        <f>UPPER(TEXT(Tabla356734567893568192091012[[#This Row],[FECHA DE SERVICIO]], "[$-es-MX]mmmm"))</f>
        <v>ABRIL</v>
      </c>
      <c r="D9" s="7">
        <v>44293</v>
      </c>
      <c r="E9" s="2" t="s">
        <v>23</v>
      </c>
      <c r="F9" s="2" t="s">
        <v>24</v>
      </c>
      <c r="G9" s="2" t="s">
        <v>1130</v>
      </c>
      <c r="H9" s="2"/>
      <c r="I9" s="9" t="s">
        <v>1131</v>
      </c>
      <c r="J9" s="9"/>
      <c r="K9" s="9" t="s">
        <v>1132</v>
      </c>
      <c r="L9" s="2" t="s">
        <v>26</v>
      </c>
      <c r="M9" s="2"/>
      <c r="N9" s="2"/>
    </row>
    <row r="10" spans="1:15" ht="30.75">
      <c r="A10" s="7">
        <v>44337</v>
      </c>
      <c r="B10" s="8">
        <v>236</v>
      </c>
      <c r="C10" s="8" t="str">
        <f>UPPER(TEXT(Tabla356734567893568192091012[[#This Row],[FECHA DE SERVICIO]], "[$-es-MX]mmmm"))</f>
        <v>MAYO</v>
      </c>
      <c r="D10" s="7">
        <v>44330</v>
      </c>
      <c r="E10" s="2" t="s">
        <v>23</v>
      </c>
      <c r="F10" s="2" t="s">
        <v>24</v>
      </c>
      <c r="G10" s="2" t="s">
        <v>1133</v>
      </c>
      <c r="H10" s="2"/>
      <c r="I10" s="9" t="s">
        <v>1131</v>
      </c>
      <c r="J10" s="9"/>
      <c r="K10" s="9" t="s">
        <v>1134</v>
      </c>
      <c r="L10" s="2" t="s">
        <v>26</v>
      </c>
      <c r="M10" s="2"/>
      <c r="N10" s="2"/>
    </row>
    <row r="11" spans="1:15" ht="30.75">
      <c r="A11" s="7">
        <v>44369</v>
      </c>
      <c r="B11" s="8">
        <v>236</v>
      </c>
      <c r="C11" s="8" t="str">
        <f>UPPER(TEXT(Tabla356734567893568192091012[[#This Row],[FECHA DE SERVICIO]], "[$-es-MX]mmmm"))</f>
        <v>JUNIO</v>
      </c>
      <c r="D11" s="7">
        <v>44377</v>
      </c>
      <c r="E11" s="2" t="s">
        <v>23</v>
      </c>
      <c r="F11" s="2" t="s">
        <v>24</v>
      </c>
      <c r="G11" s="2" t="s">
        <v>1127</v>
      </c>
      <c r="H11" s="2"/>
      <c r="I11" s="9" t="s">
        <v>1135</v>
      </c>
      <c r="J11" s="9"/>
      <c r="K11" s="9" t="s">
        <v>1136</v>
      </c>
      <c r="L11" s="2" t="s">
        <v>26</v>
      </c>
      <c r="M11" s="2"/>
      <c r="N11" s="2"/>
    </row>
    <row r="12" spans="1:15" ht="30.75">
      <c r="A12" s="7">
        <v>44411</v>
      </c>
      <c r="B12" s="8">
        <v>236</v>
      </c>
      <c r="C12" s="8" t="str">
        <f>UPPER(TEXT(Tabla356734567893568192091012[[#This Row],[FECHA DE SERVICIO]], "[$-es-MX]mmmm"))</f>
        <v>JULIO</v>
      </c>
      <c r="D12" s="7">
        <v>44408</v>
      </c>
      <c r="E12" s="2" t="s">
        <v>23</v>
      </c>
      <c r="F12" s="2" t="s">
        <v>24</v>
      </c>
      <c r="G12" s="2">
        <v>6</v>
      </c>
      <c r="H12" s="2"/>
      <c r="I12" s="9" t="s">
        <v>1137</v>
      </c>
      <c r="J12" s="9" t="s">
        <v>1138</v>
      </c>
      <c r="K12" s="9" t="s">
        <v>1139</v>
      </c>
      <c r="L12" s="2" t="s">
        <v>26</v>
      </c>
      <c r="M12" s="2"/>
      <c r="N12" s="2"/>
    </row>
    <row r="13" spans="1:15" ht="30.75">
      <c r="A13" s="7">
        <v>44442</v>
      </c>
      <c r="B13" s="8">
        <v>236</v>
      </c>
      <c r="C13" s="8" t="str">
        <f>UPPER(TEXT(Tabla356734567893568192091012[[#This Row],[FECHA DE SERVICIO]], "[$-es-MX]mmmm"))</f>
        <v>AGOSTO</v>
      </c>
      <c r="D13" s="7">
        <v>44439</v>
      </c>
      <c r="E13" s="2" t="s">
        <v>23</v>
      </c>
      <c r="F13" s="2" t="s">
        <v>24</v>
      </c>
      <c r="G13" s="2">
        <v>7</v>
      </c>
      <c r="H13" s="2"/>
      <c r="I13" s="9" t="s">
        <v>1140</v>
      </c>
      <c r="J13" s="9" t="s">
        <v>647</v>
      </c>
      <c r="K13" s="9" t="s">
        <v>1141</v>
      </c>
      <c r="L13" s="2" t="s">
        <v>26</v>
      </c>
      <c r="M13" s="2"/>
      <c r="N13" s="2"/>
    </row>
    <row r="14" spans="1:15" ht="30.75">
      <c r="A14" s="7">
        <v>44487</v>
      </c>
      <c r="B14" s="8">
        <v>236</v>
      </c>
      <c r="C14" s="8" t="str">
        <f>UPPER(TEXT(Tabla356734567893568192091012[[#This Row],[FECHA DE SERVICIO]], "[$-es-MX]mmmm"))</f>
        <v>OCTUBRE</v>
      </c>
      <c r="D14" s="7">
        <v>44470</v>
      </c>
      <c r="E14" s="2" t="s">
        <v>23</v>
      </c>
      <c r="F14" s="2" t="s">
        <v>24</v>
      </c>
      <c r="G14" s="2">
        <v>6</v>
      </c>
      <c r="H14" s="2"/>
      <c r="I14" s="9" t="s">
        <v>1142</v>
      </c>
      <c r="J14" s="9" t="s">
        <v>1143</v>
      </c>
      <c r="K14" s="9" t="s">
        <v>1144</v>
      </c>
      <c r="L14" s="2" t="s">
        <v>56</v>
      </c>
      <c r="M14" s="2"/>
      <c r="N14" s="2"/>
    </row>
    <row r="15" spans="1:15" ht="30.75">
      <c r="A15" s="7">
        <v>44496</v>
      </c>
      <c r="B15" s="8">
        <v>236</v>
      </c>
      <c r="C15" s="8" t="str">
        <f>UPPER(TEXT(Tabla356734567893568192091012[[#This Row],[FECHA DE SERVICIO]], "[$-es-MX]mmmm"))</f>
        <v>OCTUBRE</v>
      </c>
      <c r="D15" s="7">
        <v>44499</v>
      </c>
      <c r="E15" s="2" t="s">
        <v>23</v>
      </c>
      <c r="F15" s="2" t="s">
        <v>24</v>
      </c>
      <c r="G15" s="2">
        <v>7</v>
      </c>
      <c r="H15" s="2"/>
      <c r="I15" s="9" t="s">
        <v>1145</v>
      </c>
      <c r="J15" s="9" t="s">
        <v>1146</v>
      </c>
      <c r="K15" s="9" t="s">
        <v>1147</v>
      </c>
      <c r="L15" s="2" t="s">
        <v>56</v>
      </c>
      <c r="M15" s="2"/>
      <c r="N15" s="2"/>
    </row>
    <row r="16" spans="1:15" ht="30.75">
      <c r="A16" s="2" t="s">
        <v>1148</v>
      </c>
      <c r="B16" s="8">
        <v>236</v>
      </c>
      <c r="C16" s="8" t="str">
        <f>UPPER(TEXT(Tabla356734567893568192091012[[#This Row],[FECHA DE SERVICIO]], "[$-es-MX]mmmm"))</f>
        <v>NOVIEMBRE</v>
      </c>
      <c r="D16" s="7">
        <v>44530</v>
      </c>
      <c r="E16" s="2" t="s">
        <v>23</v>
      </c>
      <c r="F16" s="2" t="s">
        <v>24</v>
      </c>
      <c r="G16" s="2">
        <v>8</v>
      </c>
      <c r="H16" s="2"/>
      <c r="I16" s="9" t="s">
        <v>1149</v>
      </c>
      <c r="J16" s="9" t="s">
        <v>1150</v>
      </c>
      <c r="K16" s="9" t="s">
        <v>1151</v>
      </c>
      <c r="L16" s="2" t="s">
        <v>26</v>
      </c>
      <c r="M16" s="2"/>
      <c r="N16" s="2"/>
    </row>
    <row r="17" spans="1:14" ht="30.75">
      <c r="A17" s="7">
        <v>44552</v>
      </c>
      <c r="B17" s="8">
        <v>236</v>
      </c>
      <c r="C17" s="8" t="str">
        <f>UPPER(TEXT(Tabla356734567893568192091012[[#This Row],[FECHA DE SERVICIO]], "[$-es-MX]mmmm"))</f>
        <v>DICIEMBRE</v>
      </c>
      <c r="D17" s="7">
        <v>44558</v>
      </c>
      <c r="E17" s="2" t="s">
        <v>23</v>
      </c>
      <c r="F17" s="2" t="s">
        <v>24</v>
      </c>
      <c r="G17" s="2">
        <v>9</v>
      </c>
      <c r="H17" s="2"/>
      <c r="I17" s="9" t="s">
        <v>1152</v>
      </c>
      <c r="J17" s="9" t="s">
        <v>1153</v>
      </c>
      <c r="K17" s="9" t="s">
        <v>1154</v>
      </c>
      <c r="L17" s="2" t="s">
        <v>56</v>
      </c>
      <c r="M17" s="2"/>
      <c r="N17" s="2"/>
    </row>
    <row r="18" spans="1:14" ht="30.75">
      <c r="A18" s="7">
        <v>44591</v>
      </c>
      <c r="B18" s="8">
        <v>236</v>
      </c>
      <c r="C18" s="8" t="str">
        <f>UPPER(TEXT(Tabla356734567893568192091012[[#This Row],[FECHA DE SERVICIO]], "[$-es-MX]mmmm"))</f>
        <v>ENERO</v>
      </c>
      <c r="D18" s="7">
        <v>44592</v>
      </c>
      <c r="E18" s="2" t="s">
        <v>23</v>
      </c>
      <c r="F18" s="2" t="s">
        <v>24</v>
      </c>
      <c r="G18" s="2">
        <v>10</v>
      </c>
      <c r="H18" s="2"/>
      <c r="I18" s="9" t="s">
        <v>1155</v>
      </c>
      <c r="J18" s="9" t="s">
        <v>1156</v>
      </c>
      <c r="K18" s="9" t="s">
        <v>1157</v>
      </c>
      <c r="L18" s="2" t="s">
        <v>56</v>
      </c>
      <c r="M18" s="2" t="s">
        <v>32</v>
      </c>
      <c r="N18" s="2"/>
    </row>
    <row r="19" spans="1:14" ht="30.75">
      <c r="A19" s="7">
        <v>44620</v>
      </c>
      <c r="B19" s="8">
        <v>236</v>
      </c>
      <c r="C19" s="8" t="str">
        <f>UPPER(TEXT(Tabla356734567893568192091012[[#This Row],[FECHA DE SERVICIO]], "[$-es-MX]mmmm"))</f>
        <v>FEBRERO</v>
      </c>
      <c r="D19" s="7">
        <v>44620</v>
      </c>
      <c r="E19" s="2" t="s">
        <v>23</v>
      </c>
      <c r="F19" s="2" t="s">
        <v>24</v>
      </c>
      <c r="G19" s="2">
        <v>11</v>
      </c>
      <c r="H19" s="2"/>
      <c r="I19" s="2">
        <v>5787</v>
      </c>
      <c r="J19" s="9" t="s">
        <v>1158</v>
      </c>
      <c r="K19" s="9" t="s">
        <v>1159</v>
      </c>
      <c r="L19" s="2" t="s">
        <v>26</v>
      </c>
      <c r="M19" s="2" t="s">
        <v>34</v>
      </c>
      <c r="N19" s="2"/>
    </row>
    <row r="20" spans="1:14" ht="30.75">
      <c r="A20" s="7">
        <v>44635</v>
      </c>
      <c r="B20" s="8">
        <v>236</v>
      </c>
      <c r="C20" s="8" t="str">
        <f>UPPER(TEXT(Tabla356734567893568192091012[[#This Row],[FECHA DE SERVICIO]], "[$-es-MX]mmmm"))</f>
        <v>ABRIL</v>
      </c>
      <c r="D20" s="7">
        <v>44652</v>
      </c>
      <c r="E20" s="2" t="s">
        <v>23</v>
      </c>
      <c r="F20" s="2" t="s">
        <v>24</v>
      </c>
      <c r="G20" s="2">
        <v>12</v>
      </c>
      <c r="H20" s="2"/>
      <c r="I20" s="2">
        <v>6043</v>
      </c>
      <c r="J20" s="9" t="s">
        <v>1160</v>
      </c>
      <c r="K20" s="9" t="s">
        <v>1161</v>
      </c>
      <c r="L20" s="2" t="s">
        <v>26</v>
      </c>
      <c r="M20" s="2" t="s">
        <v>1162</v>
      </c>
      <c r="N20" s="2"/>
    </row>
    <row r="21" spans="1:14" ht="30.75">
      <c r="A21" s="7">
        <v>44686</v>
      </c>
      <c r="B21" s="8">
        <v>236</v>
      </c>
      <c r="C21" s="8" t="str">
        <f>UPPER(TEXT(Tabla356734567893568192091012[[#This Row],[FECHA DE SERVICIO]], "[$-es-MX]mmmm"))</f>
        <v>ABRIL</v>
      </c>
      <c r="D21" s="7">
        <v>44681</v>
      </c>
      <c r="E21" s="2" t="s">
        <v>23</v>
      </c>
      <c r="F21" s="2" t="s">
        <v>24</v>
      </c>
      <c r="G21" s="2">
        <v>13</v>
      </c>
      <c r="H21" s="2"/>
      <c r="I21" s="2">
        <v>7065</v>
      </c>
      <c r="J21" s="9" t="s">
        <v>1163</v>
      </c>
      <c r="K21" s="9" t="s">
        <v>1164</v>
      </c>
      <c r="L21" s="2" t="s">
        <v>26</v>
      </c>
      <c r="M21" s="2" t="s">
        <v>1165</v>
      </c>
      <c r="N21" s="2"/>
    </row>
    <row r="22" spans="1:14" ht="32.25">
      <c r="A22" s="7">
        <v>44711</v>
      </c>
      <c r="B22" s="8">
        <v>236</v>
      </c>
      <c r="C22" s="8" t="str">
        <f>UPPER(TEXT(Tabla356734567893568192091012[[#This Row],[FECHA DE SERVICIO]], "[$-es-MX]mmmm"))</f>
        <v>MAYO</v>
      </c>
      <c r="D22" s="370">
        <v>44709</v>
      </c>
      <c r="E22" s="2" t="s">
        <v>23</v>
      </c>
      <c r="F22" s="369" t="s">
        <v>24</v>
      </c>
      <c r="G22" s="369">
        <v>14</v>
      </c>
      <c r="H22" s="369"/>
      <c r="I22" s="369">
        <v>8124</v>
      </c>
      <c r="J22" s="371"/>
      <c r="K22" s="371" t="s">
        <v>1166</v>
      </c>
      <c r="L22" s="27" t="s">
        <v>26</v>
      </c>
      <c r="M22" s="2" t="s">
        <v>1167</v>
      </c>
      <c r="N22" s="2"/>
    </row>
    <row r="23" spans="1:14" ht="30.75">
      <c r="A23" s="7">
        <v>44742</v>
      </c>
      <c r="B23" s="8">
        <v>236</v>
      </c>
      <c r="C23" s="8" t="str">
        <f>UPPER(TEXT(Tabla356734567893568192091012[[#This Row],[FECHA DE SERVICIO]], "[$-es-MX]mmmm"))</f>
        <v>JUNIO</v>
      </c>
      <c r="D23" s="7">
        <v>44742</v>
      </c>
      <c r="E23" s="2" t="s">
        <v>23</v>
      </c>
      <c r="F23" s="2" t="s">
        <v>24</v>
      </c>
      <c r="G23" s="2">
        <v>15</v>
      </c>
      <c r="H23" s="2"/>
      <c r="I23" s="2">
        <v>8614</v>
      </c>
      <c r="J23" s="9" t="s">
        <v>1168</v>
      </c>
      <c r="K23" s="9" t="s">
        <v>1169</v>
      </c>
      <c r="L23" s="2" t="s">
        <v>26</v>
      </c>
      <c r="M23" s="2" t="s">
        <v>57</v>
      </c>
      <c r="N23" s="2"/>
    </row>
    <row r="24" spans="1:14" ht="30.75">
      <c r="A24" s="7">
        <v>44774</v>
      </c>
      <c r="B24" s="8">
        <v>236</v>
      </c>
      <c r="C24" s="8" t="str">
        <f>UPPER(TEXT(Tabla356734567893568192091012[[#This Row],[FECHA DE SERVICIO]], "[$-es-MX]mmmm"))</f>
        <v>AGOSTO</v>
      </c>
      <c r="D24" s="7">
        <v>44774</v>
      </c>
      <c r="E24" s="2" t="s">
        <v>23</v>
      </c>
      <c r="F24" s="2" t="s">
        <v>24</v>
      </c>
      <c r="G24" s="2">
        <v>16</v>
      </c>
      <c r="H24" s="2"/>
      <c r="I24" s="2">
        <v>9531</v>
      </c>
      <c r="J24" s="9"/>
      <c r="K24" s="9" t="s">
        <v>1170</v>
      </c>
      <c r="L24" s="2" t="s">
        <v>26</v>
      </c>
      <c r="M24" s="2" t="s">
        <v>47</v>
      </c>
      <c r="N24" s="2"/>
    </row>
    <row r="25" spans="1:14" ht="30.75">
      <c r="A25" s="7">
        <v>44804</v>
      </c>
      <c r="B25" s="8">
        <v>236</v>
      </c>
      <c r="C25" s="8" t="str">
        <f>UPPER(TEXT(Tabla356734567893568192091012[[#This Row],[FECHA DE SERVICIO]], "[$-es-MX]mmmm"))</f>
        <v>AGOSTO</v>
      </c>
      <c r="D25" s="7">
        <v>44802</v>
      </c>
      <c r="E25" s="2" t="s">
        <v>23</v>
      </c>
      <c r="F25" s="2" t="s">
        <v>24</v>
      </c>
      <c r="G25" s="2">
        <v>17</v>
      </c>
      <c r="H25" s="2"/>
      <c r="I25" s="2">
        <v>10375</v>
      </c>
      <c r="J25" s="9" t="s">
        <v>1171</v>
      </c>
      <c r="K25" s="9" t="s">
        <v>1172</v>
      </c>
      <c r="L25" s="2" t="s">
        <v>26</v>
      </c>
      <c r="M25" s="2" t="s">
        <v>50</v>
      </c>
      <c r="N25" s="2"/>
    </row>
    <row r="26" spans="1:14" ht="30.75">
      <c r="A26" s="2" t="s">
        <v>59</v>
      </c>
      <c r="B26" s="8">
        <v>236</v>
      </c>
      <c r="C26" s="8" t="str">
        <f>UPPER(TEXT(Tabla356734567893568192091012[[#This Row],[FECHA DE SERVICIO]], "[$-es-MX]mmmm"))</f>
        <v>MARZO</v>
      </c>
      <c r="D26" s="7">
        <v>44630</v>
      </c>
      <c r="E26" s="2" t="s">
        <v>23</v>
      </c>
      <c r="F26" s="2" t="s">
        <v>24</v>
      </c>
      <c r="G26" s="2">
        <v>18</v>
      </c>
      <c r="H26" s="2"/>
      <c r="I26" s="2">
        <v>11199</v>
      </c>
      <c r="J26" s="9"/>
      <c r="K26" s="9" t="s">
        <v>1173</v>
      </c>
      <c r="L26" s="2" t="s">
        <v>26</v>
      </c>
      <c r="M26" s="2" t="s">
        <v>22</v>
      </c>
      <c r="N26" s="2"/>
    </row>
    <row r="27" spans="1:14" ht="30.75">
      <c r="A27" s="2" t="s">
        <v>59</v>
      </c>
      <c r="B27" s="8">
        <v>236</v>
      </c>
      <c r="C27" s="8" t="str">
        <f>UPPER(TEXT(Tabla356734567893568192091012[[#This Row],[FECHA DE SERVICIO]], "[$-es-MX]mmmm"))</f>
        <v>OCTUBRE</v>
      </c>
      <c r="D27" s="7" t="s">
        <v>60</v>
      </c>
      <c r="E27" s="2" t="s">
        <v>23</v>
      </c>
      <c r="F27" s="2" t="s">
        <v>24</v>
      </c>
      <c r="G27" s="2">
        <v>19</v>
      </c>
      <c r="H27" s="2"/>
      <c r="I27" s="2">
        <v>11632</v>
      </c>
      <c r="J27" s="9" t="s">
        <v>1174</v>
      </c>
      <c r="K27" s="9" t="s">
        <v>1175</v>
      </c>
      <c r="L27" s="2" t="s">
        <v>26</v>
      </c>
      <c r="M27" s="2" t="s">
        <v>1176</v>
      </c>
      <c r="N27" s="2"/>
    </row>
    <row r="28" spans="1:14" ht="30.75">
      <c r="A28" s="7">
        <v>44988</v>
      </c>
      <c r="B28" s="8">
        <v>236</v>
      </c>
      <c r="C28" s="8" t="str">
        <f>UPPER(TEXT(Tabla356734567893568192091012[[#This Row],[FECHA DE SERVICIO]], "[$-es-MX]mmmm"))</f>
        <v>FEBRERO</v>
      </c>
      <c r="D28" s="7" t="s">
        <v>1177</v>
      </c>
      <c r="E28" s="2" t="s">
        <v>23</v>
      </c>
      <c r="F28" s="2" t="s">
        <v>24</v>
      </c>
      <c r="G28" s="2">
        <v>20</v>
      </c>
      <c r="H28" s="2"/>
      <c r="I28" s="2">
        <v>14258</v>
      </c>
      <c r="J28" s="9"/>
      <c r="K28" s="9" t="s">
        <v>1178</v>
      </c>
      <c r="L28" s="2" t="s">
        <v>26</v>
      </c>
      <c r="M28" s="2" t="s">
        <v>32</v>
      </c>
      <c r="N28" s="2"/>
    </row>
    <row r="29" spans="1:14" ht="30.75">
      <c r="A29" s="7" t="s">
        <v>1179</v>
      </c>
      <c r="B29" s="8">
        <v>236</v>
      </c>
      <c r="C29" s="8" t="str">
        <f>UPPER(TEXT(Tabla356734567893568192091012[[#This Row],[FECHA DE SERVICIO]], "[$-es-MX]mmmm"))</f>
        <v>MARZO</v>
      </c>
      <c r="D29" s="7" t="s">
        <v>1179</v>
      </c>
      <c r="E29" s="2" t="s">
        <v>23</v>
      </c>
      <c r="F29" s="2" t="s">
        <v>28</v>
      </c>
      <c r="G29" s="2">
        <v>22</v>
      </c>
      <c r="H29" s="2"/>
      <c r="I29" s="2" t="s">
        <v>1180</v>
      </c>
      <c r="J29" s="9"/>
      <c r="K29" s="9" t="s">
        <v>1181</v>
      </c>
      <c r="L29" s="2" t="s">
        <v>26</v>
      </c>
      <c r="M29" s="2"/>
      <c r="N29" s="2"/>
    </row>
    <row r="30" spans="1:14" ht="30.75">
      <c r="A30" s="7">
        <v>45033</v>
      </c>
      <c r="B30" s="8">
        <v>236</v>
      </c>
      <c r="C30" s="8" t="str">
        <f>UPPER(TEXT(Tabla356734567893568192091012[[#This Row],[FECHA DE SERVICIO]], "[$-es-MX]mmmm"))</f>
        <v>ABRIL</v>
      </c>
      <c r="D30" s="7" t="s">
        <v>1182</v>
      </c>
      <c r="E30" s="2" t="s">
        <v>23</v>
      </c>
      <c r="F30" s="2" t="s">
        <v>28</v>
      </c>
      <c r="G30" s="2">
        <v>23</v>
      </c>
      <c r="H30" s="2"/>
      <c r="I30" s="2">
        <v>15539</v>
      </c>
      <c r="J30" s="9"/>
      <c r="K30" s="9" t="s">
        <v>1183</v>
      </c>
      <c r="L30" s="2" t="s">
        <v>26</v>
      </c>
      <c r="M30" s="2"/>
      <c r="N30" s="2"/>
    </row>
    <row r="31" spans="1:14" ht="30.75">
      <c r="A31" s="2" t="s">
        <v>1184</v>
      </c>
      <c r="B31" s="8">
        <v>236</v>
      </c>
      <c r="C31" s="8" t="str">
        <f>UPPER(TEXT(Tabla356734567893568192091012[[#This Row],[FECHA DE SERVICIO]], "[$-es-MX]mmmm"))</f>
        <v>MAYO</v>
      </c>
      <c r="D31" s="7" t="s">
        <v>1185</v>
      </c>
      <c r="E31" s="2" t="s">
        <v>23</v>
      </c>
      <c r="F31" s="2" t="s">
        <v>28</v>
      </c>
      <c r="G31" s="2">
        <v>24</v>
      </c>
      <c r="H31" s="2"/>
      <c r="I31" s="2">
        <v>16567</v>
      </c>
      <c r="J31" s="9" t="s">
        <v>1186</v>
      </c>
      <c r="K31" s="9" t="s">
        <v>1187</v>
      </c>
      <c r="L31" s="2" t="s">
        <v>26</v>
      </c>
      <c r="M31" s="2">
        <v>8</v>
      </c>
      <c r="N31" s="2"/>
    </row>
    <row r="32" spans="1:14" ht="30.75">
      <c r="A32" s="7">
        <v>45103</v>
      </c>
      <c r="B32" s="8">
        <v>236</v>
      </c>
      <c r="C32" s="8" t="str">
        <f>UPPER(TEXT(Tabla356734567893568192091012[[#This Row],[FECHA DE SERVICIO]], "[$-es-MX]mmmm"))</f>
        <v>JUNIO</v>
      </c>
      <c r="D32" s="7">
        <v>45103</v>
      </c>
      <c r="E32" s="2" t="s">
        <v>23</v>
      </c>
      <c r="F32" s="2" t="s">
        <v>28</v>
      </c>
      <c r="G32" s="2">
        <v>25</v>
      </c>
      <c r="H32" s="2"/>
      <c r="I32" s="2">
        <v>17143</v>
      </c>
      <c r="J32" s="9" t="s">
        <v>1188</v>
      </c>
      <c r="K32" s="9" t="s">
        <v>1189</v>
      </c>
      <c r="L32" s="2" t="s">
        <v>26</v>
      </c>
      <c r="M32" s="2">
        <v>8.3000000000000007</v>
      </c>
      <c r="N32" s="2"/>
    </row>
    <row r="33" spans="1:14" ht="30.75">
      <c r="A33" s="7">
        <v>45133</v>
      </c>
      <c r="B33" s="8">
        <v>236</v>
      </c>
      <c r="C33" s="8" t="str">
        <f>UPPER(TEXT(Tabla356734567893568192091012[[#This Row],[FECHA DE SERVICIO]], "[$-es-MX]mmmm"))</f>
        <v>JULIO</v>
      </c>
      <c r="D33" s="7">
        <v>45133</v>
      </c>
      <c r="E33" s="2" t="s">
        <v>23</v>
      </c>
      <c r="F33" s="2" t="s">
        <v>28</v>
      </c>
      <c r="G33" s="2">
        <v>26</v>
      </c>
      <c r="H33" s="2"/>
      <c r="I33" s="2">
        <v>17980</v>
      </c>
      <c r="J33" s="9" t="s">
        <v>1190</v>
      </c>
      <c r="K33" s="9" t="s">
        <v>1191</v>
      </c>
      <c r="L33" s="2" t="s">
        <v>26</v>
      </c>
      <c r="M33" s="2">
        <v>12.6</v>
      </c>
      <c r="N33" s="2"/>
    </row>
    <row r="34" spans="1:14" ht="30.75">
      <c r="A34" s="7">
        <v>45167</v>
      </c>
      <c r="B34" s="8">
        <v>236</v>
      </c>
      <c r="C34" s="8" t="str">
        <f>UPPER(TEXT(Tabla356734567893568192091012[[#This Row],[FECHA DE SERVICIO]], "[$-es-MX]mmmm"))</f>
        <v>AGOSTO</v>
      </c>
      <c r="D34" s="7">
        <v>45167</v>
      </c>
      <c r="E34" s="2" t="s">
        <v>23</v>
      </c>
      <c r="F34" s="2" t="s">
        <v>28</v>
      </c>
      <c r="G34" s="2">
        <v>27</v>
      </c>
      <c r="H34" s="2"/>
      <c r="I34" s="2" t="s">
        <v>1192</v>
      </c>
      <c r="J34" s="9" t="s">
        <v>1193</v>
      </c>
      <c r="K34" s="9" t="s">
        <v>1194</v>
      </c>
      <c r="L34" s="2" t="s">
        <v>26</v>
      </c>
      <c r="M34" s="2">
        <v>5.3</v>
      </c>
      <c r="N34" s="2"/>
    </row>
    <row r="35" spans="1:14" ht="30.75">
      <c r="A35" s="7">
        <v>45197</v>
      </c>
      <c r="B35" s="8">
        <v>236</v>
      </c>
      <c r="C35" s="8" t="str">
        <f>UPPER(TEXT(Tabla356734567893568192091012[[#This Row],[FECHA DE SERVICIO]], "[$-es-MX]mmmm"))</f>
        <v>SEPTIEMBRE</v>
      </c>
      <c r="D35" s="7">
        <v>45197</v>
      </c>
      <c r="E35" s="2" t="s">
        <v>23</v>
      </c>
      <c r="F35" s="2" t="s">
        <v>28</v>
      </c>
      <c r="G35" s="2">
        <v>28</v>
      </c>
      <c r="H35" s="2"/>
      <c r="I35" s="2" t="s">
        <v>1195</v>
      </c>
      <c r="J35" s="9" t="s">
        <v>1196</v>
      </c>
      <c r="K35" s="9" t="s">
        <v>1197</v>
      </c>
      <c r="L35" s="2" t="s">
        <v>26</v>
      </c>
      <c r="M35" s="2">
        <v>10</v>
      </c>
      <c r="N35" s="2"/>
    </row>
    <row r="36" spans="1:14" ht="30.75">
      <c r="A36" s="7">
        <v>45229</v>
      </c>
      <c r="B36" s="8">
        <v>236</v>
      </c>
      <c r="C36" s="8" t="str">
        <f>UPPER(TEXT(Tabla356734567893568192091012[[#This Row],[FECHA DE SERVICIO]], "[$-es-MX]mmmm"))</f>
        <v>OCTUBRE</v>
      </c>
      <c r="D36" s="7">
        <v>45229</v>
      </c>
      <c r="E36" s="2" t="s">
        <v>23</v>
      </c>
      <c r="F36" s="2" t="s">
        <v>28</v>
      </c>
      <c r="G36" s="2">
        <v>29</v>
      </c>
      <c r="H36" s="2"/>
      <c r="I36" s="2">
        <v>20144</v>
      </c>
      <c r="J36" s="9" t="s">
        <v>1198</v>
      </c>
      <c r="K36" s="9" t="s">
        <v>1199</v>
      </c>
      <c r="L36" s="2" t="s">
        <v>26</v>
      </c>
      <c r="M36" s="2">
        <v>10</v>
      </c>
      <c r="N36" s="2"/>
    </row>
    <row r="37" spans="1:14" ht="32.25">
      <c r="A37" s="7">
        <v>45259</v>
      </c>
      <c r="B37" s="8" t="s">
        <v>1200</v>
      </c>
      <c r="C37" s="8" t="str">
        <f>UPPER(TEXT(Tabla356734567893568192091012[[#This Row],[FECHA DE SERVICIO]], "[$-es-MX]mmmm"))</f>
        <v>NOVIEMBRE</v>
      </c>
      <c r="D37" s="7">
        <v>45259</v>
      </c>
      <c r="E37" s="2" t="s">
        <v>23</v>
      </c>
      <c r="F37" s="27" t="s">
        <v>24</v>
      </c>
      <c r="G37" s="27">
        <v>30</v>
      </c>
      <c r="H37" s="27"/>
      <c r="I37" s="2" t="s">
        <v>1201</v>
      </c>
      <c r="J37" s="9" t="s">
        <v>1202</v>
      </c>
      <c r="K37" s="9" t="s">
        <v>1203</v>
      </c>
      <c r="L37" s="2" t="s">
        <v>26</v>
      </c>
      <c r="M37" s="2">
        <v>14</v>
      </c>
      <c r="N37" s="2"/>
    </row>
    <row r="38" spans="1:14" ht="30.75">
      <c r="A38" s="7">
        <v>45288</v>
      </c>
      <c r="B38" s="8" t="s">
        <v>1204</v>
      </c>
      <c r="C38" s="8" t="str">
        <f>UPPER(TEXT(Tabla356734567893568192091012[[#This Row],[FECHA DE SERVICIO]], "[$-es-MX]mmmm"))</f>
        <v>DICIEMBRE</v>
      </c>
      <c r="D38" s="7">
        <v>45288</v>
      </c>
      <c r="E38" s="2" t="s">
        <v>23</v>
      </c>
      <c r="F38" s="2" t="s">
        <v>28</v>
      </c>
      <c r="G38" s="2">
        <v>31</v>
      </c>
      <c r="H38" s="2"/>
      <c r="I38" s="2">
        <v>21472</v>
      </c>
      <c r="J38" s="9" t="s">
        <v>1205</v>
      </c>
      <c r="K38" s="9" t="s">
        <v>1206</v>
      </c>
      <c r="L38" s="2" t="s">
        <v>26</v>
      </c>
      <c r="M38" s="2">
        <v>19.5</v>
      </c>
      <c r="N38" s="2"/>
    </row>
    <row r="39" spans="1:14" ht="30.75">
      <c r="A39" s="7">
        <v>45321</v>
      </c>
      <c r="B39" s="8" t="s">
        <v>1207</v>
      </c>
      <c r="C39" s="8" t="str">
        <f>UPPER(TEXT(Tabla356734567893568192091012[[#This Row],[FECHA DE SERVICIO]], "[$-es-MX]mmmm"))</f>
        <v>ENERO</v>
      </c>
      <c r="D39" s="7">
        <v>45321</v>
      </c>
      <c r="E39" s="2" t="s">
        <v>23</v>
      </c>
      <c r="F39" s="2" t="s">
        <v>28</v>
      </c>
      <c r="G39" s="2">
        <v>32</v>
      </c>
      <c r="H39" s="2"/>
      <c r="I39" s="2">
        <v>22184</v>
      </c>
      <c r="J39" s="9" t="s">
        <v>1208</v>
      </c>
      <c r="K39" s="9" t="s">
        <v>1209</v>
      </c>
      <c r="L39" s="2" t="s">
        <v>26</v>
      </c>
      <c r="M39" s="2">
        <v>12</v>
      </c>
      <c r="N39" s="2"/>
    </row>
    <row r="40" spans="1:14" ht="30.75">
      <c r="A40" s="7">
        <v>45351</v>
      </c>
      <c r="B40" s="8" t="s">
        <v>1210</v>
      </c>
      <c r="C40" s="8" t="str">
        <f>UPPER(TEXT(Tabla356734567893568192091012[[#This Row],[FECHA DE SERVICIO]], "[$-es-MX]mmmm"))</f>
        <v>FEBRERO</v>
      </c>
      <c r="D40" s="7">
        <v>45351</v>
      </c>
      <c r="E40" s="2" t="s">
        <v>23</v>
      </c>
      <c r="F40" s="2" t="s">
        <v>28</v>
      </c>
      <c r="G40" s="2">
        <v>33</v>
      </c>
      <c r="H40" s="2"/>
      <c r="I40" s="2">
        <v>22848</v>
      </c>
      <c r="J40" s="9" t="s">
        <v>1211</v>
      </c>
      <c r="K40" s="9" t="s">
        <v>1212</v>
      </c>
      <c r="L40" s="2" t="s">
        <v>26</v>
      </c>
      <c r="M40" s="2">
        <v>15.8</v>
      </c>
      <c r="N40" s="2"/>
    </row>
    <row r="41" spans="1:14" ht="30.75">
      <c r="A41" s="7">
        <v>45378</v>
      </c>
      <c r="B41" s="8">
        <v>236</v>
      </c>
      <c r="C41" s="8" t="str">
        <f>UPPER(TEXT(Tabla356734567893568192091012[[#This Row],[FECHA DE SERVICIO]], "[$-es-MX]mmmm"))</f>
        <v>MARZO</v>
      </c>
      <c r="D41" s="7">
        <v>45378</v>
      </c>
      <c r="E41" s="2" t="s">
        <v>23</v>
      </c>
      <c r="F41" s="2" t="s">
        <v>28</v>
      </c>
      <c r="G41" s="2">
        <v>34</v>
      </c>
      <c r="H41" s="2"/>
      <c r="I41" s="2">
        <v>23449</v>
      </c>
      <c r="J41" s="9" t="s">
        <v>1213</v>
      </c>
      <c r="K41" s="9" t="s">
        <v>1214</v>
      </c>
      <c r="L41" s="2" t="s">
        <v>26</v>
      </c>
      <c r="M41" s="2">
        <v>5.9</v>
      </c>
      <c r="N41" s="2"/>
    </row>
    <row r="42" spans="1:14" ht="30.75">
      <c r="A42" s="7">
        <v>45411</v>
      </c>
      <c r="B42" s="8">
        <v>236</v>
      </c>
      <c r="C42" s="8" t="str">
        <f>UPPER(TEXT(Tabla356734567893568192091012[[#This Row],[FECHA DE SERVICIO]], "[$-es-MX]mmmm"))</f>
        <v>ABRIL</v>
      </c>
      <c r="D42" s="7">
        <v>45411</v>
      </c>
      <c r="E42" s="2" t="s">
        <v>23</v>
      </c>
      <c r="F42" s="2" t="s">
        <v>24</v>
      </c>
      <c r="G42" s="2">
        <v>35</v>
      </c>
      <c r="H42" s="2"/>
      <c r="I42" s="2">
        <v>24328</v>
      </c>
      <c r="J42" s="9" t="s">
        <v>1215</v>
      </c>
      <c r="K42" s="9" t="s">
        <v>1216</v>
      </c>
      <c r="L42" s="2" t="s">
        <v>26</v>
      </c>
      <c r="M42" s="2">
        <v>6.9</v>
      </c>
      <c r="N42" s="2"/>
    </row>
    <row r="43" spans="1:14" ht="30.75">
      <c r="A43" s="7">
        <v>45442</v>
      </c>
      <c r="B43" s="8">
        <v>236</v>
      </c>
      <c r="C43" s="8" t="str">
        <f>UPPER(TEXT(Tabla356734567893568192091012[[#This Row],[FECHA DE SERVICIO]], "[$-es-MX]mmmm"))</f>
        <v>MAYO</v>
      </c>
      <c r="D43" s="7">
        <v>45442</v>
      </c>
      <c r="E43" s="2" t="s">
        <v>23</v>
      </c>
      <c r="F43" s="2" t="s">
        <v>24</v>
      </c>
      <c r="G43" s="2">
        <v>36</v>
      </c>
      <c r="H43" s="2"/>
      <c r="I43" s="2">
        <v>24906</v>
      </c>
      <c r="J43" s="9" t="s">
        <v>1217</v>
      </c>
      <c r="K43" s="9" t="s">
        <v>1218</v>
      </c>
      <c r="L43" s="2" t="s">
        <v>26</v>
      </c>
      <c r="M43" s="2">
        <v>11</v>
      </c>
      <c r="N43" s="2"/>
    </row>
    <row r="44" spans="1:14" ht="30.75">
      <c r="A44" s="7">
        <v>45470</v>
      </c>
      <c r="B44" s="8">
        <v>236</v>
      </c>
      <c r="C44" s="8" t="str">
        <f>UPPER(TEXT(Tabla356734567893568192091012[[#This Row],[FECHA DE SERVICIO]], "[$-es-MX]mmmm"))</f>
        <v>JUNIO</v>
      </c>
      <c r="D44" s="7">
        <v>45470</v>
      </c>
      <c r="E44" s="2" t="s">
        <v>23</v>
      </c>
      <c r="F44" s="2" t="s">
        <v>24</v>
      </c>
      <c r="G44" s="2">
        <v>37</v>
      </c>
      <c r="H44" s="2"/>
      <c r="I44" s="2">
        <v>25753</v>
      </c>
      <c r="J44" s="9" t="s">
        <v>1219</v>
      </c>
      <c r="K44" s="9" t="s">
        <v>1220</v>
      </c>
      <c r="L44" s="2" t="s">
        <v>72</v>
      </c>
      <c r="M44" s="2">
        <v>6.9</v>
      </c>
      <c r="N44" s="2"/>
    </row>
    <row r="45" spans="1:14" ht="30.75">
      <c r="A45" s="7">
        <v>45503</v>
      </c>
      <c r="B45" s="8">
        <v>254.4</v>
      </c>
      <c r="C45" s="8" t="str">
        <f>UPPER(TEXT(Tabla356734567893568192091012[[#This Row],[FECHA DE SERVICIO]], "[$-es-MX]mmmm"))</f>
        <v>JULIO</v>
      </c>
      <c r="D45" s="7">
        <v>45503</v>
      </c>
      <c r="E45" s="2" t="s">
        <v>23</v>
      </c>
      <c r="F45" s="2" t="s">
        <v>24</v>
      </c>
      <c r="G45" s="2">
        <v>38</v>
      </c>
      <c r="H45" s="2"/>
      <c r="I45" s="2">
        <v>26608</v>
      </c>
      <c r="J45" s="9" t="s">
        <v>1221</v>
      </c>
      <c r="K45" s="9" t="s">
        <v>1222</v>
      </c>
      <c r="L45" s="2" t="s">
        <v>26</v>
      </c>
      <c r="M45" s="2">
        <v>12.4</v>
      </c>
      <c r="N45" s="2"/>
    </row>
    <row r="46" spans="1:14" ht="30.75">
      <c r="A46" s="7">
        <v>45535</v>
      </c>
      <c r="B46" s="8">
        <v>236</v>
      </c>
      <c r="C46" s="8" t="str">
        <f>UPPER(TEXT(Tabla356734567893568192091012[[#This Row],[FECHA DE SERVICIO]], "[$-es-MX]mmmm"))</f>
        <v>AGOSTO</v>
      </c>
      <c r="D46" s="7">
        <v>45535</v>
      </c>
      <c r="E46" s="2" t="s">
        <v>23</v>
      </c>
      <c r="F46" s="2" t="s">
        <v>24</v>
      </c>
      <c r="G46" s="2">
        <v>39</v>
      </c>
      <c r="H46" s="2"/>
      <c r="I46" s="2">
        <v>27461</v>
      </c>
      <c r="J46" s="9" t="s">
        <v>1223</v>
      </c>
      <c r="K46" s="9" t="s">
        <v>1224</v>
      </c>
      <c r="L46" s="2" t="s">
        <v>26</v>
      </c>
      <c r="M46" s="2">
        <v>10</v>
      </c>
      <c r="N46" s="2"/>
    </row>
    <row r="47" spans="1:14" ht="30.75">
      <c r="A47" s="7">
        <v>45565</v>
      </c>
      <c r="B47" s="8">
        <v>236</v>
      </c>
      <c r="C47" s="8" t="str">
        <f>UPPER(TEXT(Tabla356734567893568192091012[[#This Row],[FECHA DE SERVICIO]], "[$-es-MX]mmmm"))</f>
        <v>SEPTIEMBRE</v>
      </c>
      <c r="D47" s="7">
        <v>45565</v>
      </c>
      <c r="E47" s="2" t="s">
        <v>23</v>
      </c>
      <c r="F47" s="2" t="s">
        <v>28</v>
      </c>
      <c r="G47" s="2">
        <v>40</v>
      </c>
      <c r="H47" s="2"/>
      <c r="I47" s="2">
        <v>28261</v>
      </c>
      <c r="J47" s="9" t="s">
        <v>1225</v>
      </c>
      <c r="K47" s="9" t="s">
        <v>1226</v>
      </c>
      <c r="L47" s="2" t="s">
        <v>26</v>
      </c>
      <c r="M47" s="2">
        <v>9.5</v>
      </c>
      <c r="N47" s="2"/>
    </row>
    <row r="48" spans="1:14" ht="30.75">
      <c r="A48" s="7">
        <v>45596</v>
      </c>
      <c r="B48" s="8">
        <v>236</v>
      </c>
      <c r="C48" s="8" t="str">
        <f>UPPER(TEXT(Tabla356734567893568192091012[[#This Row],[FECHA DE SERVICIO]], "[$-es-MX]mmmm"))</f>
        <v>OCTUBRE</v>
      </c>
      <c r="D48" s="7">
        <v>45596</v>
      </c>
      <c r="E48" s="2" t="s">
        <v>23</v>
      </c>
      <c r="F48" s="2" t="s">
        <v>28</v>
      </c>
      <c r="G48" s="2">
        <v>41</v>
      </c>
      <c r="H48" s="2"/>
      <c r="I48" s="310">
        <v>29101</v>
      </c>
      <c r="J48" s="9" t="s">
        <v>1227</v>
      </c>
      <c r="K48" s="9" t="s">
        <v>1228</v>
      </c>
      <c r="L48" s="2" t="s">
        <v>26</v>
      </c>
      <c r="M48" s="2">
        <v>20.5</v>
      </c>
      <c r="N48" s="2"/>
    </row>
    <row r="49" spans="1:14" ht="30.75">
      <c r="A49" s="7">
        <v>45626</v>
      </c>
      <c r="B49" s="8">
        <v>236</v>
      </c>
      <c r="C49" s="8" t="str">
        <f>UPPER(TEXT(Tabla356734567893568192091012[[#This Row],[FECHA DE SERVICIO]], "[$-es-MX]mmmm"))</f>
        <v>NOVIEMBRE</v>
      </c>
      <c r="D49" s="7">
        <v>45626</v>
      </c>
      <c r="E49" s="2" t="s">
        <v>23</v>
      </c>
      <c r="F49" s="2" t="s">
        <v>28</v>
      </c>
      <c r="G49" s="2">
        <v>42</v>
      </c>
      <c r="H49" s="2"/>
      <c r="I49" s="2">
        <v>29915</v>
      </c>
      <c r="J49" s="9" t="s">
        <v>1229</v>
      </c>
      <c r="K49" s="9" t="s">
        <v>1230</v>
      </c>
      <c r="L49" s="2" t="s">
        <v>26</v>
      </c>
      <c r="M49" s="2">
        <v>20.5</v>
      </c>
      <c r="N49" s="2"/>
    </row>
    <row r="50" spans="1:14" ht="30.75">
      <c r="A50" s="2" t="s">
        <v>1231</v>
      </c>
      <c r="B50" s="8">
        <v>236</v>
      </c>
      <c r="C50" s="8" t="str">
        <f>UPPER(TEXT(Tabla356734567893568192091012[[#This Row],[FECHA DE SERVICIO]], "[$-es-MX]mmmm"))</f>
        <v>DICIEMBRE</v>
      </c>
      <c r="D50" s="7">
        <v>45656</v>
      </c>
      <c r="E50" s="2" t="s">
        <v>23</v>
      </c>
      <c r="F50" s="2" t="s">
        <v>24</v>
      </c>
      <c r="G50" s="2">
        <v>43</v>
      </c>
      <c r="H50" s="2"/>
      <c r="I50" s="2">
        <v>30716</v>
      </c>
      <c r="J50" s="9" t="s">
        <v>1232</v>
      </c>
      <c r="K50" s="9" t="s">
        <v>1233</v>
      </c>
      <c r="L50" s="2" t="s">
        <v>72</v>
      </c>
      <c r="M50" s="2">
        <v>15.6</v>
      </c>
      <c r="N50" s="2"/>
    </row>
    <row r="51" spans="1:14" ht="30.75">
      <c r="A51" s="2" t="s">
        <v>75</v>
      </c>
      <c r="B51" s="8">
        <v>236</v>
      </c>
      <c r="C51" s="8" t="str">
        <f>UPPER(TEXT(Tabla356734567893568192091012[[#This Row],[FECHA DE SERVICIO]], "[$-es-MX]mmmm"))</f>
        <v>ENERO</v>
      </c>
      <c r="D51" s="7">
        <v>45687</v>
      </c>
      <c r="E51" s="2" t="s">
        <v>23</v>
      </c>
      <c r="F51" s="2" t="s">
        <v>24</v>
      </c>
      <c r="G51" s="2">
        <v>44</v>
      </c>
      <c r="H51" s="100">
        <v>945</v>
      </c>
      <c r="I51" s="2">
        <v>31517</v>
      </c>
      <c r="J51" s="9" t="s">
        <v>1234</v>
      </c>
      <c r="K51" s="9"/>
      <c r="L51" s="2" t="s">
        <v>72</v>
      </c>
      <c r="M51" s="2">
        <v>9.5</v>
      </c>
      <c r="N51" s="100" t="s">
        <v>76</v>
      </c>
    </row>
    <row r="52" spans="1:14" ht="30.75">
      <c r="A52" s="7">
        <v>45716</v>
      </c>
      <c r="B52" s="8">
        <v>236</v>
      </c>
      <c r="C52" s="8" t="str">
        <f>UPPER(TEXT(Tabla356734567893568192091012[[#This Row],[FECHA DE SERVICIO]], "[$-es-MX]mmmm"))</f>
        <v>FEBRERO</v>
      </c>
      <c r="D52" s="7">
        <v>45716</v>
      </c>
      <c r="E52" s="2" t="s">
        <v>23</v>
      </c>
      <c r="F52" s="2" t="s">
        <v>28</v>
      </c>
      <c r="G52" s="2">
        <v>45</v>
      </c>
      <c r="H52" s="2"/>
      <c r="I52" s="2">
        <v>32382</v>
      </c>
      <c r="J52" s="9"/>
      <c r="K52" s="9" t="s">
        <v>1235</v>
      </c>
      <c r="L52" s="2" t="s">
        <v>26</v>
      </c>
      <c r="M52" s="2">
        <v>9.3000000000000007</v>
      </c>
      <c r="N52" s="2"/>
    </row>
    <row r="53" spans="1:14" ht="30.75">
      <c r="A53" s="7">
        <v>45747</v>
      </c>
      <c r="B53" s="8">
        <v>236</v>
      </c>
      <c r="C53" s="8" t="str">
        <f>UPPER(TEXT(Tabla356734567893568192091012[[#This Row],[FECHA DE SERVICIO]], "[$-es-MX]mmmm"))</f>
        <v>MARZO</v>
      </c>
      <c r="D53" s="7">
        <v>45747</v>
      </c>
      <c r="E53" s="2" t="s">
        <v>23</v>
      </c>
      <c r="F53" s="2" t="s">
        <v>28</v>
      </c>
      <c r="G53" s="2">
        <v>46</v>
      </c>
      <c r="H53" s="2"/>
      <c r="I53" s="2">
        <v>33198</v>
      </c>
      <c r="J53" s="9"/>
      <c r="K53" s="9" t="s">
        <v>1236</v>
      </c>
      <c r="L53" s="2" t="s">
        <v>26</v>
      </c>
      <c r="M53" s="2">
        <v>13.5</v>
      </c>
      <c r="N53" s="2"/>
    </row>
    <row r="54" spans="1:14" ht="30.75">
      <c r="A54" s="7">
        <v>45777</v>
      </c>
      <c r="B54" s="8">
        <v>236</v>
      </c>
      <c r="C54" s="8" t="str">
        <f>UPPER(TEXT(Tabla356734567893568192091012[[#This Row],[FECHA DE SERVICIO]], "[$-es-MX]mmmm"))</f>
        <v>ABRIL</v>
      </c>
      <c r="D54" s="7">
        <v>45777</v>
      </c>
      <c r="E54" s="2" t="s">
        <v>23</v>
      </c>
      <c r="F54" s="2" t="s">
        <v>28</v>
      </c>
      <c r="G54" s="2">
        <v>47</v>
      </c>
      <c r="H54" s="2"/>
      <c r="I54" s="2">
        <v>34193</v>
      </c>
      <c r="J54" s="9"/>
      <c r="K54" s="9" t="s">
        <v>1237</v>
      </c>
      <c r="L54" s="2" t="s">
        <v>26</v>
      </c>
      <c r="M54" s="2">
        <v>12.3</v>
      </c>
      <c r="N54" s="2"/>
    </row>
    <row r="55" spans="1:14" ht="30.75">
      <c r="A55" s="7">
        <v>45810</v>
      </c>
      <c r="B55" s="8">
        <v>236</v>
      </c>
      <c r="C55" s="8" t="str">
        <f>UPPER(TEXT(Tabla356734567893568192091012[[#This Row],[FECHA DE SERVICIO]], "[$-es-MX]mmmm"))</f>
        <v>MAYO</v>
      </c>
      <c r="D55" s="7">
        <v>45808</v>
      </c>
      <c r="E55" s="2" t="s">
        <v>23</v>
      </c>
      <c r="F55" s="2" t="s">
        <v>28</v>
      </c>
      <c r="G55" s="2">
        <v>48</v>
      </c>
      <c r="H55" s="2"/>
      <c r="I55" s="2">
        <v>34823</v>
      </c>
      <c r="J55" s="9"/>
      <c r="K55" s="9" t="s">
        <v>1238</v>
      </c>
      <c r="L55" s="2" t="s">
        <v>26</v>
      </c>
      <c r="M55" s="2">
        <v>10.5</v>
      </c>
      <c r="N55" s="2"/>
    </row>
    <row r="56" spans="1:14" ht="30.75">
      <c r="A56" s="7">
        <v>45835</v>
      </c>
      <c r="B56" s="8">
        <v>236</v>
      </c>
      <c r="C56" s="8" t="str">
        <f>UPPER(TEXT(Tabla356734567893568192091012[[#This Row],[FECHA DE SERVICIO]], "[$-es-MX]mmmm"))</f>
        <v>JUNIO</v>
      </c>
      <c r="D56" s="7">
        <v>45835</v>
      </c>
      <c r="E56" s="2" t="s">
        <v>23</v>
      </c>
      <c r="F56" s="2" t="s">
        <v>24</v>
      </c>
      <c r="G56" s="2">
        <v>49</v>
      </c>
      <c r="H56" s="2"/>
      <c r="I56" s="2">
        <v>35610</v>
      </c>
      <c r="J56" s="9"/>
      <c r="K56" s="9" t="s">
        <v>1239</v>
      </c>
      <c r="L56" s="2" t="s">
        <v>73</v>
      </c>
      <c r="M56" s="2">
        <v>9.1999999999999993</v>
      </c>
      <c r="N56" s="2"/>
    </row>
    <row r="57" spans="1:14" ht="45.75">
      <c r="A57" s="7">
        <v>45869</v>
      </c>
      <c r="B57" s="8">
        <v>271.7</v>
      </c>
      <c r="C57" s="8" t="str">
        <f>UPPER(TEXT(Tabla356734567893568192091012[[#This Row],[FECHA DE SERVICIO]], "[$-es-MX]mmmm"))</f>
        <v>JULIO</v>
      </c>
      <c r="D57" s="7">
        <v>45868</v>
      </c>
      <c r="E57" s="2" t="s">
        <v>23</v>
      </c>
      <c r="F57" s="2" t="s">
        <v>28</v>
      </c>
      <c r="G57" s="2">
        <v>50</v>
      </c>
      <c r="H57" s="2"/>
      <c r="I57" s="2">
        <v>36459</v>
      </c>
      <c r="J57" s="9"/>
      <c r="K57" s="9" t="s">
        <v>1240</v>
      </c>
      <c r="L57" s="2" t="s">
        <v>1241</v>
      </c>
      <c r="M57" s="2">
        <v>17.2</v>
      </c>
      <c r="N57" s="2"/>
    </row>
    <row r="58" spans="1:14" ht="30.75">
      <c r="A58" s="7">
        <v>45901</v>
      </c>
      <c r="B58" s="8">
        <v>236</v>
      </c>
      <c r="C58" s="8" t="str">
        <f>UPPER(TEXT(Tabla356734567893568192091012[[#This Row],[FECHA DE SERVICIO]], "[$-es-MX]mmmm"))</f>
        <v>AGOSTO</v>
      </c>
      <c r="D58" s="7">
        <v>45898</v>
      </c>
      <c r="E58" s="2" t="s">
        <v>23</v>
      </c>
      <c r="F58" s="2" t="s">
        <v>24</v>
      </c>
      <c r="G58" s="2">
        <v>51</v>
      </c>
      <c r="H58" s="2"/>
      <c r="I58" s="2">
        <v>37181</v>
      </c>
      <c r="J58" s="9"/>
      <c r="K58" s="9" t="s">
        <v>1242</v>
      </c>
      <c r="L58" s="2" t="s">
        <v>73</v>
      </c>
      <c r="M58" s="2">
        <v>7.8</v>
      </c>
      <c r="N58" s="2"/>
    </row>
    <row r="59" spans="1:14" ht="60.75">
      <c r="A59" s="7">
        <v>45930</v>
      </c>
      <c r="B59" s="8">
        <v>244.4</v>
      </c>
      <c r="C59" s="8" t="str">
        <f>UPPER(TEXT(Tabla356734567893568192091012[[#This Row],[FECHA DE SERVICIO]], "[$-es-MX]mmmm"))</f>
        <v>SEPTIEMBRE</v>
      </c>
      <c r="D59" s="7">
        <v>45930</v>
      </c>
      <c r="E59" s="2" t="s">
        <v>23</v>
      </c>
      <c r="F59" s="2" t="s">
        <v>28</v>
      </c>
      <c r="G59" s="2">
        <v>52</v>
      </c>
      <c r="H59" s="2"/>
      <c r="I59" s="2">
        <v>38143</v>
      </c>
      <c r="J59" s="9"/>
      <c r="K59" s="9" t="s">
        <v>1243</v>
      </c>
      <c r="L59" s="535" t="s">
        <v>1244</v>
      </c>
      <c r="M59" s="2">
        <v>9.4</v>
      </c>
      <c r="N59" s="2"/>
    </row>
    <row r="60" spans="1:14" ht="30.75">
      <c r="A60" s="7">
        <v>45961</v>
      </c>
      <c r="B60" s="8">
        <v>243</v>
      </c>
      <c r="C60" s="8" t="str">
        <f>UPPER(TEXT(Tabla356734567893568192091012[[#This Row],[FECHA DE SERVICIO]], "[$-es-MX]mmmm"))</f>
        <v>OCTUBRE</v>
      </c>
      <c r="D60" s="7">
        <v>45961</v>
      </c>
      <c r="E60" s="2" t="s">
        <v>23</v>
      </c>
      <c r="F60" s="2" t="s">
        <v>28</v>
      </c>
      <c r="G60" s="2">
        <v>53</v>
      </c>
      <c r="H60" s="2"/>
      <c r="I60" s="2">
        <v>39012</v>
      </c>
      <c r="J60" s="9"/>
      <c r="K60" s="9" t="s">
        <v>1245</v>
      </c>
      <c r="L60" s="2" t="s">
        <v>26</v>
      </c>
      <c r="M60" s="2">
        <v>12</v>
      </c>
      <c r="N60" s="2"/>
    </row>
    <row r="61" spans="1:14" ht="30.75">
      <c r="A61" s="7">
        <v>45989</v>
      </c>
      <c r="B61" s="2">
        <v>243.7</v>
      </c>
      <c r="C61" s="8" t="str">
        <f>UPPER(TEXT(Tabla356734567893568192091012[[#This Row],[FECHA DE SERVICIO]], "[$-es-MX]mmmm"))</f>
        <v>NOVIEMBRE</v>
      </c>
      <c r="D61" s="7">
        <v>45989</v>
      </c>
      <c r="E61" s="2" t="s">
        <v>23</v>
      </c>
      <c r="F61" s="2" t="s">
        <v>28</v>
      </c>
      <c r="G61" s="2">
        <v>54</v>
      </c>
      <c r="H61" s="2"/>
      <c r="I61" s="2">
        <v>39844</v>
      </c>
      <c r="J61" s="9"/>
      <c r="K61" s="9" t="s">
        <v>1246</v>
      </c>
      <c r="L61" s="2" t="s">
        <v>26</v>
      </c>
      <c r="M61" s="2">
        <v>9.1999999999999993</v>
      </c>
      <c r="N61" s="2"/>
    </row>
    <row r="62" spans="1:14" ht="30.75">
      <c r="A62" s="7">
        <v>46020</v>
      </c>
      <c r="B62" s="8">
        <v>236</v>
      </c>
      <c r="C62" s="8" t="s">
        <v>30</v>
      </c>
      <c r="D62" s="7">
        <v>46020</v>
      </c>
      <c r="E62" s="2" t="s">
        <v>23</v>
      </c>
      <c r="F62" s="2" t="s">
        <v>28</v>
      </c>
      <c r="G62" s="2">
        <v>55</v>
      </c>
      <c r="H62" s="2"/>
      <c r="I62" s="2">
        <v>40641</v>
      </c>
      <c r="J62" s="9"/>
      <c r="K62" s="9" t="s">
        <v>1247</v>
      </c>
      <c r="L62" s="2" t="s">
        <v>26</v>
      </c>
      <c r="M62" s="2">
        <v>7</v>
      </c>
      <c r="N62" s="2"/>
    </row>
    <row r="63" spans="1:14" ht="30.75">
      <c r="A63" s="7">
        <v>46057</v>
      </c>
      <c r="B63" s="8">
        <v>308.8</v>
      </c>
      <c r="C63" s="8" t="s">
        <v>32</v>
      </c>
      <c r="D63" s="7">
        <v>46053</v>
      </c>
      <c r="E63" s="2" t="s">
        <v>23</v>
      </c>
      <c r="F63" s="2" t="s">
        <v>24</v>
      </c>
      <c r="G63" s="2">
        <v>56</v>
      </c>
      <c r="H63" s="2"/>
      <c r="I63" s="2">
        <v>41607</v>
      </c>
      <c r="J63" s="9"/>
      <c r="K63" s="9" t="s">
        <v>1248</v>
      </c>
      <c r="L63" s="2" t="s">
        <v>73</v>
      </c>
      <c r="M63" s="2" t="s">
        <v>1249</v>
      </c>
      <c r="N63" s="2"/>
    </row>
    <row r="64" spans="1:14" ht="30.75">
      <c r="A64" s="7">
        <v>46079</v>
      </c>
      <c r="B64" s="8">
        <v>21</v>
      </c>
      <c r="C64" s="8" t="str">
        <f>UPPER(TEXT(Tabla356734567893568192091012[[#This Row],[FECHA DE SERVICIO]], "[$-es-MX]mmmm"))</f>
        <v>ENERO</v>
      </c>
      <c r="D64" s="7"/>
      <c r="E64" s="2" t="s">
        <v>23</v>
      </c>
      <c r="F64" s="2" t="s">
        <v>24</v>
      </c>
      <c r="G64" s="2"/>
      <c r="H64" s="2"/>
      <c r="I64" s="2"/>
      <c r="J64" s="9"/>
      <c r="K64" s="9"/>
      <c r="L64" s="2" t="s">
        <v>73</v>
      </c>
      <c r="M64" s="2"/>
      <c r="N64" s="2"/>
    </row>
    <row r="65" spans="1:14" ht="30.75">
      <c r="A65" s="7">
        <v>46112</v>
      </c>
      <c r="B65" s="2" t="s">
        <v>1250</v>
      </c>
      <c r="C65" s="8" t="s">
        <v>34</v>
      </c>
      <c r="D65" s="7">
        <v>46081</v>
      </c>
      <c r="E65" s="2" t="s">
        <v>23</v>
      </c>
      <c r="F65" s="2" t="s">
        <v>24</v>
      </c>
      <c r="G65" s="2">
        <v>57</v>
      </c>
      <c r="H65" s="2"/>
      <c r="I65" s="2">
        <v>42417</v>
      </c>
      <c r="J65" s="9"/>
      <c r="K65" s="9" t="s">
        <v>1251</v>
      </c>
      <c r="L65" s="2" t="s">
        <v>73</v>
      </c>
      <c r="M65" s="2">
        <v>14</v>
      </c>
      <c r="N65" s="2"/>
    </row>
    <row r="66" spans="1:14" ht="30.75">
      <c r="A66" s="7">
        <v>46112</v>
      </c>
      <c r="B66" s="8">
        <v>236</v>
      </c>
      <c r="C66" s="8" t="s">
        <v>38</v>
      </c>
      <c r="D66" s="7">
        <v>46112</v>
      </c>
      <c r="E66" s="2" t="s">
        <v>23</v>
      </c>
      <c r="F66" s="2" t="s">
        <v>24</v>
      </c>
      <c r="G66" s="2">
        <v>58</v>
      </c>
      <c r="H66" s="2"/>
      <c r="I66" s="2">
        <v>43166</v>
      </c>
      <c r="J66" s="2"/>
      <c r="K66" s="2">
        <v>59568</v>
      </c>
      <c r="L66" s="2" t="s">
        <v>73</v>
      </c>
      <c r="M66" s="2">
        <v>5.18</v>
      </c>
      <c r="N66" s="2"/>
    </row>
    <row r="67" spans="1:14" ht="30.75">
      <c r="A67" s="7">
        <v>46116</v>
      </c>
      <c r="B67" s="2" t="s">
        <v>1252</v>
      </c>
      <c r="C67" s="8" t="s">
        <v>41</v>
      </c>
      <c r="D67" s="7">
        <v>46141</v>
      </c>
      <c r="E67" s="2" t="s">
        <v>23</v>
      </c>
      <c r="F67" s="2" t="s">
        <v>24</v>
      </c>
      <c r="G67" s="2">
        <v>59</v>
      </c>
      <c r="H67" s="2"/>
      <c r="I67" s="2">
        <v>44025</v>
      </c>
      <c r="J67" s="2"/>
      <c r="K67" s="2">
        <v>60981</v>
      </c>
      <c r="L67" s="2" t="s">
        <v>73</v>
      </c>
      <c r="M67" s="2">
        <v>11</v>
      </c>
      <c r="N67" s="2"/>
    </row>
    <row r="68" spans="1:14" ht="30.75">
      <c r="A68" s="2"/>
      <c r="B68" s="2"/>
      <c r="C68" s="2"/>
      <c r="D68" s="2"/>
      <c r="E68" s="2" t="s">
        <v>23</v>
      </c>
      <c r="F68" s="2"/>
      <c r="G68" s="2"/>
      <c r="H68" s="2"/>
      <c r="I68" s="2"/>
      <c r="J68" s="2"/>
      <c r="K68" s="2"/>
      <c r="L68" s="2"/>
      <c r="M68" s="2"/>
      <c r="N68" s="2"/>
    </row>
    <row r="69" spans="1:14" ht="30.75">
      <c r="A69" s="2"/>
      <c r="B69" s="2"/>
      <c r="C69" s="2"/>
      <c r="D69" s="2"/>
      <c r="E69" s="2" t="s">
        <v>23</v>
      </c>
      <c r="F69" s="2"/>
      <c r="G69" s="2"/>
      <c r="H69" s="2"/>
      <c r="I69" s="2"/>
      <c r="J69" s="2"/>
      <c r="K69" s="2"/>
      <c r="L69" s="2"/>
      <c r="M69" s="2"/>
      <c r="N69" s="2"/>
    </row>
    <row r="70" spans="1:14" ht="30.75">
      <c r="A70" s="2"/>
      <c r="B70" s="2"/>
      <c r="C70" s="2"/>
      <c r="D70" s="2"/>
      <c r="E70" s="2" t="s">
        <v>23</v>
      </c>
      <c r="F70" s="2"/>
      <c r="G70" s="2"/>
      <c r="H70" s="2"/>
      <c r="I70" s="2"/>
      <c r="J70" s="2"/>
      <c r="K70" s="2"/>
      <c r="L70" s="2"/>
      <c r="M70" s="2"/>
      <c r="N70" s="2"/>
    </row>
    <row r="71" spans="1:14" ht="30.75">
      <c r="A71" s="2"/>
      <c r="B71" s="2"/>
      <c r="C71" s="2"/>
      <c r="D71" s="2"/>
      <c r="E71" s="2" t="s">
        <v>23</v>
      </c>
      <c r="F71" s="2"/>
      <c r="G71" s="2"/>
      <c r="H71" s="2"/>
      <c r="I71" s="2"/>
      <c r="J71" s="2"/>
      <c r="K71" s="2"/>
      <c r="L71" s="2"/>
      <c r="M71" s="2"/>
      <c r="N71" s="2"/>
    </row>
    <row r="72" spans="1:14" ht="30.75">
      <c r="A72" s="2"/>
      <c r="B72" s="2"/>
      <c r="C72" s="2"/>
      <c r="D72" s="2"/>
      <c r="E72" s="2" t="s">
        <v>23</v>
      </c>
      <c r="F72" s="2"/>
      <c r="G72" s="2"/>
      <c r="H72" s="2"/>
      <c r="I72" s="2"/>
      <c r="J72" s="2"/>
      <c r="K72" s="2"/>
      <c r="L72" s="2"/>
      <c r="M72" s="2"/>
      <c r="N72" s="2"/>
    </row>
    <row r="73" spans="1:14" ht="30.75">
      <c r="A73" s="2"/>
      <c r="B73" s="2"/>
      <c r="C73" s="2"/>
      <c r="D73" s="2"/>
      <c r="E73" s="2" t="s">
        <v>23</v>
      </c>
      <c r="F73" s="2"/>
      <c r="G73" s="2"/>
      <c r="H73" s="2"/>
      <c r="I73" s="2"/>
      <c r="J73" s="2"/>
      <c r="K73" s="2"/>
      <c r="L73" s="2"/>
      <c r="M73" s="2"/>
      <c r="N73" s="2"/>
    </row>
  </sheetData>
  <mergeCells count="7">
    <mergeCell ref="D6:F6"/>
    <mergeCell ref="A1:K1"/>
    <mergeCell ref="I2:L2"/>
    <mergeCell ref="I4:L4"/>
    <mergeCell ref="D5:F5"/>
    <mergeCell ref="G5:J5"/>
    <mergeCell ref="L3:O3"/>
  </mergeCells>
  <dataValidations count="1">
    <dataValidation type="list" allowBlank="1" showInputMessage="1" showErrorMessage="1" sqref="F8:F73" xr:uid="{00000000-0002-0000-0A00-000000000000}">
      <formula1>"EFECTIVO, CHEQUE, TRANSFERENCIA,DEPOSITO"</formula1>
    </dataValidation>
  </dataValidations>
  <hyperlinks>
    <hyperlink ref="B4" r:id="rId1" xr:uid="{00000000-0004-0000-0A00-000000000000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BDF1-A616-417C-989C-59FFA92BD0F2}">
  <dimension ref="A1:N84"/>
  <sheetViews>
    <sheetView topLeftCell="A57" workbookViewId="0">
      <selection activeCell="Q66" sqref="Q66"/>
    </sheetView>
  </sheetViews>
  <sheetFormatPr defaultColWidth="11.42578125" defaultRowHeight="15"/>
  <cols>
    <col min="2" max="2" width="17.7109375" customWidth="1"/>
    <col min="3" max="3" width="13.7109375" bestFit="1" customWidth="1"/>
  </cols>
  <sheetData>
    <row r="1" spans="1:14" ht="45.75" customHeight="1">
      <c r="A1" s="709" t="s">
        <v>1253</v>
      </c>
      <c r="B1" s="709"/>
      <c r="C1" s="709"/>
      <c r="D1" s="709"/>
      <c r="E1" s="709"/>
      <c r="F1" s="709"/>
      <c r="G1" s="709"/>
      <c r="H1" s="709"/>
      <c r="I1" s="709"/>
      <c r="J1" s="632"/>
    </row>
    <row r="2" spans="1:14" ht="30.75">
      <c r="A2" s="2" t="s">
        <v>93</v>
      </c>
      <c r="G2" s="651"/>
      <c r="H2" s="651"/>
      <c r="I2" s="651"/>
      <c r="J2" s="651"/>
      <c r="K2" s="651"/>
      <c r="L2" s="651" t="s">
        <v>1254</v>
      </c>
      <c r="M2" s="651"/>
    </row>
    <row r="3" spans="1:14">
      <c r="A3" s="2" t="s">
        <v>1</v>
      </c>
      <c r="B3">
        <v>20495102255</v>
      </c>
      <c r="L3" s="651"/>
      <c r="M3" s="651"/>
    </row>
    <row r="4" spans="1:14" ht="23.25" customHeight="1">
      <c r="A4" s="4" t="s">
        <v>2</v>
      </c>
      <c r="B4" s="16" t="s">
        <v>1255</v>
      </c>
      <c r="E4" s="26"/>
      <c r="F4" s="95"/>
      <c r="G4" s="98"/>
      <c r="H4" s="98"/>
      <c r="I4" s="98"/>
      <c r="J4" s="98"/>
      <c r="K4" s="98"/>
      <c r="L4" s="35"/>
      <c r="M4" s="35"/>
    </row>
    <row r="5" spans="1:14" ht="47.25">
      <c r="A5" s="133" t="s">
        <v>4</v>
      </c>
      <c r="B5" s="134">
        <v>46088</v>
      </c>
      <c r="C5" s="704"/>
      <c r="D5" s="704"/>
      <c r="E5" s="704"/>
      <c r="F5" s="710" t="s">
        <v>1256</v>
      </c>
      <c r="G5" s="710"/>
      <c r="H5" s="710"/>
      <c r="I5" s="35"/>
      <c r="J5" s="35"/>
      <c r="K5" s="711" t="s">
        <v>1257</v>
      </c>
      <c r="L5" s="711"/>
      <c r="M5" s="711"/>
    </row>
    <row r="6" spans="1:14" ht="18.75">
      <c r="A6" s="97"/>
      <c r="B6" s="97"/>
      <c r="C6" s="706" t="s">
        <v>1125</v>
      </c>
      <c r="D6" s="707"/>
      <c r="E6" s="708"/>
      <c r="F6" s="97"/>
      <c r="G6" s="97"/>
      <c r="H6" s="97"/>
      <c r="I6" s="97"/>
      <c r="J6" s="97"/>
      <c r="K6" s="97"/>
      <c r="L6" s="35"/>
      <c r="M6" s="35"/>
    </row>
    <row r="7" spans="1:14" ht="57">
      <c r="A7" s="135" t="s">
        <v>7</v>
      </c>
      <c r="B7" s="135" t="s">
        <v>8</v>
      </c>
      <c r="C7" s="135" t="s">
        <v>10</v>
      </c>
      <c r="D7" s="135" t="s">
        <v>11</v>
      </c>
      <c r="E7" s="135" t="s">
        <v>12</v>
      </c>
      <c r="F7" s="135" t="s">
        <v>342</v>
      </c>
      <c r="G7" s="135" t="s">
        <v>14</v>
      </c>
      <c r="H7" s="135" t="s">
        <v>343</v>
      </c>
      <c r="I7" s="135" t="s">
        <v>16</v>
      </c>
      <c r="J7" s="135" t="s">
        <v>17</v>
      </c>
      <c r="K7" s="135" t="s">
        <v>18</v>
      </c>
      <c r="L7" s="135" t="s">
        <v>99</v>
      </c>
      <c r="M7" s="489" t="s">
        <v>19</v>
      </c>
      <c r="N7" s="489" t="s">
        <v>20</v>
      </c>
    </row>
    <row r="8" spans="1:14" ht="30.75">
      <c r="A8" s="7">
        <v>44383</v>
      </c>
      <c r="B8" s="8">
        <v>118</v>
      </c>
      <c r="C8" s="7">
        <v>44316</v>
      </c>
      <c r="D8" s="2" t="s">
        <v>23</v>
      </c>
      <c r="E8" s="2" t="s">
        <v>24</v>
      </c>
      <c r="F8" s="2">
        <v>3</v>
      </c>
      <c r="G8" s="9" t="s">
        <v>1258</v>
      </c>
      <c r="H8" s="9" t="s">
        <v>1259</v>
      </c>
      <c r="I8" s="9" t="s">
        <v>1260</v>
      </c>
      <c r="J8" s="9"/>
      <c r="K8" s="2" t="s">
        <v>26</v>
      </c>
      <c r="L8" s="2"/>
      <c r="M8" s="2"/>
      <c r="N8" s="2"/>
    </row>
    <row r="9" spans="1:14" ht="30.75">
      <c r="A9" s="7">
        <v>44383</v>
      </c>
      <c r="B9" s="8">
        <v>118</v>
      </c>
      <c r="C9" s="7">
        <v>44344</v>
      </c>
      <c r="D9" s="2" t="s">
        <v>23</v>
      </c>
      <c r="E9" s="2" t="s">
        <v>24</v>
      </c>
      <c r="F9" s="2">
        <v>4</v>
      </c>
      <c r="G9" s="9" t="s">
        <v>1258</v>
      </c>
      <c r="H9" s="9" t="s">
        <v>1261</v>
      </c>
      <c r="I9" s="9" t="s">
        <v>1262</v>
      </c>
      <c r="J9" s="9"/>
      <c r="K9" s="2" t="s">
        <v>26</v>
      </c>
      <c r="L9" s="2"/>
      <c r="M9" s="2"/>
      <c r="N9" s="2"/>
    </row>
    <row r="10" spans="1:14" ht="30.75">
      <c r="A10" s="7">
        <v>44383</v>
      </c>
      <c r="B10" s="8">
        <v>118</v>
      </c>
      <c r="C10" s="7">
        <v>44376</v>
      </c>
      <c r="D10" s="2" t="s">
        <v>23</v>
      </c>
      <c r="E10" s="2" t="s">
        <v>24</v>
      </c>
      <c r="F10" s="2">
        <v>3</v>
      </c>
      <c r="G10" s="9" t="s">
        <v>1258</v>
      </c>
      <c r="H10" s="9" t="s">
        <v>1263</v>
      </c>
      <c r="I10" s="9" t="s">
        <v>1264</v>
      </c>
      <c r="J10" s="9"/>
      <c r="K10" s="2" t="s">
        <v>26</v>
      </c>
      <c r="L10" s="2"/>
      <c r="M10" s="2"/>
      <c r="N10" s="2"/>
    </row>
    <row r="11" spans="1:14" ht="30.75">
      <c r="A11" s="7">
        <v>44473</v>
      </c>
      <c r="B11" s="8">
        <v>118</v>
      </c>
      <c r="C11" s="7">
        <v>44408</v>
      </c>
      <c r="D11" s="2" t="s">
        <v>23</v>
      </c>
      <c r="E11" s="2" t="s">
        <v>24</v>
      </c>
      <c r="F11" s="2">
        <v>6</v>
      </c>
      <c r="G11" s="9" t="s">
        <v>1265</v>
      </c>
      <c r="H11" s="9" t="s">
        <v>665</v>
      </c>
      <c r="I11" s="9" t="s">
        <v>1266</v>
      </c>
      <c r="J11" s="9"/>
      <c r="K11" s="2" t="s">
        <v>26</v>
      </c>
      <c r="L11" s="2"/>
      <c r="M11" s="2"/>
      <c r="N11" s="2"/>
    </row>
    <row r="12" spans="1:14" ht="30.75">
      <c r="A12" s="7">
        <v>44473</v>
      </c>
      <c r="B12" s="8">
        <v>118</v>
      </c>
      <c r="C12" s="7">
        <v>44439</v>
      </c>
      <c r="D12" s="2" t="s">
        <v>23</v>
      </c>
      <c r="E12" s="2" t="s">
        <v>24</v>
      </c>
      <c r="F12" s="2">
        <v>7</v>
      </c>
      <c r="G12" s="9" t="s">
        <v>1267</v>
      </c>
      <c r="H12" s="9" t="s">
        <v>1268</v>
      </c>
      <c r="I12" s="9" t="s">
        <v>1269</v>
      </c>
      <c r="J12" s="9"/>
      <c r="K12" s="2" t="s">
        <v>26</v>
      </c>
      <c r="L12" s="2"/>
      <c r="M12" s="2"/>
      <c r="N12" s="2"/>
    </row>
    <row r="13" spans="1:14" ht="30.75">
      <c r="A13" s="7">
        <v>44496</v>
      </c>
      <c r="B13" s="8">
        <v>118</v>
      </c>
      <c r="C13" s="7" t="s">
        <v>1270</v>
      </c>
      <c r="D13" s="2" t="s">
        <v>23</v>
      </c>
      <c r="E13" s="2" t="s">
        <v>24</v>
      </c>
      <c r="F13" s="2">
        <v>4</v>
      </c>
      <c r="G13" s="9" t="s">
        <v>1271</v>
      </c>
      <c r="H13" s="9"/>
      <c r="I13" s="9" t="s">
        <v>1272</v>
      </c>
      <c r="J13" s="9"/>
      <c r="K13" s="2" t="s">
        <v>56</v>
      </c>
      <c r="L13" s="2"/>
      <c r="M13" s="2"/>
      <c r="N13" s="2"/>
    </row>
    <row r="14" spans="1:14" ht="30.75">
      <c r="A14" s="7">
        <v>44561</v>
      </c>
      <c r="B14" s="8">
        <v>118</v>
      </c>
      <c r="C14" s="7">
        <v>44499</v>
      </c>
      <c r="D14" s="2" t="s">
        <v>23</v>
      </c>
      <c r="E14" s="2" t="s">
        <v>24</v>
      </c>
      <c r="F14" s="2">
        <v>6</v>
      </c>
      <c r="G14" s="9" t="s">
        <v>1273</v>
      </c>
      <c r="H14" s="9" t="s">
        <v>1274</v>
      </c>
      <c r="I14" s="9" t="s">
        <v>1275</v>
      </c>
      <c r="J14" s="9"/>
      <c r="K14" s="2" t="s">
        <v>56</v>
      </c>
      <c r="L14" s="2"/>
      <c r="M14" s="2"/>
      <c r="N14" s="2"/>
    </row>
    <row r="15" spans="1:14" ht="30.75">
      <c r="A15" s="7">
        <v>44561</v>
      </c>
      <c r="B15" s="8">
        <v>118</v>
      </c>
      <c r="C15" s="7">
        <v>44530</v>
      </c>
      <c r="D15" s="2" t="s">
        <v>23</v>
      </c>
      <c r="E15" s="2" t="s">
        <v>24</v>
      </c>
      <c r="F15" s="2">
        <v>7</v>
      </c>
      <c r="G15" s="9" t="s">
        <v>1276</v>
      </c>
      <c r="H15" s="9" t="s">
        <v>1277</v>
      </c>
      <c r="I15" s="9" t="s">
        <v>1278</v>
      </c>
      <c r="J15" s="9"/>
      <c r="K15" s="2" t="s">
        <v>56</v>
      </c>
      <c r="L15" s="2"/>
      <c r="M15" s="2"/>
      <c r="N15" s="2"/>
    </row>
    <row r="16" spans="1:14" ht="30.75">
      <c r="A16" s="7">
        <v>44561</v>
      </c>
      <c r="B16" s="8">
        <v>118</v>
      </c>
      <c r="C16" s="7">
        <v>44560</v>
      </c>
      <c r="D16" s="2" t="s">
        <v>23</v>
      </c>
      <c r="E16" s="2" t="s">
        <v>24</v>
      </c>
      <c r="F16" s="2">
        <v>8</v>
      </c>
      <c r="G16" s="9" t="s">
        <v>1279</v>
      </c>
      <c r="H16" s="9" t="s">
        <v>1280</v>
      </c>
      <c r="I16" s="9" t="s">
        <v>1281</v>
      </c>
      <c r="J16" s="9"/>
      <c r="K16" s="2" t="s">
        <v>56</v>
      </c>
      <c r="L16" s="2"/>
      <c r="M16" s="2"/>
      <c r="N16" s="2"/>
    </row>
    <row r="17" spans="1:14" ht="30.75">
      <c r="A17" s="7">
        <v>44592</v>
      </c>
      <c r="B17" s="8">
        <v>118</v>
      </c>
      <c r="C17" s="7">
        <v>44592</v>
      </c>
      <c r="D17" s="2" t="s">
        <v>23</v>
      </c>
      <c r="E17" s="2" t="s">
        <v>24</v>
      </c>
      <c r="F17" s="2">
        <v>9</v>
      </c>
      <c r="G17" s="9" t="s">
        <v>1282</v>
      </c>
      <c r="H17" s="9" t="s">
        <v>1283</v>
      </c>
      <c r="I17" s="9" t="s">
        <v>1284</v>
      </c>
      <c r="J17" s="9"/>
      <c r="K17" s="2" t="s">
        <v>56</v>
      </c>
      <c r="L17" s="2"/>
      <c r="M17" s="2"/>
      <c r="N17" s="2"/>
    </row>
    <row r="18" spans="1:14" ht="30.75">
      <c r="A18" s="7">
        <v>44620</v>
      </c>
      <c r="B18" s="8">
        <v>118</v>
      </c>
      <c r="C18" s="7">
        <v>44620</v>
      </c>
      <c r="D18" s="2" t="s">
        <v>23</v>
      </c>
      <c r="E18" s="2" t="s">
        <v>24</v>
      </c>
      <c r="F18" s="2">
        <v>10</v>
      </c>
      <c r="G18" s="9" t="s">
        <v>1285</v>
      </c>
      <c r="H18" s="9" t="s">
        <v>1286</v>
      </c>
      <c r="I18" s="9" t="s">
        <v>1287</v>
      </c>
      <c r="J18" s="9"/>
      <c r="K18" s="2" t="s">
        <v>56</v>
      </c>
      <c r="L18" s="2"/>
      <c r="M18" s="2"/>
      <c r="N18" s="2"/>
    </row>
    <row r="19" spans="1:14" ht="30.75">
      <c r="A19" s="7">
        <v>44652</v>
      </c>
      <c r="B19" s="8">
        <v>118</v>
      </c>
      <c r="C19" s="7">
        <v>44652</v>
      </c>
      <c r="D19" s="2" t="s">
        <v>23</v>
      </c>
      <c r="E19" s="2" t="s">
        <v>24</v>
      </c>
      <c r="F19" s="2">
        <v>11</v>
      </c>
      <c r="G19" s="2">
        <v>6767</v>
      </c>
      <c r="H19" s="9"/>
      <c r="I19" s="9" t="s">
        <v>1288</v>
      </c>
      <c r="J19" s="9"/>
      <c r="K19" s="2" t="s">
        <v>56</v>
      </c>
      <c r="L19" s="2"/>
      <c r="M19" s="2"/>
      <c r="N19" s="2"/>
    </row>
    <row r="20" spans="1:14" ht="30.75">
      <c r="A20" s="7">
        <v>44681</v>
      </c>
      <c r="B20" s="8">
        <v>118</v>
      </c>
      <c r="C20" s="7">
        <v>44681</v>
      </c>
      <c r="D20" s="2" t="s">
        <v>23</v>
      </c>
      <c r="E20" s="2" t="s">
        <v>24</v>
      </c>
      <c r="F20" s="2">
        <v>12</v>
      </c>
      <c r="G20" s="2">
        <v>7181</v>
      </c>
      <c r="H20" s="9" t="s">
        <v>1289</v>
      </c>
      <c r="I20" s="9" t="s">
        <v>1290</v>
      </c>
      <c r="J20" s="9"/>
      <c r="K20" s="2" t="s">
        <v>56</v>
      </c>
      <c r="L20" s="2"/>
      <c r="M20" s="2"/>
      <c r="N20" s="2"/>
    </row>
    <row r="21" spans="1:14" ht="30.75">
      <c r="A21" s="7">
        <v>44750</v>
      </c>
      <c r="B21" s="8">
        <v>118</v>
      </c>
      <c r="C21" s="7">
        <v>44709</v>
      </c>
      <c r="D21" s="2" t="s">
        <v>23</v>
      </c>
      <c r="E21" s="2" t="s">
        <v>24</v>
      </c>
      <c r="F21" s="2">
        <v>13</v>
      </c>
      <c r="G21" s="2">
        <v>7915</v>
      </c>
      <c r="H21" s="9" t="s">
        <v>1291</v>
      </c>
      <c r="I21" s="9" t="s">
        <v>1292</v>
      </c>
      <c r="J21" s="9"/>
      <c r="K21" s="2" t="s">
        <v>56</v>
      </c>
      <c r="L21" s="2"/>
      <c r="M21" s="2"/>
      <c r="N21" s="2"/>
    </row>
    <row r="22" spans="1:14" ht="32.25">
      <c r="A22" s="7">
        <v>44750</v>
      </c>
      <c r="B22" s="8">
        <v>118</v>
      </c>
      <c r="C22" s="370">
        <v>44740</v>
      </c>
      <c r="D22" s="2" t="s">
        <v>23</v>
      </c>
      <c r="E22" s="369" t="s">
        <v>24</v>
      </c>
      <c r="F22" s="369">
        <v>14</v>
      </c>
      <c r="G22" s="369">
        <v>8631</v>
      </c>
      <c r="H22" s="371" t="s">
        <v>1293</v>
      </c>
      <c r="I22" s="371" t="s">
        <v>1294</v>
      </c>
      <c r="J22" s="371"/>
      <c r="K22" s="369" t="s">
        <v>26</v>
      </c>
      <c r="L22" s="2"/>
      <c r="M22" s="2"/>
      <c r="N22" s="2"/>
    </row>
    <row r="23" spans="1:14" ht="30.75">
      <c r="A23" s="7">
        <v>44828</v>
      </c>
      <c r="B23" s="8">
        <v>118</v>
      </c>
      <c r="C23" s="7">
        <v>44772</v>
      </c>
      <c r="D23" s="2" t="s">
        <v>23</v>
      </c>
      <c r="E23" s="2" t="s">
        <v>24</v>
      </c>
      <c r="F23" s="2">
        <v>15</v>
      </c>
      <c r="G23" s="2">
        <v>9627</v>
      </c>
      <c r="H23" s="9" t="s">
        <v>1295</v>
      </c>
      <c r="I23" s="9" t="s">
        <v>1296</v>
      </c>
      <c r="J23" s="9"/>
      <c r="K23" s="2" t="s">
        <v>26</v>
      </c>
      <c r="L23" s="2" t="s">
        <v>73</v>
      </c>
      <c r="M23" s="2"/>
      <c r="N23" s="2"/>
    </row>
    <row r="24" spans="1:14" ht="30.75">
      <c r="A24" s="7">
        <v>44828</v>
      </c>
      <c r="B24" s="8">
        <v>118</v>
      </c>
      <c r="C24" s="7">
        <v>44802</v>
      </c>
      <c r="D24" s="2" t="s">
        <v>23</v>
      </c>
      <c r="E24" s="2" t="s">
        <v>24</v>
      </c>
      <c r="F24" s="2">
        <v>16</v>
      </c>
      <c r="G24" s="2">
        <v>10373</v>
      </c>
      <c r="H24" s="9" t="s">
        <v>1297</v>
      </c>
      <c r="I24" s="9" t="s">
        <v>1298</v>
      </c>
      <c r="J24" s="9"/>
      <c r="K24" s="2" t="s">
        <v>26</v>
      </c>
      <c r="L24" s="2" t="s">
        <v>73</v>
      </c>
      <c r="M24" s="2"/>
      <c r="N24" s="2"/>
    </row>
    <row r="25" spans="1:14" ht="30.75">
      <c r="A25" s="2" t="s">
        <v>750</v>
      </c>
      <c r="B25" s="8">
        <v>118</v>
      </c>
      <c r="C25" s="7">
        <v>44630</v>
      </c>
      <c r="D25" s="2" t="s">
        <v>23</v>
      </c>
      <c r="E25" s="2" t="s">
        <v>24</v>
      </c>
      <c r="F25" s="2">
        <v>17</v>
      </c>
      <c r="G25" s="2">
        <v>11200</v>
      </c>
      <c r="H25" s="9"/>
      <c r="I25" s="9" t="s">
        <v>1299</v>
      </c>
      <c r="J25" s="9"/>
      <c r="K25" s="2" t="s">
        <v>26</v>
      </c>
      <c r="L25" s="2" t="s">
        <v>1300</v>
      </c>
      <c r="M25" s="100"/>
      <c r="N25" s="2"/>
    </row>
    <row r="26" spans="1:14" ht="30.75">
      <c r="A26" s="2" t="s">
        <v>750</v>
      </c>
      <c r="B26" s="8">
        <v>118</v>
      </c>
      <c r="C26" s="7" t="s">
        <v>738</v>
      </c>
      <c r="D26" s="2" t="s">
        <v>23</v>
      </c>
      <c r="E26" s="2" t="s">
        <v>24</v>
      </c>
      <c r="F26" s="2">
        <v>18</v>
      </c>
      <c r="G26" s="2">
        <v>11834</v>
      </c>
      <c r="H26" s="9"/>
      <c r="I26" s="9" t="s">
        <v>1301</v>
      </c>
      <c r="J26" s="9"/>
      <c r="K26" s="2" t="s">
        <v>26</v>
      </c>
      <c r="L26" s="2" t="s">
        <v>1302</v>
      </c>
      <c r="M26" s="2"/>
      <c r="N26" s="2"/>
    </row>
    <row r="27" spans="1:14" ht="30.75">
      <c r="A27" s="2" t="s">
        <v>1303</v>
      </c>
      <c r="B27" s="8">
        <v>118</v>
      </c>
      <c r="C27" s="7" t="s">
        <v>61</v>
      </c>
      <c r="D27" s="2" t="s">
        <v>23</v>
      </c>
      <c r="E27" s="2" t="s">
        <v>24</v>
      </c>
      <c r="F27" s="2">
        <v>19</v>
      </c>
      <c r="G27" s="2">
        <v>12383</v>
      </c>
      <c r="H27" s="9"/>
      <c r="I27" s="9" t="s">
        <v>1304</v>
      </c>
      <c r="J27" s="9"/>
      <c r="K27" s="2" t="s">
        <v>26</v>
      </c>
      <c r="L27" s="2" t="s">
        <v>27</v>
      </c>
      <c r="M27" s="2"/>
      <c r="N27" s="2"/>
    </row>
    <row r="28" spans="1:14" ht="30.75">
      <c r="A28" s="2" t="s">
        <v>183</v>
      </c>
      <c r="B28" s="8">
        <v>118</v>
      </c>
      <c r="C28" s="7" t="s">
        <v>1305</v>
      </c>
      <c r="D28" s="2" t="s">
        <v>23</v>
      </c>
      <c r="E28" s="2" t="s">
        <v>24</v>
      </c>
      <c r="F28" s="2">
        <v>20</v>
      </c>
      <c r="G28" s="2">
        <v>14260</v>
      </c>
      <c r="H28" s="9" t="s">
        <v>1306</v>
      </c>
      <c r="I28" s="9" t="s">
        <v>1307</v>
      </c>
      <c r="J28" s="9"/>
      <c r="K28" s="2" t="s">
        <v>26</v>
      </c>
      <c r="L28" s="2" t="s">
        <v>32</v>
      </c>
      <c r="M28" s="2"/>
      <c r="N28" s="2"/>
    </row>
    <row r="29" spans="1:14" ht="30.75">
      <c r="A29" s="2" t="s">
        <v>1308</v>
      </c>
      <c r="B29" s="8">
        <v>118</v>
      </c>
      <c r="C29" s="7" t="s">
        <v>1179</v>
      </c>
      <c r="D29" s="2" t="s">
        <v>23</v>
      </c>
      <c r="E29" s="2" t="s">
        <v>24</v>
      </c>
      <c r="F29" s="2">
        <v>21</v>
      </c>
      <c r="G29" s="2">
        <v>15707</v>
      </c>
      <c r="H29" s="9" t="s">
        <v>1309</v>
      </c>
      <c r="I29" s="9" t="s">
        <v>1310</v>
      </c>
      <c r="J29" s="9"/>
      <c r="K29" s="2" t="s">
        <v>26</v>
      </c>
      <c r="L29" s="2" t="s">
        <v>38</v>
      </c>
      <c r="M29" s="2"/>
      <c r="N29" s="2"/>
    </row>
    <row r="30" spans="1:14" ht="30.75">
      <c r="A30" s="2" t="s">
        <v>1308</v>
      </c>
      <c r="B30" s="8">
        <v>118</v>
      </c>
      <c r="C30" s="7" t="s">
        <v>1311</v>
      </c>
      <c r="D30" s="2" t="s">
        <v>23</v>
      </c>
      <c r="E30" s="2" t="s">
        <v>24</v>
      </c>
      <c r="F30" s="2">
        <v>22</v>
      </c>
      <c r="G30" s="2">
        <v>15888</v>
      </c>
      <c r="H30" s="9"/>
      <c r="I30" s="9" t="s">
        <v>1312</v>
      </c>
      <c r="J30" s="9"/>
      <c r="K30" s="2" t="s">
        <v>26</v>
      </c>
      <c r="L30" s="2" t="s">
        <v>41</v>
      </c>
      <c r="M30" s="2"/>
      <c r="N30" s="2"/>
    </row>
    <row r="31" spans="1:14" ht="30.75">
      <c r="A31" s="7">
        <v>45103</v>
      </c>
      <c r="B31" s="8">
        <v>118</v>
      </c>
      <c r="C31" s="7" t="s">
        <v>1185</v>
      </c>
      <c r="D31" s="2" t="s">
        <v>23</v>
      </c>
      <c r="E31" s="2" t="s">
        <v>24</v>
      </c>
      <c r="F31" s="2">
        <v>23</v>
      </c>
      <c r="G31" s="2">
        <v>16293</v>
      </c>
      <c r="H31" s="9" t="s">
        <v>1313</v>
      </c>
      <c r="I31" s="9" t="s">
        <v>1314</v>
      </c>
      <c r="J31" s="9"/>
      <c r="K31" s="2" t="s">
        <v>26</v>
      </c>
      <c r="L31" s="2" t="s">
        <v>44</v>
      </c>
      <c r="M31" s="2"/>
      <c r="N31" s="2"/>
    </row>
    <row r="32" spans="1:14" ht="30.75">
      <c r="A32" s="7">
        <v>45103</v>
      </c>
      <c r="B32" s="8">
        <v>118</v>
      </c>
      <c r="C32" s="7">
        <v>45103</v>
      </c>
      <c r="D32" s="2" t="s">
        <v>23</v>
      </c>
      <c r="E32" s="2" t="s">
        <v>24</v>
      </c>
      <c r="F32" s="2">
        <v>24</v>
      </c>
      <c r="G32" s="2">
        <v>17083</v>
      </c>
      <c r="H32" s="9"/>
      <c r="I32" s="9" t="s">
        <v>1315</v>
      </c>
      <c r="J32" s="9"/>
      <c r="K32" s="2" t="s">
        <v>26</v>
      </c>
      <c r="L32" s="2" t="s">
        <v>57</v>
      </c>
      <c r="M32" s="2">
        <v>6.2</v>
      </c>
      <c r="N32" s="2"/>
    </row>
    <row r="33" spans="1:14" ht="30.75">
      <c r="A33" s="7">
        <v>45167</v>
      </c>
      <c r="B33" s="8">
        <v>118</v>
      </c>
      <c r="C33" s="7">
        <v>45133</v>
      </c>
      <c r="D33" s="2" t="s">
        <v>23</v>
      </c>
      <c r="E33" s="2" t="s">
        <v>24</v>
      </c>
      <c r="F33" s="2">
        <v>25</v>
      </c>
      <c r="G33" s="2">
        <v>17982</v>
      </c>
      <c r="H33" s="9" t="s">
        <v>1316</v>
      </c>
      <c r="I33" s="9" t="s">
        <v>1317</v>
      </c>
      <c r="J33" s="9"/>
      <c r="K33" s="2" t="s">
        <v>26</v>
      </c>
      <c r="L33" s="2" t="s">
        <v>47</v>
      </c>
      <c r="M33" s="2">
        <v>12.2</v>
      </c>
      <c r="N33" s="2"/>
    </row>
    <row r="34" spans="1:14" ht="30.75">
      <c r="A34" s="7">
        <v>45167</v>
      </c>
      <c r="B34" s="8">
        <v>118</v>
      </c>
      <c r="C34" s="7">
        <v>45167</v>
      </c>
      <c r="D34" s="2" t="s">
        <v>23</v>
      </c>
      <c r="E34" s="2" t="s">
        <v>24</v>
      </c>
      <c r="F34" s="2">
        <v>26</v>
      </c>
      <c r="G34" s="2" t="s">
        <v>1318</v>
      </c>
      <c r="H34" s="9" t="s">
        <v>1319</v>
      </c>
      <c r="I34" s="9" t="s">
        <v>1320</v>
      </c>
      <c r="J34" s="9"/>
      <c r="K34" s="2" t="s">
        <v>26</v>
      </c>
      <c r="L34" s="2" t="s">
        <v>50</v>
      </c>
      <c r="M34" s="2">
        <v>6.2</v>
      </c>
      <c r="N34" s="2"/>
    </row>
    <row r="35" spans="1:14" ht="30.75">
      <c r="A35" s="7">
        <v>45204</v>
      </c>
      <c r="B35" s="8">
        <v>118</v>
      </c>
      <c r="C35" s="7">
        <v>45197</v>
      </c>
      <c r="D35" s="2" t="s">
        <v>23</v>
      </c>
      <c r="E35" s="2" t="s">
        <v>24</v>
      </c>
      <c r="F35" s="2">
        <v>27</v>
      </c>
      <c r="G35" s="2">
        <v>19405</v>
      </c>
      <c r="H35" s="9"/>
      <c r="I35" s="9" t="s">
        <v>1321</v>
      </c>
      <c r="J35" s="9"/>
      <c r="K35" s="2" t="s">
        <v>26</v>
      </c>
      <c r="L35" s="2" t="s">
        <v>1300</v>
      </c>
      <c r="M35" s="2">
        <v>6.8</v>
      </c>
      <c r="N35" s="2"/>
    </row>
    <row r="36" spans="1:14" ht="30.75">
      <c r="A36" s="7">
        <v>45237</v>
      </c>
      <c r="B36" s="8">
        <v>118</v>
      </c>
      <c r="C36" s="7">
        <v>45229</v>
      </c>
      <c r="D36" s="7" t="s">
        <v>23</v>
      </c>
      <c r="E36" s="7" t="s">
        <v>24</v>
      </c>
      <c r="F36" s="2">
        <v>28</v>
      </c>
      <c r="G36" s="2">
        <v>20143</v>
      </c>
      <c r="H36" s="7"/>
      <c r="I36" s="7" t="s">
        <v>1322</v>
      </c>
      <c r="J36" s="7" t="s">
        <v>1323</v>
      </c>
      <c r="K36" s="7" t="s">
        <v>26</v>
      </c>
      <c r="L36" s="2" t="s">
        <v>1302</v>
      </c>
      <c r="M36" s="2">
        <v>8.1999999999999993</v>
      </c>
      <c r="N36" s="2"/>
    </row>
    <row r="37" spans="1:14" ht="30.75">
      <c r="A37" s="7">
        <v>45288</v>
      </c>
      <c r="B37" s="8">
        <v>118</v>
      </c>
      <c r="C37" s="7">
        <v>45259</v>
      </c>
      <c r="D37" s="2" t="s">
        <v>23</v>
      </c>
      <c r="E37" s="2" t="s">
        <v>24</v>
      </c>
      <c r="F37" s="2">
        <v>29</v>
      </c>
      <c r="G37" s="2">
        <v>20844</v>
      </c>
      <c r="H37" s="9"/>
      <c r="I37" s="9" t="s">
        <v>1324</v>
      </c>
      <c r="J37" s="9" t="s">
        <v>1325</v>
      </c>
      <c r="K37" s="2" t="s">
        <v>26</v>
      </c>
      <c r="L37" s="2"/>
      <c r="M37" s="2">
        <v>6.2</v>
      </c>
      <c r="N37" s="2"/>
    </row>
    <row r="38" spans="1:14" ht="30.75">
      <c r="A38" s="7">
        <v>45288</v>
      </c>
      <c r="B38" s="8">
        <v>118</v>
      </c>
      <c r="C38" s="7">
        <v>45288</v>
      </c>
      <c r="D38" s="2" t="s">
        <v>23</v>
      </c>
      <c r="E38" s="2" t="s">
        <v>28</v>
      </c>
      <c r="F38" s="2">
        <v>30</v>
      </c>
      <c r="G38" s="2">
        <v>21471</v>
      </c>
      <c r="H38" s="9"/>
      <c r="I38" s="9" t="s">
        <v>1326</v>
      </c>
      <c r="J38" s="9" t="s">
        <v>1327</v>
      </c>
      <c r="K38" s="2" t="s">
        <v>26</v>
      </c>
      <c r="L38" s="2"/>
      <c r="M38" s="2">
        <v>6.2</v>
      </c>
      <c r="N38" s="2"/>
    </row>
    <row r="39" spans="1:14" ht="30.75">
      <c r="A39" s="7">
        <v>45336</v>
      </c>
      <c r="B39" s="8">
        <v>118</v>
      </c>
      <c r="C39" s="7">
        <v>45321</v>
      </c>
      <c r="D39" s="2" t="s">
        <v>23</v>
      </c>
      <c r="E39" s="2" t="s">
        <v>24</v>
      </c>
      <c r="F39" s="2">
        <v>31</v>
      </c>
      <c r="G39" s="2">
        <v>22183</v>
      </c>
      <c r="H39" s="9"/>
      <c r="I39" s="9" t="s">
        <v>1328</v>
      </c>
      <c r="J39" s="9" t="s">
        <v>1329</v>
      </c>
      <c r="K39" s="2" t="s">
        <v>26</v>
      </c>
      <c r="L39" s="2"/>
      <c r="M39" s="2"/>
      <c r="N39" s="2"/>
    </row>
    <row r="40" spans="1:14" ht="30.75">
      <c r="A40" s="7">
        <v>45377</v>
      </c>
      <c r="B40" s="8">
        <v>118</v>
      </c>
      <c r="C40" s="7">
        <v>45351</v>
      </c>
      <c r="D40" s="2" t="s">
        <v>23</v>
      </c>
      <c r="E40" s="2" t="s">
        <v>24</v>
      </c>
      <c r="F40" s="2">
        <v>32</v>
      </c>
      <c r="G40" s="2">
        <v>22183</v>
      </c>
      <c r="H40" s="9"/>
      <c r="I40" s="9" t="s">
        <v>1330</v>
      </c>
      <c r="J40" s="9" t="s">
        <v>1331</v>
      </c>
      <c r="K40" s="2" t="s">
        <v>26</v>
      </c>
      <c r="L40" s="2"/>
      <c r="M40" s="2">
        <v>9.8000000000000007</v>
      </c>
      <c r="N40" s="2"/>
    </row>
    <row r="41" spans="1:14" ht="30.75">
      <c r="A41" s="7">
        <v>45405</v>
      </c>
      <c r="B41" s="8">
        <v>118</v>
      </c>
      <c r="C41" s="7">
        <v>45378</v>
      </c>
      <c r="D41" s="2" t="s">
        <v>23</v>
      </c>
      <c r="E41" s="2" t="s">
        <v>24</v>
      </c>
      <c r="F41" s="2">
        <v>33</v>
      </c>
      <c r="G41" s="2">
        <v>23614</v>
      </c>
      <c r="H41" s="9"/>
      <c r="I41" s="9" t="s">
        <v>1332</v>
      </c>
      <c r="J41" s="9" t="s">
        <v>1333</v>
      </c>
      <c r="K41" s="2" t="s">
        <v>26</v>
      </c>
      <c r="L41" s="2"/>
      <c r="M41" s="2">
        <v>6.2</v>
      </c>
      <c r="N41" s="2"/>
    </row>
    <row r="42" spans="1:14" ht="30.75">
      <c r="A42" s="7">
        <v>45405</v>
      </c>
      <c r="B42" s="8">
        <v>118</v>
      </c>
      <c r="C42" s="7">
        <v>45411</v>
      </c>
      <c r="D42" s="2" t="s">
        <v>23</v>
      </c>
      <c r="E42" s="2" t="s">
        <v>24</v>
      </c>
      <c r="F42" s="2">
        <v>34</v>
      </c>
      <c r="G42" s="2">
        <v>24396</v>
      </c>
      <c r="H42" s="9"/>
      <c r="I42" s="9" t="s">
        <v>1334</v>
      </c>
      <c r="J42" s="9" t="s">
        <v>1335</v>
      </c>
      <c r="K42" s="2" t="s">
        <v>26</v>
      </c>
      <c r="L42" s="2"/>
      <c r="M42" s="2">
        <v>9.6</v>
      </c>
      <c r="N42" s="2"/>
    </row>
    <row r="43" spans="1:14" ht="30.75">
      <c r="A43" s="7">
        <v>45471</v>
      </c>
      <c r="B43" s="8">
        <v>118</v>
      </c>
      <c r="C43" s="7">
        <v>45442</v>
      </c>
      <c r="D43" s="2" t="s">
        <v>23</v>
      </c>
      <c r="E43" s="2" t="s">
        <v>24</v>
      </c>
      <c r="F43" s="2">
        <v>35</v>
      </c>
      <c r="G43" s="2">
        <v>25115</v>
      </c>
      <c r="H43" s="9"/>
      <c r="I43" s="9" t="s">
        <v>1336</v>
      </c>
      <c r="J43" s="9" t="s">
        <v>1337</v>
      </c>
      <c r="K43" s="2" t="s">
        <v>26</v>
      </c>
      <c r="L43" s="2"/>
      <c r="M43" s="2">
        <v>8.1999999999999993</v>
      </c>
      <c r="N43" s="2"/>
    </row>
    <row r="44" spans="1:14" ht="30.75">
      <c r="A44" s="7">
        <v>45545</v>
      </c>
      <c r="B44" s="8">
        <v>118</v>
      </c>
      <c r="C44" s="7">
        <v>45470</v>
      </c>
      <c r="D44" s="2" t="s">
        <v>23</v>
      </c>
      <c r="E44" s="2" t="s">
        <v>24</v>
      </c>
      <c r="F44" s="2">
        <v>36</v>
      </c>
      <c r="G44" s="2">
        <v>25812</v>
      </c>
      <c r="H44" s="9"/>
      <c r="I44" s="9" t="s">
        <v>1338</v>
      </c>
      <c r="J44" s="9" t="s">
        <v>1339</v>
      </c>
      <c r="K44" s="2" t="s">
        <v>26</v>
      </c>
      <c r="L44" s="2"/>
      <c r="M44" s="2">
        <v>6.8</v>
      </c>
      <c r="N44" s="2"/>
    </row>
    <row r="45" spans="1:14" ht="30.75">
      <c r="A45" s="7">
        <v>45545</v>
      </c>
      <c r="B45" s="8">
        <v>118</v>
      </c>
      <c r="C45" s="7">
        <v>45503</v>
      </c>
      <c r="D45" s="2" t="s">
        <v>23</v>
      </c>
      <c r="E45" s="2" t="s">
        <v>24</v>
      </c>
      <c r="F45" s="2">
        <v>37</v>
      </c>
      <c r="G45" s="2">
        <v>26637</v>
      </c>
      <c r="H45" s="9"/>
      <c r="I45" s="9" t="s">
        <v>1340</v>
      </c>
      <c r="J45" s="9" t="s">
        <v>1341</v>
      </c>
      <c r="K45" s="2" t="s">
        <v>26</v>
      </c>
      <c r="L45" s="2"/>
      <c r="M45" s="2">
        <v>12.8</v>
      </c>
      <c r="N45" s="2"/>
    </row>
    <row r="46" spans="1:14" ht="30.75">
      <c r="A46" s="7">
        <v>45545</v>
      </c>
      <c r="B46" s="8">
        <v>118</v>
      </c>
      <c r="C46" s="7">
        <v>45535</v>
      </c>
      <c r="D46" s="2" t="s">
        <v>23</v>
      </c>
      <c r="E46" s="2" t="s">
        <v>24</v>
      </c>
      <c r="F46" s="2">
        <v>38</v>
      </c>
      <c r="G46" s="2">
        <v>27463</v>
      </c>
      <c r="H46" s="9"/>
      <c r="I46" s="9" t="s">
        <v>1342</v>
      </c>
      <c r="J46" s="9" t="s">
        <v>1343</v>
      </c>
      <c r="K46" s="2" t="s">
        <v>26</v>
      </c>
      <c r="L46" s="2"/>
      <c r="M46" s="2">
        <v>8</v>
      </c>
      <c r="N46" s="2"/>
    </row>
    <row r="47" spans="1:14" ht="30.75">
      <c r="A47" s="7">
        <v>45593</v>
      </c>
      <c r="B47" s="8">
        <v>118</v>
      </c>
      <c r="C47" s="7">
        <v>45565</v>
      </c>
      <c r="D47" s="2" t="s">
        <v>23</v>
      </c>
      <c r="E47" s="2" t="s">
        <v>24</v>
      </c>
      <c r="F47" s="2">
        <v>38</v>
      </c>
      <c r="G47" s="2">
        <v>28260</v>
      </c>
      <c r="H47" s="9"/>
      <c r="I47" s="9" t="s">
        <v>1344</v>
      </c>
      <c r="J47" s="9" t="s">
        <v>1345</v>
      </c>
      <c r="K47" s="2" t="s">
        <v>26</v>
      </c>
      <c r="L47" s="2"/>
      <c r="M47" s="2">
        <v>7.5</v>
      </c>
      <c r="N47" s="2"/>
    </row>
    <row r="48" spans="1:14" ht="30.75">
      <c r="A48" s="7">
        <v>45649</v>
      </c>
      <c r="B48" s="8">
        <v>118</v>
      </c>
      <c r="C48" s="7">
        <v>45596</v>
      </c>
      <c r="D48" s="2" t="s">
        <v>23</v>
      </c>
      <c r="E48" s="2" t="s">
        <v>24</v>
      </c>
      <c r="F48" s="2">
        <v>39</v>
      </c>
      <c r="G48" s="2">
        <v>29100</v>
      </c>
      <c r="H48" s="9"/>
      <c r="I48" s="9" t="s">
        <v>1346</v>
      </c>
      <c r="J48" s="9" t="s">
        <v>1347</v>
      </c>
      <c r="K48" s="2" t="s">
        <v>72</v>
      </c>
      <c r="L48" s="2"/>
      <c r="M48" s="2">
        <v>12.5</v>
      </c>
      <c r="N48" s="2"/>
    </row>
    <row r="49" spans="1:14" ht="30.75">
      <c r="A49" s="7">
        <v>45649</v>
      </c>
      <c r="B49" s="8">
        <v>118</v>
      </c>
      <c r="C49" s="7">
        <v>45626</v>
      </c>
      <c r="D49" s="2" t="s">
        <v>23</v>
      </c>
      <c r="E49" s="2" t="s">
        <v>24</v>
      </c>
      <c r="F49" s="2">
        <v>40</v>
      </c>
      <c r="G49" s="2">
        <v>29887</v>
      </c>
      <c r="H49" s="9"/>
      <c r="I49" s="9" t="s">
        <v>1348</v>
      </c>
      <c r="J49" s="9" t="s">
        <v>1349</v>
      </c>
      <c r="K49" s="2" t="s">
        <v>72</v>
      </c>
      <c r="L49" s="2"/>
      <c r="M49" s="2">
        <v>10.5</v>
      </c>
      <c r="N49" s="2"/>
    </row>
    <row r="50" spans="1:14" ht="30.75">
      <c r="A50" s="7">
        <v>45695</v>
      </c>
      <c r="B50" s="8">
        <v>118</v>
      </c>
      <c r="C50" s="7">
        <v>46021</v>
      </c>
      <c r="D50" s="2" t="s">
        <v>23</v>
      </c>
      <c r="E50" s="2" t="s">
        <v>24</v>
      </c>
      <c r="F50" s="2">
        <v>41</v>
      </c>
      <c r="G50" s="2">
        <v>30617</v>
      </c>
      <c r="H50" s="9"/>
      <c r="I50" s="9" t="s">
        <v>1350</v>
      </c>
      <c r="J50" s="9" t="s">
        <v>1351</v>
      </c>
      <c r="K50" s="2" t="s">
        <v>26</v>
      </c>
      <c r="L50" s="2"/>
      <c r="M50" s="2">
        <v>20.5</v>
      </c>
      <c r="N50" s="2"/>
    </row>
    <row r="51" spans="1:14" ht="30.75">
      <c r="A51" s="7">
        <v>45695</v>
      </c>
      <c r="B51" s="8">
        <v>118</v>
      </c>
      <c r="C51" s="7">
        <v>45687</v>
      </c>
      <c r="D51" s="2" t="s">
        <v>23</v>
      </c>
      <c r="E51" s="2" t="s">
        <v>24</v>
      </c>
      <c r="F51" s="2">
        <v>42</v>
      </c>
      <c r="G51" s="2">
        <v>31516</v>
      </c>
      <c r="H51" s="9"/>
      <c r="I51" s="9" t="s">
        <v>1352</v>
      </c>
      <c r="J51" s="9"/>
      <c r="K51" s="2" t="s">
        <v>26</v>
      </c>
      <c r="L51" s="2"/>
      <c r="M51" s="2">
        <v>10.5</v>
      </c>
      <c r="N51" s="2"/>
    </row>
    <row r="52" spans="1:14" ht="30.75">
      <c r="A52" s="7">
        <v>45695</v>
      </c>
      <c r="B52" s="8">
        <v>118</v>
      </c>
      <c r="C52" s="7">
        <v>45716</v>
      </c>
      <c r="D52" s="2" t="s">
        <v>23</v>
      </c>
      <c r="E52" s="2" t="s">
        <v>24</v>
      </c>
      <c r="F52" s="2">
        <v>43</v>
      </c>
      <c r="G52" s="2">
        <v>33172</v>
      </c>
      <c r="H52" s="9"/>
      <c r="I52" s="9" t="s">
        <v>1353</v>
      </c>
      <c r="J52" s="9"/>
      <c r="K52" s="2" t="s">
        <v>26</v>
      </c>
      <c r="L52" s="2"/>
      <c r="M52" s="2">
        <v>13.5</v>
      </c>
      <c r="N52" s="2"/>
    </row>
    <row r="53" spans="1:14" ht="30.75">
      <c r="A53" s="7">
        <v>45695</v>
      </c>
      <c r="B53" s="8">
        <v>118</v>
      </c>
      <c r="C53" s="7">
        <v>45747</v>
      </c>
      <c r="D53" s="2" t="s">
        <v>23</v>
      </c>
      <c r="E53" s="2" t="s">
        <v>24</v>
      </c>
      <c r="F53" s="2">
        <v>44</v>
      </c>
      <c r="G53" s="2">
        <v>33173</v>
      </c>
      <c r="H53" s="9"/>
      <c r="I53" s="9" t="s">
        <v>1354</v>
      </c>
      <c r="J53" s="9"/>
      <c r="K53" s="2" t="s">
        <v>26</v>
      </c>
      <c r="L53" s="2"/>
      <c r="M53" s="2">
        <v>13.5</v>
      </c>
      <c r="N53" s="2"/>
    </row>
    <row r="54" spans="1:14" ht="30.75">
      <c r="A54" s="7">
        <v>45783</v>
      </c>
      <c r="B54" s="8">
        <v>118</v>
      </c>
      <c r="C54" s="7">
        <v>45777</v>
      </c>
      <c r="D54" s="2" t="s">
        <v>23</v>
      </c>
      <c r="E54" s="2" t="s">
        <v>24</v>
      </c>
      <c r="F54" s="2">
        <v>45</v>
      </c>
      <c r="G54" s="2">
        <v>34033</v>
      </c>
      <c r="H54" s="9"/>
      <c r="I54" s="9" t="s">
        <v>1355</v>
      </c>
      <c r="J54" s="9"/>
      <c r="K54" s="2" t="s">
        <v>73</v>
      </c>
      <c r="L54" s="2"/>
      <c r="M54" s="2">
        <v>13.5</v>
      </c>
      <c r="N54" s="2"/>
    </row>
    <row r="55" spans="1:14" ht="30.75">
      <c r="A55" s="7">
        <v>45817</v>
      </c>
      <c r="B55" s="8">
        <v>118</v>
      </c>
      <c r="C55" s="7">
        <v>45808</v>
      </c>
      <c r="D55" s="2" t="s">
        <v>23</v>
      </c>
      <c r="E55" s="2" t="s">
        <v>24</v>
      </c>
      <c r="F55" s="2">
        <v>46</v>
      </c>
      <c r="G55" s="2">
        <v>34864</v>
      </c>
      <c r="H55" s="9"/>
      <c r="I55" s="9" t="s">
        <v>1356</v>
      </c>
      <c r="J55" s="9"/>
      <c r="K55" s="2" t="s">
        <v>73</v>
      </c>
      <c r="L55" s="2"/>
      <c r="M55" s="2">
        <v>18.2</v>
      </c>
      <c r="N55" s="2"/>
    </row>
    <row r="56" spans="1:14" ht="30.75">
      <c r="A56" s="7">
        <v>45845</v>
      </c>
      <c r="B56" s="8">
        <v>118</v>
      </c>
      <c r="C56" s="7">
        <v>45835</v>
      </c>
      <c r="D56" s="2" t="s">
        <v>23</v>
      </c>
      <c r="E56" s="2" t="s">
        <v>24</v>
      </c>
      <c r="F56" s="2">
        <v>47</v>
      </c>
      <c r="G56" s="2">
        <v>35681</v>
      </c>
      <c r="H56" s="9"/>
      <c r="I56" s="9" t="s">
        <v>1357</v>
      </c>
      <c r="J56" s="9"/>
      <c r="K56" s="2" t="s">
        <v>73</v>
      </c>
      <c r="L56" s="2"/>
      <c r="M56" s="2">
        <v>15.4</v>
      </c>
      <c r="N56" s="2"/>
    </row>
    <row r="57" spans="1:14" ht="30.75">
      <c r="A57" s="7">
        <v>45876</v>
      </c>
      <c r="B57" s="8">
        <v>118</v>
      </c>
      <c r="C57" s="7">
        <v>45868</v>
      </c>
      <c r="D57" s="2" t="s">
        <v>23</v>
      </c>
      <c r="E57" s="2" t="s">
        <v>24</v>
      </c>
      <c r="F57" s="2">
        <v>48</v>
      </c>
      <c r="G57" s="2">
        <v>36495</v>
      </c>
      <c r="H57" s="9"/>
      <c r="I57" s="9" t="s">
        <v>1358</v>
      </c>
      <c r="J57" s="9"/>
      <c r="K57" s="2" t="s">
        <v>73</v>
      </c>
      <c r="L57" s="2"/>
      <c r="M57" s="2">
        <v>17</v>
      </c>
      <c r="N57" s="2"/>
    </row>
    <row r="58" spans="1:14" ht="30.75">
      <c r="A58" s="7">
        <v>45925</v>
      </c>
      <c r="B58" s="8">
        <v>118</v>
      </c>
      <c r="C58" s="7">
        <v>45898</v>
      </c>
      <c r="D58" s="2" t="s">
        <v>23</v>
      </c>
      <c r="E58" s="2" t="s">
        <v>24</v>
      </c>
      <c r="F58" s="2">
        <v>49</v>
      </c>
      <c r="G58" s="2">
        <v>37257</v>
      </c>
      <c r="H58" s="9"/>
      <c r="I58" s="9" t="s">
        <v>1359</v>
      </c>
      <c r="J58" s="9"/>
      <c r="K58" s="2" t="s">
        <v>72</v>
      </c>
      <c r="L58" s="2"/>
      <c r="M58" s="2">
        <v>10.5</v>
      </c>
      <c r="N58" s="2"/>
    </row>
    <row r="59" spans="1:14" ht="30.75">
      <c r="A59" s="7">
        <v>45967</v>
      </c>
      <c r="B59" s="8">
        <v>118</v>
      </c>
      <c r="C59" s="7">
        <v>45930</v>
      </c>
      <c r="D59" s="2" t="s">
        <v>23</v>
      </c>
      <c r="E59" s="2" t="s">
        <v>24</v>
      </c>
      <c r="F59" s="2">
        <v>50</v>
      </c>
      <c r="G59" s="2">
        <v>38142</v>
      </c>
      <c r="H59" s="9"/>
      <c r="I59" s="9" t="s">
        <v>1360</v>
      </c>
      <c r="J59" s="9"/>
      <c r="K59" s="2" t="s">
        <v>72</v>
      </c>
      <c r="L59" s="2"/>
      <c r="M59" s="2">
        <v>11.5</v>
      </c>
      <c r="N59" s="2"/>
    </row>
    <row r="60" spans="1:14" ht="30.75">
      <c r="A60" s="7">
        <v>45967</v>
      </c>
      <c r="B60" s="8">
        <v>118</v>
      </c>
      <c r="C60" s="7">
        <v>45961</v>
      </c>
      <c r="D60" s="2" t="s">
        <v>23</v>
      </c>
      <c r="E60" s="2" t="s">
        <v>24</v>
      </c>
      <c r="F60" s="2">
        <v>51</v>
      </c>
      <c r="G60" s="2">
        <v>38982</v>
      </c>
      <c r="H60" s="9"/>
      <c r="I60" s="9" t="s">
        <v>1361</v>
      </c>
      <c r="J60" s="9"/>
      <c r="K60" s="2" t="s">
        <v>72</v>
      </c>
      <c r="L60" s="2"/>
      <c r="M60" s="2">
        <v>10</v>
      </c>
      <c r="N60" s="2"/>
    </row>
    <row r="61" spans="1:14" ht="30.75">
      <c r="A61" s="7">
        <v>46008</v>
      </c>
      <c r="B61" s="8">
        <v>118</v>
      </c>
      <c r="C61" s="7">
        <v>45989</v>
      </c>
      <c r="D61" s="2" t="s">
        <v>23</v>
      </c>
      <c r="E61" s="2" t="s">
        <v>24</v>
      </c>
      <c r="F61" s="2">
        <v>52</v>
      </c>
      <c r="G61" s="2">
        <v>39843</v>
      </c>
      <c r="H61" s="9"/>
      <c r="I61" s="9" t="s">
        <v>1362</v>
      </c>
      <c r="J61" s="9"/>
      <c r="K61" s="2" t="s">
        <v>72</v>
      </c>
      <c r="L61" s="2"/>
      <c r="M61" s="2">
        <v>8.1999999999999993</v>
      </c>
      <c r="N61" s="2"/>
    </row>
    <row r="62" spans="1:14" ht="30.75">
      <c r="A62" s="2" t="s">
        <v>1363</v>
      </c>
      <c r="B62" s="8">
        <v>118</v>
      </c>
      <c r="C62" s="7">
        <v>46020</v>
      </c>
      <c r="D62" s="2" t="s">
        <v>23</v>
      </c>
      <c r="E62" s="2" t="s">
        <v>24</v>
      </c>
      <c r="F62" s="2">
        <v>53</v>
      </c>
      <c r="G62" s="2">
        <v>40640</v>
      </c>
      <c r="H62" s="9"/>
      <c r="I62" s="9" t="s">
        <v>1364</v>
      </c>
      <c r="J62" s="9"/>
      <c r="K62" s="2" t="s">
        <v>72</v>
      </c>
      <c r="L62" s="2"/>
      <c r="M62" s="2">
        <v>9</v>
      </c>
      <c r="N62" s="2"/>
    </row>
    <row r="63" spans="1:14" ht="30.75">
      <c r="A63" s="121">
        <v>46044</v>
      </c>
      <c r="B63" s="8">
        <v>90</v>
      </c>
      <c r="C63" s="7">
        <v>46053</v>
      </c>
      <c r="D63" s="2" t="s">
        <v>23</v>
      </c>
      <c r="E63" s="2" t="s">
        <v>24</v>
      </c>
      <c r="F63" s="2">
        <v>54</v>
      </c>
      <c r="G63" s="2">
        <v>41829</v>
      </c>
      <c r="H63" s="9"/>
      <c r="I63" s="9" t="s">
        <v>1365</v>
      </c>
      <c r="J63" s="9"/>
      <c r="K63" s="2" t="s">
        <v>72</v>
      </c>
      <c r="L63" s="2"/>
      <c r="M63" s="2">
        <v>9.5</v>
      </c>
      <c r="N63" s="2"/>
    </row>
    <row r="64" spans="1:14" ht="30.75">
      <c r="A64" s="7">
        <v>46086</v>
      </c>
      <c r="B64" s="8">
        <v>90</v>
      </c>
      <c r="C64" s="7">
        <v>46081</v>
      </c>
      <c r="D64" s="2" t="s">
        <v>23</v>
      </c>
      <c r="E64" s="2" t="s">
        <v>24</v>
      </c>
      <c r="F64" s="2">
        <v>55</v>
      </c>
      <c r="G64" s="2">
        <v>42416</v>
      </c>
      <c r="H64" s="2"/>
      <c r="I64" s="2">
        <v>58390</v>
      </c>
      <c r="J64" s="9"/>
      <c r="K64" s="2" t="s">
        <v>72</v>
      </c>
      <c r="L64" s="2"/>
      <c r="M64" s="2">
        <v>9.5</v>
      </c>
      <c r="N64" s="2"/>
    </row>
    <row r="65" spans="1:14" ht="30.75">
      <c r="A65" s="7">
        <v>46120</v>
      </c>
      <c r="B65" s="8">
        <v>90</v>
      </c>
      <c r="C65" s="7">
        <v>46112</v>
      </c>
      <c r="D65" s="2" t="s">
        <v>23</v>
      </c>
      <c r="E65" s="2" t="s">
        <v>24</v>
      </c>
      <c r="F65" s="2">
        <v>56</v>
      </c>
      <c r="G65" s="2">
        <v>43257</v>
      </c>
      <c r="H65" s="2"/>
      <c r="I65" s="2">
        <v>59567</v>
      </c>
      <c r="J65" s="101" t="s">
        <v>1366</v>
      </c>
      <c r="K65" s="2" t="s">
        <v>72</v>
      </c>
      <c r="L65" s="2"/>
      <c r="M65" s="2">
        <v>10</v>
      </c>
      <c r="N65" s="100" t="s">
        <v>76</v>
      </c>
    </row>
    <row r="66" spans="1:14" ht="30.75">
      <c r="A66" s="7">
        <v>46171</v>
      </c>
      <c r="B66" s="8">
        <v>90</v>
      </c>
      <c r="C66" s="7">
        <v>46142</v>
      </c>
      <c r="D66" s="2" t="s">
        <v>23</v>
      </c>
      <c r="E66" s="2" t="s">
        <v>24</v>
      </c>
      <c r="F66" s="2">
        <v>57</v>
      </c>
      <c r="G66" s="2">
        <v>44105</v>
      </c>
      <c r="H66" s="2"/>
      <c r="I66" s="2">
        <v>60980</v>
      </c>
      <c r="J66" s="9"/>
      <c r="K66" s="2" t="s">
        <v>72</v>
      </c>
      <c r="L66" s="2"/>
      <c r="M66" s="2">
        <v>10</v>
      </c>
      <c r="N66" s="2"/>
    </row>
    <row r="67" spans="1:14" ht="30.75">
      <c r="A67" s="7">
        <v>46171</v>
      </c>
      <c r="B67" s="8">
        <v>90</v>
      </c>
      <c r="C67" s="2"/>
      <c r="D67" s="2" t="s">
        <v>23</v>
      </c>
      <c r="E67" s="2" t="s">
        <v>24</v>
      </c>
      <c r="F67" s="2">
        <v>58</v>
      </c>
      <c r="G67" s="2">
        <v>44859</v>
      </c>
      <c r="H67" s="2"/>
      <c r="I67" s="2"/>
      <c r="J67" s="9"/>
      <c r="K67" s="2" t="s">
        <v>72</v>
      </c>
      <c r="L67" s="2"/>
      <c r="M67" s="2"/>
      <c r="N67" s="2"/>
    </row>
    <row r="68" spans="1:14" ht="30.75">
      <c r="A68" s="2"/>
      <c r="B68" s="2"/>
      <c r="C68" s="2"/>
      <c r="D68" s="2" t="s">
        <v>23</v>
      </c>
      <c r="E68" s="2" t="s">
        <v>24</v>
      </c>
      <c r="F68" s="2">
        <v>59</v>
      </c>
      <c r="G68" s="2"/>
      <c r="H68" s="2"/>
      <c r="I68" s="2"/>
      <c r="J68" s="9"/>
      <c r="K68" s="2"/>
      <c r="L68" s="2"/>
      <c r="M68" s="2"/>
      <c r="N68" s="2"/>
    </row>
    <row r="69" spans="1:14" ht="30.75">
      <c r="A69" s="2"/>
      <c r="B69" s="2"/>
      <c r="C69" s="2"/>
      <c r="D69" s="2" t="s">
        <v>23</v>
      </c>
      <c r="E69" s="2"/>
      <c r="F69" s="2"/>
      <c r="G69" s="2"/>
      <c r="H69" s="2"/>
      <c r="I69" s="2"/>
      <c r="J69" s="9"/>
      <c r="K69" s="2"/>
      <c r="L69" s="2"/>
      <c r="M69" s="2"/>
      <c r="N69" s="2"/>
    </row>
    <row r="70" spans="1:14" ht="30.75">
      <c r="A70" s="2"/>
      <c r="B70" s="2"/>
      <c r="C70" s="2"/>
      <c r="D70" s="2" t="s">
        <v>23</v>
      </c>
      <c r="E70" s="2"/>
      <c r="F70" s="2"/>
      <c r="G70" s="2"/>
      <c r="H70" s="2"/>
      <c r="I70" s="2"/>
      <c r="J70" s="9"/>
      <c r="K70" s="2"/>
      <c r="L70" s="2"/>
      <c r="M70" s="2"/>
      <c r="N70" s="2"/>
    </row>
    <row r="71" spans="1:14" ht="30.75">
      <c r="A71" s="2"/>
      <c r="B71" s="2"/>
      <c r="C71" s="2"/>
      <c r="D71" s="2" t="s">
        <v>23</v>
      </c>
      <c r="E71" s="2"/>
      <c r="F71" s="2"/>
      <c r="G71" s="2"/>
      <c r="H71" s="2"/>
      <c r="I71" s="2"/>
      <c r="J71" s="9"/>
      <c r="K71" s="2"/>
      <c r="L71" s="2"/>
      <c r="M71" s="2"/>
      <c r="N71" s="2"/>
    </row>
    <row r="72" spans="1:14" ht="30.75">
      <c r="A72" s="2"/>
      <c r="B72" s="2"/>
      <c r="C72" s="2"/>
      <c r="D72" s="2" t="s">
        <v>23</v>
      </c>
      <c r="E72" s="2"/>
      <c r="F72" s="2"/>
      <c r="G72" s="2"/>
      <c r="H72" s="2"/>
      <c r="I72" s="2"/>
      <c r="J72" s="9"/>
      <c r="K72" s="2"/>
      <c r="L72" s="2"/>
      <c r="M72" s="2"/>
      <c r="N72" s="2"/>
    </row>
    <row r="73" spans="1:14" ht="30.75">
      <c r="A73" s="2"/>
      <c r="B73" s="2"/>
      <c r="C73" s="2"/>
      <c r="D73" s="2" t="s">
        <v>23</v>
      </c>
      <c r="E73" s="2"/>
      <c r="F73" s="2"/>
      <c r="G73" s="2"/>
      <c r="H73" s="2"/>
      <c r="I73" s="2"/>
      <c r="J73" s="9"/>
      <c r="K73" s="2"/>
      <c r="L73" s="2"/>
      <c r="M73" s="2"/>
      <c r="N73" s="2"/>
    </row>
    <row r="74" spans="1:14" ht="30.75">
      <c r="A74" s="2"/>
      <c r="B74" s="2"/>
      <c r="C74" s="2"/>
      <c r="D74" s="2" t="s">
        <v>23</v>
      </c>
      <c r="E74" s="2"/>
      <c r="F74" s="2"/>
      <c r="G74" s="2"/>
      <c r="H74" s="2"/>
      <c r="I74" s="2"/>
      <c r="J74" s="9"/>
      <c r="K74" s="2"/>
      <c r="L74" s="2"/>
      <c r="M74" s="2"/>
      <c r="N74" s="2"/>
    </row>
    <row r="75" spans="1:14" ht="30.75">
      <c r="A75" s="2"/>
      <c r="B75" s="2"/>
      <c r="C75" s="2"/>
      <c r="D75" s="2" t="s">
        <v>23</v>
      </c>
      <c r="E75" s="2"/>
      <c r="F75" s="2"/>
      <c r="G75" s="2"/>
      <c r="H75" s="2"/>
      <c r="I75" s="2"/>
      <c r="J75" s="9"/>
      <c r="K75" s="2"/>
      <c r="L75" s="2"/>
      <c r="M75" s="2"/>
      <c r="N75" s="2"/>
    </row>
    <row r="76" spans="1:14" ht="30.75">
      <c r="A76" s="2"/>
      <c r="B76" s="2"/>
      <c r="C76" s="2"/>
      <c r="D76" s="2" t="s">
        <v>23</v>
      </c>
      <c r="E76" s="2"/>
      <c r="F76" s="2"/>
      <c r="G76" s="2"/>
      <c r="H76" s="2"/>
      <c r="I76" s="2"/>
      <c r="J76" s="9"/>
      <c r="K76" s="2"/>
      <c r="L76" s="2"/>
      <c r="M76" s="2"/>
      <c r="N76" s="2"/>
    </row>
    <row r="77" spans="1:14" ht="30.75">
      <c r="A77" s="2"/>
      <c r="B77" s="2"/>
      <c r="C77" s="2"/>
      <c r="D77" s="2" t="s">
        <v>23</v>
      </c>
      <c r="E77" s="2"/>
      <c r="F77" s="2"/>
      <c r="G77" s="2"/>
      <c r="H77" s="2"/>
      <c r="I77" s="2"/>
      <c r="J77" s="9"/>
      <c r="K77" s="2"/>
      <c r="L77" s="2"/>
      <c r="M77" s="2"/>
      <c r="N77" s="2"/>
    </row>
    <row r="78" spans="1:14" ht="30.75">
      <c r="A78" s="2"/>
      <c r="B78" s="2"/>
      <c r="C78" s="2"/>
      <c r="D78" s="2" t="s">
        <v>23</v>
      </c>
      <c r="E78" s="2"/>
      <c r="F78" s="2"/>
      <c r="G78" s="2"/>
      <c r="H78" s="2"/>
      <c r="I78" s="2"/>
      <c r="J78" s="9"/>
      <c r="K78" s="2"/>
      <c r="L78" s="2"/>
      <c r="M78" s="2"/>
      <c r="N78" s="2"/>
    </row>
    <row r="79" spans="1:14" ht="30.75">
      <c r="A79" s="2"/>
      <c r="B79" s="2"/>
      <c r="C79" s="2"/>
      <c r="D79" s="2" t="s">
        <v>23</v>
      </c>
      <c r="E79" s="2"/>
      <c r="F79" s="2"/>
      <c r="G79" s="2"/>
      <c r="H79" s="2"/>
      <c r="I79" s="2"/>
      <c r="J79" s="9"/>
      <c r="K79" s="2"/>
      <c r="L79" s="2"/>
      <c r="M79" s="2"/>
      <c r="N79" s="2"/>
    </row>
    <row r="80" spans="1:14" ht="30.75">
      <c r="A80" s="2"/>
      <c r="B80" s="2"/>
      <c r="C80" s="2"/>
      <c r="D80" s="2" t="s">
        <v>23</v>
      </c>
      <c r="E80" s="2"/>
      <c r="F80" s="2"/>
      <c r="G80" s="2"/>
      <c r="H80" s="2"/>
      <c r="I80" s="2"/>
      <c r="J80" s="9"/>
      <c r="K80" s="2"/>
      <c r="L80" s="2"/>
      <c r="M80" s="2"/>
      <c r="N80" s="2"/>
    </row>
    <row r="81" spans="1:14" ht="30.75">
      <c r="A81" s="2"/>
      <c r="B81" s="2"/>
      <c r="C81" s="2"/>
      <c r="D81" s="2" t="s">
        <v>23</v>
      </c>
      <c r="E81" s="2"/>
      <c r="F81" s="2"/>
      <c r="G81" s="2"/>
      <c r="H81" s="2"/>
      <c r="I81" s="2"/>
      <c r="J81" s="9"/>
      <c r="K81" s="2"/>
      <c r="L81" s="2"/>
      <c r="M81" s="2"/>
      <c r="N81" s="2"/>
    </row>
    <row r="82" spans="1:14" ht="30.75">
      <c r="A82" s="2"/>
      <c r="B82" s="2"/>
      <c r="C82" s="2"/>
      <c r="D82" s="2" t="s">
        <v>23</v>
      </c>
      <c r="E82" s="2"/>
      <c r="F82" s="2"/>
      <c r="G82" s="2"/>
      <c r="H82" s="2"/>
      <c r="I82" s="2"/>
      <c r="J82" s="9"/>
      <c r="K82" s="2"/>
      <c r="L82" s="2"/>
      <c r="M82" s="2"/>
      <c r="N82" s="2"/>
    </row>
    <row r="83" spans="1:14" ht="30.75">
      <c r="A83" s="2"/>
      <c r="B83" s="2"/>
      <c r="C83" s="2"/>
      <c r="D83" s="2" t="s">
        <v>23</v>
      </c>
      <c r="E83" s="2"/>
      <c r="F83" s="2"/>
      <c r="G83" s="2"/>
      <c r="H83" s="2"/>
      <c r="I83" s="2"/>
      <c r="J83" s="9"/>
      <c r="K83" s="2"/>
      <c r="L83" s="2"/>
      <c r="M83" s="2"/>
      <c r="N83" s="2"/>
    </row>
    <row r="84" spans="1:14" ht="30.75">
      <c r="A84" s="2"/>
      <c r="B84" s="2"/>
      <c r="C84" s="2"/>
      <c r="D84" s="2" t="s">
        <v>23</v>
      </c>
      <c r="E84" s="2"/>
      <c r="F84" s="2"/>
      <c r="G84" s="2"/>
      <c r="H84" s="2"/>
      <c r="I84" s="2"/>
      <c r="J84" s="9"/>
      <c r="K84" s="2"/>
      <c r="L84" s="2"/>
      <c r="M84" s="2"/>
      <c r="N84" s="2"/>
    </row>
  </sheetData>
  <mergeCells count="7">
    <mergeCell ref="C6:E6"/>
    <mergeCell ref="L2:M3"/>
    <mergeCell ref="A1:I1"/>
    <mergeCell ref="G2:K2"/>
    <mergeCell ref="C5:E5"/>
    <mergeCell ref="F5:H5"/>
    <mergeCell ref="K5:M5"/>
  </mergeCells>
  <dataValidations count="1">
    <dataValidation type="list" allowBlank="1" showInputMessage="1" showErrorMessage="1" sqref="E8:E84" xr:uid="{00000000-0002-0000-0C00-000000000000}">
      <formula1>"EFECTIVO, CHEQUE, TRANSFERENCIA,DEPOSITO"</formula1>
    </dataValidation>
  </dataValidations>
  <hyperlinks>
    <hyperlink ref="B4" r:id="rId1" xr:uid="{00000000-0004-0000-0C00-000000000000}"/>
  </hyperlinks>
  <pageMargins left="0.7" right="0.7" top="0.75" bottom="0.75" header="0.3" footer="0.3"/>
  <pageSetup orientation="portrait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09C6-C109-4A2E-83A3-A643CAB7F9FE}">
  <dimension ref="A1:M79"/>
  <sheetViews>
    <sheetView topLeftCell="A56" workbookViewId="0">
      <selection activeCell="O66" sqref="O66"/>
    </sheetView>
  </sheetViews>
  <sheetFormatPr defaultColWidth="11.42578125" defaultRowHeight="15"/>
  <cols>
    <col min="2" max="2" width="14.140625" customWidth="1"/>
    <col min="3" max="3" width="20.85546875" customWidth="1"/>
    <col min="14" max="14" width="29.28515625" bestFit="1" customWidth="1"/>
  </cols>
  <sheetData>
    <row r="1" spans="1:13" ht="23.25">
      <c r="A1" s="712" t="s">
        <v>1367</v>
      </c>
      <c r="B1" s="712"/>
      <c r="C1" s="712"/>
      <c r="D1" s="712"/>
      <c r="E1" s="712"/>
      <c r="F1" s="712"/>
      <c r="G1" s="712"/>
      <c r="H1" s="712"/>
      <c r="I1" s="712"/>
    </row>
    <row r="2" spans="1:13" ht="30.75">
      <c r="A2" s="2" t="s">
        <v>93</v>
      </c>
      <c r="G2" s="651"/>
      <c r="H2" s="651"/>
      <c r="I2" s="651"/>
      <c r="J2" s="651"/>
    </row>
    <row r="3" spans="1:13">
      <c r="A3" s="2" t="s">
        <v>1</v>
      </c>
      <c r="B3">
        <v>20606364319</v>
      </c>
      <c r="C3" s="294" t="s">
        <v>36</v>
      </c>
      <c r="D3" s="639" t="s">
        <v>1368</v>
      </c>
      <c r="E3" s="639"/>
      <c r="F3" s="639"/>
      <c r="G3" s="639"/>
      <c r="H3" s="639"/>
    </row>
    <row r="4" spans="1:13" ht="23.25" customHeight="1">
      <c r="A4" s="4" t="s">
        <v>2</v>
      </c>
      <c r="B4" s="16" t="s">
        <v>1369</v>
      </c>
      <c r="E4" s="26"/>
      <c r="F4" s="95"/>
      <c r="G4" s="98" t="s">
        <v>1370</v>
      </c>
      <c r="H4" s="98"/>
      <c r="I4" s="98"/>
      <c r="J4" s="98"/>
      <c r="K4" s="35"/>
      <c r="L4" s="35"/>
    </row>
    <row r="5" spans="1:13" ht="47.25">
      <c r="A5" s="17" t="s">
        <v>4</v>
      </c>
      <c r="B5" s="18">
        <v>45699</v>
      </c>
      <c r="C5" s="704" t="s">
        <v>1371</v>
      </c>
      <c r="D5" s="704"/>
      <c r="E5" s="704"/>
      <c r="F5" s="713" t="s">
        <v>1372</v>
      </c>
      <c r="G5" s="713"/>
      <c r="H5" s="713"/>
      <c r="I5" s="35" t="s">
        <v>1373</v>
      </c>
      <c r="J5" s="714"/>
      <c r="K5" s="714"/>
      <c r="L5" s="714"/>
    </row>
    <row r="6" spans="1:13" ht="18.75">
      <c r="A6" s="97"/>
      <c r="B6" s="97"/>
      <c r="C6" s="683" t="s">
        <v>1125</v>
      </c>
      <c r="D6" s="684"/>
      <c r="E6" s="685"/>
      <c r="F6" s="97"/>
      <c r="G6" s="97"/>
      <c r="H6" s="97"/>
      <c r="I6" s="97"/>
      <c r="J6" s="97"/>
      <c r="K6" s="35"/>
      <c r="L6" s="35"/>
    </row>
    <row r="7" spans="1:13" ht="57">
      <c r="A7" s="19" t="s">
        <v>7</v>
      </c>
      <c r="B7" s="19" t="s">
        <v>8</v>
      </c>
      <c r="C7" s="19" t="s">
        <v>10</v>
      </c>
      <c r="D7" s="19" t="s">
        <v>11</v>
      </c>
      <c r="E7" s="19" t="s">
        <v>12</v>
      </c>
      <c r="F7" s="19" t="s">
        <v>342</v>
      </c>
      <c r="G7" s="19" t="s">
        <v>14</v>
      </c>
      <c r="H7" s="19" t="s">
        <v>343</v>
      </c>
      <c r="I7" s="19" t="s">
        <v>16</v>
      </c>
      <c r="J7" s="19" t="s">
        <v>18</v>
      </c>
      <c r="K7" s="19" t="s">
        <v>99</v>
      </c>
      <c r="L7" s="406" t="s">
        <v>19</v>
      </c>
      <c r="M7" s="406" t="s">
        <v>17</v>
      </c>
    </row>
    <row r="8" spans="1:13" ht="30.75">
      <c r="A8" s="7">
        <v>44275</v>
      </c>
      <c r="B8" s="8">
        <v>200</v>
      </c>
      <c r="C8" s="7">
        <v>44347</v>
      </c>
      <c r="D8" s="2" t="s">
        <v>23</v>
      </c>
      <c r="E8" s="2" t="s">
        <v>24</v>
      </c>
      <c r="F8" s="2">
        <v>6</v>
      </c>
      <c r="G8" s="504" t="s">
        <v>1374</v>
      </c>
      <c r="H8" s="9" t="s">
        <v>1375</v>
      </c>
      <c r="I8" s="9" t="s">
        <v>1376</v>
      </c>
      <c r="J8" s="2" t="s">
        <v>26</v>
      </c>
      <c r="K8" s="2"/>
      <c r="L8" s="2"/>
      <c r="M8" s="2"/>
    </row>
    <row r="9" spans="1:13" ht="30.75">
      <c r="A9" s="7">
        <v>44469</v>
      </c>
      <c r="B9" s="8">
        <v>200</v>
      </c>
      <c r="C9" s="7">
        <v>44377</v>
      </c>
      <c r="D9" s="2" t="s">
        <v>23</v>
      </c>
      <c r="E9" s="2" t="s">
        <v>24</v>
      </c>
      <c r="F9" s="2">
        <v>7</v>
      </c>
      <c r="G9" s="504" t="s">
        <v>1377</v>
      </c>
      <c r="H9" s="9" t="s">
        <v>1378</v>
      </c>
      <c r="I9" s="9" t="s">
        <v>1379</v>
      </c>
      <c r="J9" s="2" t="s">
        <v>26</v>
      </c>
      <c r="K9" s="2"/>
      <c r="L9" s="2"/>
      <c r="M9" s="2"/>
    </row>
    <row r="10" spans="1:13" ht="30.75">
      <c r="A10" s="7">
        <v>44469</v>
      </c>
      <c r="B10" s="8">
        <v>200</v>
      </c>
      <c r="C10" s="7">
        <v>44408</v>
      </c>
      <c r="D10" s="2" t="s">
        <v>23</v>
      </c>
      <c r="E10" s="2" t="s">
        <v>24</v>
      </c>
      <c r="F10" s="2">
        <v>8</v>
      </c>
      <c r="G10" s="504" t="s">
        <v>1380</v>
      </c>
      <c r="H10" s="9" t="s">
        <v>1381</v>
      </c>
      <c r="I10" s="9" t="s">
        <v>1382</v>
      </c>
      <c r="J10" s="2" t="s">
        <v>26</v>
      </c>
      <c r="K10" s="2"/>
      <c r="L10" s="2"/>
      <c r="M10" s="2"/>
    </row>
    <row r="11" spans="1:13" ht="30.75">
      <c r="A11" s="7">
        <v>44469</v>
      </c>
      <c r="B11" s="8">
        <v>200</v>
      </c>
      <c r="C11" s="7">
        <v>44439</v>
      </c>
      <c r="D11" s="2" t="s">
        <v>23</v>
      </c>
      <c r="E11" s="2" t="s">
        <v>24</v>
      </c>
      <c r="F11" s="2">
        <v>8</v>
      </c>
      <c r="G11" s="504" t="s">
        <v>1383</v>
      </c>
      <c r="H11" s="9" t="s">
        <v>644</v>
      </c>
      <c r="I11" s="9" t="s">
        <v>1384</v>
      </c>
      <c r="J11" s="2" t="s">
        <v>26</v>
      </c>
      <c r="K11" s="2"/>
      <c r="L11" s="2"/>
      <c r="M11" s="2"/>
    </row>
    <row r="12" spans="1:13" ht="30.75">
      <c r="A12" s="7">
        <v>44469</v>
      </c>
      <c r="B12" s="8">
        <v>200</v>
      </c>
      <c r="C12" s="7">
        <v>44499</v>
      </c>
      <c r="D12" s="2" t="s">
        <v>23</v>
      </c>
      <c r="E12" s="2" t="s">
        <v>24</v>
      </c>
      <c r="F12" s="2">
        <v>9</v>
      </c>
      <c r="G12" s="504" t="s">
        <v>1385</v>
      </c>
      <c r="H12" s="9" t="s">
        <v>1386</v>
      </c>
      <c r="I12" s="9" t="s">
        <v>1387</v>
      </c>
      <c r="J12" s="2" t="s">
        <v>26</v>
      </c>
      <c r="K12" s="2"/>
      <c r="L12" s="2"/>
      <c r="M12" s="2"/>
    </row>
    <row r="13" spans="1:13" ht="30.75">
      <c r="A13" s="7">
        <v>44609</v>
      </c>
      <c r="B13" s="8">
        <v>200</v>
      </c>
      <c r="C13" s="7">
        <v>44530</v>
      </c>
      <c r="D13" s="2" t="s">
        <v>23</v>
      </c>
      <c r="E13" s="2" t="s">
        <v>24</v>
      </c>
      <c r="F13" s="2">
        <v>10</v>
      </c>
      <c r="G13" s="504" t="s">
        <v>1388</v>
      </c>
      <c r="H13" s="9" t="s">
        <v>1389</v>
      </c>
      <c r="I13" s="9" t="s">
        <v>1390</v>
      </c>
      <c r="J13" s="2" t="s">
        <v>26</v>
      </c>
      <c r="K13" s="2"/>
      <c r="L13" s="2"/>
      <c r="M13" s="2"/>
    </row>
    <row r="14" spans="1:13" ht="30.75">
      <c r="A14" s="7">
        <v>44609</v>
      </c>
      <c r="B14" s="8">
        <v>200</v>
      </c>
      <c r="C14" s="7">
        <v>44558</v>
      </c>
      <c r="D14" s="2" t="s">
        <v>23</v>
      </c>
      <c r="E14" s="2" t="s">
        <v>24</v>
      </c>
      <c r="F14" s="2">
        <v>11</v>
      </c>
      <c r="G14" s="504" t="s">
        <v>1391</v>
      </c>
      <c r="H14" s="9" t="s">
        <v>1392</v>
      </c>
      <c r="I14" s="9" t="s">
        <v>1393</v>
      </c>
      <c r="J14" s="2" t="s">
        <v>26</v>
      </c>
      <c r="K14" s="2"/>
      <c r="L14" s="2"/>
      <c r="M14" s="2"/>
    </row>
    <row r="15" spans="1:13" ht="30.75">
      <c r="A15" s="7">
        <v>44609</v>
      </c>
      <c r="B15" s="8">
        <v>200</v>
      </c>
      <c r="C15" s="7">
        <v>44592</v>
      </c>
      <c r="D15" s="2" t="s">
        <v>23</v>
      </c>
      <c r="E15" s="2" t="s">
        <v>24</v>
      </c>
      <c r="F15" s="2">
        <v>12</v>
      </c>
      <c r="G15" s="504" t="s">
        <v>1394</v>
      </c>
      <c r="H15" s="9" t="s">
        <v>1395</v>
      </c>
      <c r="I15" s="9" t="s">
        <v>1396</v>
      </c>
      <c r="J15" s="2" t="s">
        <v>26</v>
      </c>
      <c r="K15" s="2"/>
      <c r="L15" s="2"/>
      <c r="M15" s="2"/>
    </row>
    <row r="16" spans="1:13" ht="30.75">
      <c r="A16" s="7">
        <v>44669</v>
      </c>
      <c r="B16" s="8">
        <v>200</v>
      </c>
      <c r="C16" s="7">
        <v>44620</v>
      </c>
      <c r="D16" s="2" t="s">
        <v>23</v>
      </c>
      <c r="E16" s="2" t="s">
        <v>24</v>
      </c>
      <c r="F16" s="2">
        <v>13</v>
      </c>
      <c r="G16" s="504" t="s">
        <v>1397</v>
      </c>
      <c r="H16" s="9" t="s">
        <v>1398</v>
      </c>
      <c r="I16" s="9" t="s">
        <v>1399</v>
      </c>
      <c r="J16" s="2" t="s">
        <v>26</v>
      </c>
      <c r="K16" s="2"/>
      <c r="L16" s="2"/>
      <c r="M16" s="2"/>
    </row>
    <row r="17" spans="1:13" ht="30.75">
      <c r="A17" s="7">
        <v>44669</v>
      </c>
      <c r="B17" s="8">
        <v>200</v>
      </c>
      <c r="C17" s="7">
        <v>44652</v>
      </c>
      <c r="D17" s="2" t="s">
        <v>23</v>
      </c>
      <c r="E17" s="2" t="s">
        <v>24</v>
      </c>
      <c r="F17" s="2">
        <v>14</v>
      </c>
      <c r="G17" s="504" t="s">
        <v>1400</v>
      </c>
      <c r="H17" s="9" t="s">
        <v>1401</v>
      </c>
      <c r="I17" s="9" t="s">
        <v>1402</v>
      </c>
      <c r="J17" s="2" t="s">
        <v>26</v>
      </c>
      <c r="K17" s="2" t="s">
        <v>170</v>
      </c>
      <c r="L17" s="2"/>
      <c r="M17" s="2"/>
    </row>
    <row r="18" spans="1:13" ht="30.75">
      <c r="A18" s="7">
        <v>44747</v>
      </c>
      <c r="B18" s="8">
        <v>200</v>
      </c>
      <c r="C18" s="7">
        <v>44681</v>
      </c>
      <c r="D18" s="2" t="s">
        <v>23</v>
      </c>
      <c r="E18" s="2" t="s">
        <v>24</v>
      </c>
      <c r="F18" s="2">
        <v>15</v>
      </c>
      <c r="G18" s="504" t="s">
        <v>1146</v>
      </c>
      <c r="H18" s="9" t="s">
        <v>1403</v>
      </c>
      <c r="I18" s="9" t="s">
        <v>1404</v>
      </c>
      <c r="J18" s="2" t="s">
        <v>26</v>
      </c>
      <c r="K18" s="2" t="s">
        <v>170</v>
      </c>
      <c r="L18" s="2"/>
      <c r="M18" s="2"/>
    </row>
    <row r="19" spans="1:13" ht="30.75">
      <c r="A19" s="7">
        <v>44747</v>
      </c>
      <c r="B19" s="8">
        <v>200</v>
      </c>
      <c r="C19" s="7">
        <v>44709</v>
      </c>
      <c r="D19" s="2" t="s">
        <v>23</v>
      </c>
      <c r="E19" s="2" t="s">
        <v>24</v>
      </c>
      <c r="F19" s="2">
        <v>16</v>
      </c>
      <c r="G19" s="505">
        <v>7914</v>
      </c>
      <c r="H19" s="9" t="s">
        <v>1405</v>
      </c>
      <c r="I19" s="9" t="s">
        <v>1406</v>
      </c>
      <c r="J19" s="2" t="s">
        <v>26</v>
      </c>
      <c r="K19" s="2" t="s">
        <v>170</v>
      </c>
      <c r="L19" s="2"/>
      <c r="M19" s="2"/>
    </row>
    <row r="20" spans="1:13" ht="30.75">
      <c r="A20" s="7">
        <v>44747</v>
      </c>
      <c r="B20" s="2">
        <v>200</v>
      </c>
      <c r="C20" s="7">
        <v>44737</v>
      </c>
      <c r="D20" s="2" t="s">
        <v>23</v>
      </c>
      <c r="E20" s="2" t="s">
        <v>24</v>
      </c>
      <c r="F20" s="2">
        <v>17</v>
      </c>
      <c r="G20" s="505">
        <v>8625</v>
      </c>
      <c r="H20" s="9" t="s">
        <v>1407</v>
      </c>
      <c r="I20" s="9" t="s">
        <v>1408</v>
      </c>
      <c r="J20" s="2" t="s">
        <v>26</v>
      </c>
      <c r="K20" s="2" t="s">
        <v>170</v>
      </c>
      <c r="L20" s="2"/>
      <c r="M20" s="2"/>
    </row>
    <row r="21" spans="1:13" ht="30.75">
      <c r="A21" s="2" t="s">
        <v>1026</v>
      </c>
      <c r="B21" s="2">
        <v>200</v>
      </c>
      <c r="C21" s="7">
        <v>44774</v>
      </c>
      <c r="D21" s="2" t="s">
        <v>23</v>
      </c>
      <c r="E21" s="2" t="s">
        <v>24</v>
      </c>
      <c r="F21" s="2">
        <v>18</v>
      </c>
      <c r="G21" s="505">
        <v>9630</v>
      </c>
      <c r="H21" s="9" t="s">
        <v>1409</v>
      </c>
      <c r="I21" s="9" t="s">
        <v>1410</v>
      </c>
      <c r="J21" s="2" t="s">
        <v>26</v>
      </c>
      <c r="K21" s="2"/>
      <c r="L21" s="2" t="s">
        <v>47</v>
      </c>
      <c r="M21" s="2"/>
    </row>
    <row r="22" spans="1:13" ht="30.75">
      <c r="A22" s="2" t="s">
        <v>1026</v>
      </c>
      <c r="B22" s="369">
        <v>200</v>
      </c>
      <c r="C22" s="370">
        <v>44802</v>
      </c>
      <c r="D22" s="2" t="s">
        <v>23</v>
      </c>
      <c r="E22" s="2" t="s">
        <v>24</v>
      </c>
      <c r="F22" s="369">
        <v>19</v>
      </c>
      <c r="G22" s="506">
        <v>10471</v>
      </c>
      <c r="H22" s="371"/>
      <c r="I22" s="371" t="s">
        <v>1411</v>
      </c>
      <c r="J22" s="2" t="s">
        <v>26</v>
      </c>
      <c r="K22" s="2"/>
      <c r="L22" s="2" t="s">
        <v>1412</v>
      </c>
      <c r="M22" s="2"/>
    </row>
    <row r="23" spans="1:13" ht="30.75">
      <c r="A23" s="7">
        <v>44845</v>
      </c>
      <c r="B23" s="2">
        <v>200</v>
      </c>
      <c r="C23" s="7">
        <v>44837</v>
      </c>
      <c r="D23" s="2" t="s">
        <v>23</v>
      </c>
      <c r="E23" s="2" t="s">
        <v>24</v>
      </c>
      <c r="F23" s="2">
        <v>20</v>
      </c>
      <c r="G23" s="505">
        <v>11122</v>
      </c>
      <c r="H23" s="9"/>
      <c r="I23" s="9" t="s">
        <v>1413</v>
      </c>
      <c r="J23" s="2" t="s">
        <v>26</v>
      </c>
      <c r="K23" s="2"/>
      <c r="L23" s="2" t="s">
        <v>22</v>
      </c>
      <c r="M23" s="2"/>
    </row>
    <row r="24" spans="1:13" ht="30.75">
      <c r="A24" s="2" t="s">
        <v>1414</v>
      </c>
      <c r="B24" s="2">
        <v>200</v>
      </c>
      <c r="C24" s="7" t="s">
        <v>60</v>
      </c>
      <c r="D24" s="2" t="s">
        <v>23</v>
      </c>
      <c r="E24" s="2" t="s">
        <v>24</v>
      </c>
      <c r="F24" s="2">
        <v>21</v>
      </c>
      <c r="G24" s="505">
        <v>11716</v>
      </c>
      <c r="H24" s="9" t="s">
        <v>1415</v>
      </c>
      <c r="I24" s="9" t="s">
        <v>1416</v>
      </c>
      <c r="J24" s="2" t="s">
        <v>26</v>
      </c>
      <c r="K24" s="2" t="s">
        <v>270</v>
      </c>
      <c r="L24" s="2" t="s">
        <v>1176</v>
      </c>
      <c r="M24" s="2"/>
    </row>
    <row r="25" spans="1:13" ht="30.75">
      <c r="A25" s="2" t="s">
        <v>1417</v>
      </c>
      <c r="B25" s="2">
        <v>200</v>
      </c>
      <c r="C25" s="7" t="s">
        <v>61</v>
      </c>
      <c r="D25" s="2" t="s">
        <v>23</v>
      </c>
      <c r="E25" s="2" t="s">
        <v>24</v>
      </c>
      <c r="F25" s="2">
        <v>22</v>
      </c>
      <c r="G25" s="505">
        <v>12384</v>
      </c>
      <c r="H25" s="9"/>
      <c r="I25" s="9" t="s">
        <v>1418</v>
      </c>
      <c r="J25" s="2" t="s">
        <v>26</v>
      </c>
      <c r="K25" s="2"/>
      <c r="L25" s="2" t="s">
        <v>27</v>
      </c>
      <c r="M25" s="2"/>
    </row>
    <row r="26" spans="1:13" ht="30.75">
      <c r="A26" s="2" t="s">
        <v>1419</v>
      </c>
      <c r="B26" s="2">
        <v>200</v>
      </c>
      <c r="C26" s="7" t="s">
        <v>1177</v>
      </c>
      <c r="D26" s="2" t="s">
        <v>23</v>
      </c>
      <c r="E26" s="2" t="s">
        <v>24</v>
      </c>
      <c r="F26" s="2">
        <v>23</v>
      </c>
      <c r="G26" s="505">
        <v>14259</v>
      </c>
      <c r="H26" s="9" t="s">
        <v>1420</v>
      </c>
      <c r="I26" s="9" t="s">
        <v>1421</v>
      </c>
      <c r="J26" s="2" t="s">
        <v>26</v>
      </c>
      <c r="K26" s="2"/>
      <c r="L26" s="2" t="s">
        <v>32</v>
      </c>
      <c r="M26" s="2"/>
    </row>
    <row r="27" spans="1:13" ht="30.75">
      <c r="A27" s="7" t="s">
        <v>1179</v>
      </c>
      <c r="B27" s="2">
        <v>200</v>
      </c>
      <c r="C27" s="7" t="s">
        <v>1179</v>
      </c>
      <c r="D27" s="2" t="s">
        <v>23</v>
      </c>
      <c r="E27" s="2" t="s">
        <v>28</v>
      </c>
      <c r="F27" s="2">
        <v>24</v>
      </c>
      <c r="G27" s="505">
        <v>15193</v>
      </c>
      <c r="H27" s="9" t="s">
        <v>1422</v>
      </c>
      <c r="I27" s="9" t="s">
        <v>1423</v>
      </c>
      <c r="J27" s="2" t="s">
        <v>26</v>
      </c>
      <c r="K27" s="2"/>
      <c r="L27" s="2"/>
      <c r="M27" s="2"/>
    </row>
    <row r="28" spans="1:13" ht="30.75">
      <c r="A28" s="7">
        <v>45033</v>
      </c>
      <c r="B28" s="2">
        <v>200</v>
      </c>
      <c r="C28" s="7" t="s">
        <v>1182</v>
      </c>
      <c r="D28" s="2" t="s">
        <v>23</v>
      </c>
      <c r="E28" s="2" t="s">
        <v>28</v>
      </c>
      <c r="F28" s="2">
        <v>25</v>
      </c>
      <c r="G28" s="505">
        <v>15887</v>
      </c>
      <c r="H28" s="9"/>
      <c r="I28" s="9" t="s">
        <v>1424</v>
      </c>
      <c r="J28" s="2" t="s">
        <v>26</v>
      </c>
      <c r="K28" s="2"/>
      <c r="L28" s="2"/>
      <c r="M28" s="2">
        <v>12</v>
      </c>
    </row>
    <row r="29" spans="1:13" ht="30.75">
      <c r="A29" s="2" t="s">
        <v>1184</v>
      </c>
      <c r="B29" s="2">
        <v>200</v>
      </c>
      <c r="C29" s="7" t="s">
        <v>1185</v>
      </c>
      <c r="D29" s="2" t="s">
        <v>23</v>
      </c>
      <c r="E29" s="2" t="s">
        <v>28</v>
      </c>
      <c r="F29" s="2">
        <v>26</v>
      </c>
      <c r="G29" s="505">
        <v>16562</v>
      </c>
      <c r="H29" s="9" t="s">
        <v>1425</v>
      </c>
      <c r="I29" s="9" t="s">
        <v>1426</v>
      </c>
      <c r="J29" s="2" t="s">
        <v>26</v>
      </c>
      <c r="K29" s="2"/>
      <c r="L29" s="2" t="s">
        <v>1427</v>
      </c>
      <c r="M29" s="2">
        <v>10</v>
      </c>
    </row>
    <row r="30" spans="1:13" ht="30.75">
      <c r="A30" s="7">
        <v>45103</v>
      </c>
      <c r="B30" s="2">
        <v>200</v>
      </c>
      <c r="C30" s="7">
        <v>45103</v>
      </c>
      <c r="D30" s="2" t="s">
        <v>23</v>
      </c>
      <c r="E30" s="2" t="s">
        <v>28</v>
      </c>
      <c r="F30" s="2">
        <v>27</v>
      </c>
      <c r="G30" s="505">
        <v>17085</v>
      </c>
      <c r="H30" s="9"/>
      <c r="I30" s="9" t="s">
        <v>1428</v>
      </c>
      <c r="J30" s="2" t="s">
        <v>26</v>
      </c>
      <c r="K30" s="2"/>
      <c r="L30" s="2" t="s">
        <v>1429</v>
      </c>
      <c r="M30" s="2">
        <v>7.2</v>
      </c>
    </row>
    <row r="31" spans="1:13" ht="30.75">
      <c r="A31" s="7">
        <v>45133</v>
      </c>
      <c r="B31" s="2">
        <v>200</v>
      </c>
      <c r="C31" s="7">
        <v>45133</v>
      </c>
      <c r="D31" s="2" t="s">
        <v>23</v>
      </c>
      <c r="E31" s="2" t="s">
        <v>28</v>
      </c>
      <c r="F31" s="2">
        <v>28</v>
      </c>
      <c r="G31" s="505">
        <v>17981</v>
      </c>
      <c r="H31" s="9" t="s">
        <v>1430</v>
      </c>
      <c r="I31" s="9" t="s">
        <v>1431</v>
      </c>
      <c r="J31" s="2" t="s">
        <v>26</v>
      </c>
      <c r="K31" s="2"/>
      <c r="L31" s="2" t="s">
        <v>1432</v>
      </c>
      <c r="M31" s="2">
        <v>6.7</v>
      </c>
    </row>
    <row r="32" spans="1:13" ht="30.75">
      <c r="A32" s="7">
        <v>45167</v>
      </c>
      <c r="B32" s="2">
        <v>200</v>
      </c>
      <c r="C32" s="7">
        <v>45167</v>
      </c>
      <c r="D32" s="2" t="s">
        <v>23</v>
      </c>
      <c r="E32" s="2" t="s">
        <v>28</v>
      </c>
      <c r="F32" s="2">
        <v>29</v>
      </c>
      <c r="G32" s="505" t="s">
        <v>1433</v>
      </c>
      <c r="H32" s="9" t="s">
        <v>1434</v>
      </c>
      <c r="I32" s="9" t="s">
        <v>1435</v>
      </c>
      <c r="J32" s="2" t="s">
        <v>26</v>
      </c>
      <c r="K32" s="2"/>
      <c r="L32" s="2" t="s">
        <v>1412</v>
      </c>
      <c r="M32" s="2">
        <v>9.1</v>
      </c>
    </row>
    <row r="33" spans="1:13" ht="30.75">
      <c r="A33" s="7">
        <v>45197</v>
      </c>
      <c r="B33" s="2">
        <v>200</v>
      </c>
      <c r="C33" s="7">
        <v>45197</v>
      </c>
      <c r="D33" s="2" t="s">
        <v>23</v>
      </c>
      <c r="E33" s="2" t="s">
        <v>28</v>
      </c>
      <c r="F33" s="2">
        <v>30</v>
      </c>
      <c r="G33" s="505" t="s">
        <v>1436</v>
      </c>
      <c r="H33" s="9" t="s">
        <v>1437</v>
      </c>
      <c r="I33" s="9" t="s">
        <v>1438</v>
      </c>
      <c r="J33" s="2" t="s">
        <v>26</v>
      </c>
      <c r="K33" s="2"/>
      <c r="L33" s="2" t="s">
        <v>1300</v>
      </c>
      <c r="M33" s="2">
        <v>8</v>
      </c>
    </row>
    <row r="34" spans="1:13" ht="30.75">
      <c r="A34" s="7">
        <v>45229</v>
      </c>
      <c r="B34" s="2">
        <v>200</v>
      </c>
      <c r="C34" s="7">
        <v>45229</v>
      </c>
      <c r="D34" s="2" t="s">
        <v>23</v>
      </c>
      <c r="E34" s="2" t="s">
        <v>28</v>
      </c>
      <c r="F34" s="2">
        <v>31</v>
      </c>
      <c r="G34" s="505">
        <v>20146</v>
      </c>
      <c r="H34" s="9" t="s">
        <v>1439</v>
      </c>
      <c r="I34" s="9" t="s">
        <v>1440</v>
      </c>
      <c r="J34" s="2" t="s">
        <v>26</v>
      </c>
      <c r="K34" s="2"/>
      <c r="L34" s="2" t="s">
        <v>1176</v>
      </c>
      <c r="M34" s="2">
        <v>8</v>
      </c>
    </row>
    <row r="35" spans="1:13" ht="30.75">
      <c r="A35" s="7">
        <v>45259</v>
      </c>
      <c r="B35" s="2">
        <v>200</v>
      </c>
      <c r="C35" s="7">
        <v>45259</v>
      </c>
      <c r="D35" s="2" t="s">
        <v>23</v>
      </c>
      <c r="E35" s="2" t="s">
        <v>28</v>
      </c>
      <c r="F35" s="2">
        <v>32</v>
      </c>
      <c r="G35" s="505">
        <v>20849</v>
      </c>
      <c r="H35" s="9" t="s">
        <v>1441</v>
      </c>
      <c r="I35" s="9" t="s">
        <v>1442</v>
      </c>
      <c r="J35" s="2" t="s">
        <v>26</v>
      </c>
      <c r="K35" s="2"/>
      <c r="L35" s="2" t="s">
        <v>1443</v>
      </c>
      <c r="M35" s="2">
        <v>8</v>
      </c>
    </row>
    <row r="36" spans="1:13" ht="30.75">
      <c r="A36" s="7">
        <v>45288</v>
      </c>
      <c r="B36" s="2">
        <v>200</v>
      </c>
      <c r="C36" s="7">
        <v>45288</v>
      </c>
      <c r="D36" s="2" t="s">
        <v>23</v>
      </c>
      <c r="E36" s="2" t="s">
        <v>28</v>
      </c>
      <c r="F36" s="2">
        <v>33</v>
      </c>
      <c r="G36" s="505">
        <v>21475</v>
      </c>
      <c r="H36" s="9" t="s">
        <v>1444</v>
      </c>
      <c r="I36" s="9" t="s">
        <v>1445</v>
      </c>
      <c r="J36" s="2" t="s">
        <v>26</v>
      </c>
      <c r="K36" s="2"/>
      <c r="L36" s="2" t="s">
        <v>686</v>
      </c>
      <c r="M36" s="2">
        <v>8</v>
      </c>
    </row>
    <row r="37" spans="1:13" ht="30.75">
      <c r="A37" s="7">
        <v>45321</v>
      </c>
      <c r="B37" s="27">
        <v>200</v>
      </c>
      <c r="C37" s="28">
        <v>45321</v>
      </c>
      <c r="D37" s="2" t="s">
        <v>23</v>
      </c>
      <c r="E37" s="27" t="s">
        <v>28</v>
      </c>
      <c r="F37" s="27">
        <v>34</v>
      </c>
      <c r="G37" s="505">
        <v>22187</v>
      </c>
      <c r="H37" s="9" t="s">
        <v>1446</v>
      </c>
      <c r="I37" s="9" t="s">
        <v>1447</v>
      </c>
      <c r="J37" s="2" t="s">
        <v>26</v>
      </c>
      <c r="K37" s="2"/>
      <c r="L37" s="2" t="s">
        <v>32</v>
      </c>
      <c r="M37" s="2">
        <v>8</v>
      </c>
    </row>
    <row r="38" spans="1:13" ht="30.75">
      <c r="A38" s="7">
        <v>45351</v>
      </c>
      <c r="B38" s="2">
        <v>200</v>
      </c>
      <c r="C38" s="7">
        <v>45351</v>
      </c>
      <c r="D38" s="2" t="s">
        <v>23</v>
      </c>
      <c r="E38" s="2" t="s">
        <v>28</v>
      </c>
      <c r="F38" s="2">
        <v>35</v>
      </c>
      <c r="G38" s="505">
        <v>22849</v>
      </c>
      <c r="H38" s="9" t="s">
        <v>1448</v>
      </c>
      <c r="I38" s="9" t="s">
        <v>1449</v>
      </c>
      <c r="J38" s="2" t="s">
        <v>26</v>
      </c>
      <c r="K38" s="2"/>
      <c r="L38" s="2" t="s">
        <v>34</v>
      </c>
      <c r="M38" s="2">
        <v>6</v>
      </c>
    </row>
    <row r="39" spans="1:13" ht="30.75">
      <c r="A39" s="7">
        <v>45378</v>
      </c>
      <c r="B39" s="2">
        <v>200</v>
      </c>
      <c r="C39" s="7">
        <v>45378</v>
      </c>
      <c r="D39" s="2" t="s">
        <v>23</v>
      </c>
      <c r="E39" s="2" t="s">
        <v>28</v>
      </c>
      <c r="F39" s="2">
        <v>36</v>
      </c>
      <c r="G39" s="505">
        <v>23451</v>
      </c>
      <c r="H39" s="9" t="s">
        <v>1450</v>
      </c>
      <c r="I39" s="9" t="s">
        <v>1451</v>
      </c>
      <c r="J39" s="2" t="s">
        <v>26</v>
      </c>
      <c r="K39" s="2"/>
      <c r="L39" s="2" t="s">
        <v>38</v>
      </c>
      <c r="M39" s="2">
        <v>10</v>
      </c>
    </row>
    <row r="40" spans="1:13" ht="30.75">
      <c r="A40" s="7">
        <v>45411</v>
      </c>
      <c r="B40" s="2">
        <v>200</v>
      </c>
      <c r="C40" s="7">
        <v>45411</v>
      </c>
      <c r="D40" s="2" t="s">
        <v>23</v>
      </c>
      <c r="E40" s="2" t="s">
        <v>28</v>
      </c>
      <c r="F40" s="2">
        <v>37</v>
      </c>
      <c r="G40" s="505">
        <v>24329</v>
      </c>
      <c r="H40" s="9" t="s">
        <v>1452</v>
      </c>
      <c r="I40" s="9" t="s">
        <v>1453</v>
      </c>
      <c r="J40" s="2" t="s">
        <v>26</v>
      </c>
      <c r="K40" s="2"/>
      <c r="L40" s="2" t="s">
        <v>41</v>
      </c>
      <c r="M40" s="2">
        <v>12.1</v>
      </c>
    </row>
    <row r="41" spans="1:13" ht="30.75">
      <c r="A41" s="7">
        <v>45442</v>
      </c>
      <c r="B41" s="2">
        <v>200</v>
      </c>
      <c r="C41" s="7">
        <v>45442</v>
      </c>
      <c r="D41" s="2" t="s">
        <v>23</v>
      </c>
      <c r="E41" s="2" t="s">
        <v>28</v>
      </c>
      <c r="F41" s="2">
        <v>38</v>
      </c>
      <c r="G41" s="505">
        <v>25070</v>
      </c>
      <c r="H41" s="9" t="s">
        <v>1454</v>
      </c>
      <c r="I41" s="9" t="s">
        <v>1455</v>
      </c>
      <c r="J41" s="2" t="s">
        <v>26</v>
      </c>
      <c r="K41" s="2"/>
      <c r="L41" s="2" t="s">
        <v>44</v>
      </c>
      <c r="M41" s="2">
        <v>11.1</v>
      </c>
    </row>
    <row r="42" spans="1:13" ht="30.75">
      <c r="A42" s="7">
        <v>45470</v>
      </c>
      <c r="B42" s="2">
        <v>200</v>
      </c>
      <c r="C42" s="7">
        <v>45470</v>
      </c>
      <c r="D42" s="2" t="s">
        <v>23</v>
      </c>
      <c r="E42" s="2" t="s">
        <v>28</v>
      </c>
      <c r="F42" s="2">
        <v>39</v>
      </c>
      <c r="G42" s="505">
        <v>24329</v>
      </c>
      <c r="H42" s="9" t="s">
        <v>1456</v>
      </c>
      <c r="I42" s="9" t="s">
        <v>1457</v>
      </c>
      <c r="J42" s="2" t="s">
        <v>26</v>
      </c>
      <c r="K42" s="2"/>
      <c r="L42" s="2" t="s">
        <v>57</v>
      </c>
      <c r="M42" s="2">
        <v>6.1</v>
      </c>
    </row>
    <row r="43" spans="1:13" ht="30.75">
      <c r="A43" s="7">
        <v>45503</v>
      </c>
      <c r="B43" s="2">
        <v>200</v>
      </c>
      <c r="C43" s="7">
        <v>45503</v>
      </c>
      <c r="D43" s="2" t="s">
        <v>23</v>
      </c>
      <c r="E43" s="2" t="s">
        <v>28</v>
      </c>
      <c r="F43" s="2">
        <v>40</v>
      </c>
      <c r="G43" s="2">
        <v>26606</v>
      </c>
      <c r="H43" s="9" t="s">
        <v>1458</v>
      </c>
      <c r="I43" s="9" t="s">
        <v>1459</v>
      </c>
      <c r="J43" s="2" t="s">
        <v>26</v>
      </c>
      <c r="K43" s="2"/>
      <c r="L43" s="2" t="s">
        <v>47</v>
      </c>
      <c r="M43" s="2">
        <v>7.1</v>
      </c>
    </row>
    <row r="44" spans="1:13" ht="30.75">
      <c r="A44" s="7">
        <v>45504</v>
      </c>
      <c r="B44" s="2">
        <v>200</v>
      </c>
      <c r="C44" s="7">
        <v>45504</v>
      </c>
      <c r="D44" s="2" t="s">
        <v>23</v>
      </c>
      <c r="E44" s="2" t="s">
        <v>28</v>
      </c>
      <c r="F44" s="2">
        <v>41</v>
      </c>
      <c r="G44" s="2">
        <v>27476</v>
      </c>
      <c r="H44" s="9" t="s">
        <v>1460</v>
      </c>
      <c r="I44" s="9" t="s">
        <v>1461</v>
      </c>
      <c r="J44" s="2" t="s">
        <v>26</v>
      </c>
      <c r="K44" s="2"/>
      <c r="L44" s="2" t="s">
        <v>50</v>
      </c>
      <c r="M44" s="2">
        <v>15</v>
      </c>
    </row>
    <row r="45" spans="1:13" ht="30.75">
      <c r="A45" s="7">
        <v>45565</v>
      </c>
      <c r="B45" s="2">
        <v>200</v>
      </c>
      <c r="C45" s="7">
        <v>45565</v>
      </c>
      <c r="D45" s="2" t="s">
        <v>23</v>
      </c>
      <c r="E45" s="2" t="s">
        <v>24</v>
      </c>
      <c r="F45" s="2">
        <v>42</v>
      </c>
      <c r="G45" s="2">
        <v>28264</v>
      </c>
      <c r="H45" s="9" t="s">
        <v>1462</v>
      </c>
      <c r="I45" s="9" t="s">
        <v>1463</v>
      </c>
      <c r="J45" s="2" t="s">
        <v>72</v>
      </c>
      <c r="K45" s="2"/>
      <c r="L45" s="2" t="s">
        <v>22</v>
      </c>
      <c r="M45" s="2">
        <v>10</v>
      </c>
    </row>
    <row r="46" spans="1:13" ht="30.75">
      <c r="A46" s="7">
        <v>45596</v>
      </c>
      <c r="B46" s="2">
        <v>200</v>
      </c>
      <c r="C46" s="7">
        <v>45596</v>
      </c>
      <c r="D46" s="2" t="s">
        <v>23</v>
      </c>
      <c r="E46" s="2" t="s">
        <v>24</v>
      </c>
      <c r="F46" s="2">
        <v>43</v>
      </c>
      <c r="G46" s="310">
        <v>29104</v>
      </c>
      <c r="H46" s="9" t="s">
        <v>1464</v>
      </c>
      <c r="I46" s="9" t="s">
        <v>1465</v>
      </c>
      <c r="J46" s="2" t="s">
        <v>72</v>
      </c>
      <c r="K46" s="2"/>
      <c r="L46" s="2" t="s">
        <v>54</v>
      </c>
      <c r="M46" s="2">
        <v>10.199999999999999</v>
      </c>
    </row>
    <row r="47" spans="1:13" ht="30.75">
      <c r="A47" s="7">
        <v>45626</v>
      </c>
      <c r="B47" s="2">
        <v>200</v>
      </c>
      <c r="C47" s="7">
        <v>45626</v>
      </c>
      <c r="D47" s="2" t="s">
        <v>23</v>
      </c>
      <c r="E47" s="2" t="s">
        <v>28</v>
      </c>
      <c r="F47" s="2">
        <v>44</v>
      </c>
      <c r="G47" s="2">
        <v>29916</v>
      </c>
      <c r="H47" s="9" t="s">
        <v>1466</v>
      </c>
      <c r="I47" s="9" t="s">
        <v>1467</v>
      </c>
      <c r="J47" s="2" t="s">
        <v>26</v>
      </c>
      <c r="K47" s="2"/>
      <c r="L47" s="2" t="s">
        <v>27</v>
      </c>
      <c r="M47" s="2">
        <v>15.5</v>
      </c>
    </row>
    <row r="48" spans="1:13" ht="30.75">
      <c r="A48" s="2" t="s">
        <v>1231</v>
      </c>
      <c r="B48" s="2">
        <v>200</v>
      </c>
      <c r="C48" s="7">
        <v>45656</v>
      </c>
      <c r="D48" s="2" t="s">
        <v>23</v>
      </c>
      <c r="E48" s="2" t="s">
        <v>28</v>
      </c>
      <c r="F48" s="2">
        <v>45</v>
      </c>
      <c r="G48" s="2">
        <v>30717</v>
      </c>
      <c r="H48" s="9" t="s">
        <v>1468</v>
      </c>
      <c r="I48" s="9" t="s">
        <v>1469</v>
      </c>
      <c r="J48" s="2" t="s">
        <v>26</v>
      </c>
      <c r="K48" s="2"/>
      <c r="L48" s="2" t="s">
        <v>30</v>
      </c>
      <c r="M48" s="2">
        <v>9.8000000000000007</v>
      </c>
    </row>
    <row r="49" spans="1:13" ht="30.75">
      <c r="A49" s="2" t="s">
        <v>1470</v>
      </c>
      <c r="B49" s="2">
        <v>200</v>
      </c>
      <c r="C49" s="7">
        <v>45688</v>
      </c>
      <c r="D49" s="2" t="s">
        <v>23</v>
      </c>
      <c r="E49" s="2" t="s">
        <v>28</v>
      </c>
      <c r="F49" s="2">
        <v>46</v>
      </c>
      <c r="G49" s="2">
        <v>31521</v>
      </c>
      <c r="H49" s="9" t="s">
        <v>1471</v>
      </c>
      <c r="I49" s="9"/>
      <c r="J49" s="2" t="s">
        <v>26</v>
      </c>
      <c r="K49" s="2"/>
      <c r="L49" s="2" t="s">
        <v>32</v>
      </c>
      <c r="M49" s="2">
        <v>14.5</v>
      </c>
    </row>
    <row r="50" spans="1:13" ht="30.75">
      <c r="A50" s="7">
        <v>45717</v>
      </c>
      <c r="B50" s="2">
        <v>200</v>
      </c>
      <c r="C50" s="7">
        <v>45716</v>
      </c>
      <c r="D50" s="2" t="s">
        <v>23</v>
      </c>
      <c r="E50" s="2" t="s">
        <v>24</v>
      </c>
      <c r="F50" s="2">
        <v>47</v>
      </c>
      <c r="G50" s="2">
        <v>32385</v>
      </c>
      <c r="H50" s="9"/>
      <c r="I50" s="9" t="s">
        <v>1472</v>
      </c>
      <c r="J50" s="2" t="s">
        <v>72</v>
      </c>
      <c r="K50" s="2"/>
      <c r="L50" s="2" t="s">
        <v>34</v>
      </c>
      <c r="M50" s="2">
        <v>8.6999999999999993</v>
      </c>
    </row>
    <row r="51" spans="1:13" ht="30.75">
      <c r="A51" s="2" t="s">
        <v>1473</v>
      </c>
      <c r="B51" s="2">
        <v>200</v>
      </c>
      <c r="C51" s="7">
        <v>45747</v>
      </c>
      <c r="D51" s="2" t="s">
        <v>23</v>
      </c>
      <c r="E51" s="2" t="s">
        <v>24</v>
      </c>
      <c r="F51" s="2">
        <v>48</v>
      </c>
      <c r="G51" s="2">
        <v>33200</v>
      </c>
      <c r="H51" s="9"/>
      <c r="I51" s="9" t="s">
        <v>1474</v>
      </c>
      <c r="J51" s="2" t="s">
        <v>72</v>
      </c>
      <c r="K51" s="2"/>
      <c r="L51" s="2" t="s">
        <v>38</v>
      </c>
      <c r="M51" s="2">
        <v>9.8000000000000007</v>
      </c>
    </row>
    <row r="52" spans="1:13" ht="30.75">
      <c r="A52" s="7">
        <v>45777</v>
      </c>
      <c r="B52" s="2">
        <v>200</v>
      </c>
      <c r="C52" s="7">
        <v>45777</v>
      </c>
      <c r="D52" s="2" t="s">
        <v>23</v>
      </c>
      <c r="E52" s="2" t="s">
        <v>24</v>
      </c>
      <c r="F52" s="2">
        <v>49</v>
      </c>
      <c r="G52" s="2">
        <v>33972</v>
      </c>
      <c r="H52" s="9"/>
      <c r="I52" s="9" t="s">
        <v>1475</v>
      </c>
      <c r="J52" s="2" t="s">
        <v>72</v>
      </c>
      <c r="K52" s="2"/>
      <c r="L52" s="2" t="s">
        <v>41</v>
      </c>
      <c r="M52" s="2">
        <v>7.5</v>
      </c>
    </row>
    <row r="53" spans="1:13" ht="30.75">
      <c r="A53" s="7">
        <v>45810</v>
      </c>
      <c r="B53" s="2">
        <v>200</v>
      </c>
      <c r="C53" s="7">
        <v>45808</v>
      </c>
      <c r="D53" s="2" t="s">
        <v>23</v>
      </c>
      <c r="E53" s="2" t="s">
        <v>28</v>
      </c>
      <c r="F53" s="2">
        <v>50</v>
      </c>
      <c r="G53" s="2">
        <v>34866</v>
      </c>
      <c r="H53" s="9"/>
      <c r="I53" s="9" t="s">
        <v>1476</v>
      </c>
      <c r="J53" s="2" t="s">
        <v>26</v>
      </c>
      <c r="K53" s="2"/>
      <c r="L53" s="2" t="s">
        <v>44</v>
      </c>
      <c r="M53" s="2">
        <v>10.4</v>
      </c>
    </row>
    <row r="54" spans="1:13" ht="30.75">
      <c r="A54" s="7">
        <v>45840</v>
      </c>
      <c r="B54" s="2">
        <v>200</v>
      </c>
      <c r="C54" s="7">
        <v>45835</v>
      </c>
      <c r="D54" s="2" t="s">
        <v>23</v>
      </c>
      <c r="E54" s="2" t="s">
        <v>24</v>
      </c>
      <c r="F54" s="2">
        <v>51</v>
      </c>
      <c r="G54" s="2">
        <v>35684</v>
      </c>
      <c r="H54" s="9"/>
      <c r="I54" s="9" t="s">
        <v>1477</v>
      </c>
      <c r="J54" s="2" t="s">
        <v>72</v>
      </c>
      <c r="K54" s="2"/>
      <c r="L54" s="2" t="s">
        <v>57</v>
      </c>
      <c r="M54" s="2">
        <v>9</v>
      </c>
    </row>
    <row r="55" spans="1:13" ht="30.75">
      <c r="A55" s="7">
        <v>45871</v>
      </c>
      <c r="B55" s="2">
        <v>200</v>
      </c>
      <c r="C55" s="7">
        <v>45868</v>
      </c>
      <c r="D55" s="2" t="s">
        <v>23</v>
      </c>
      <c r="E55" s="2" t="s">
        <v>24</v>
      </c>
      <c r="F55" s="2">
        <v>52</v>
      </c>
      <c r="G55" s="2">
        <v>36477</v>
      </c>
      <c r="H55" s="9"/>
      <c r="I55" s="9" t="s">
        <v>1478</v>
      </c>
      <c r="J55" s="2" t="s">
        <v>72</v>
      </c>
      <c r="K55" s="2"/>
      <c r="L55" s="2" t="s">
        <v>47</v>
      </c>
      <c r="M55" s="2">
        <v>24.5</v>
      </c>
    </row>
    <row r="56" spans="1:13" ht="30.75">
      <c r="A56" s="7">
        <v>45899</v>
      </c>
      <c r="B56" s="2">
        <v>200</v>
      </c>
      <c r="C56" s="7">
        <v>45898</v>
      </c>
      <c r="D56" s="2" t="s">
        <v>23</v>
      </c>
      <c r="E56" s="2" t="s">
        <v>24</v>
      </c>
      <c r="F56" s="2">
        <v>53</v>
      </c>
      <c r="G56" s="2">
        <v>37259</v>
      </c>
      <c r="H56" s="9"/>
      <c r="I56" s="9" t="s">
        <v>1479</v>
      </c>
      <c r="J56" s="2" t="s">
        <v>72</v>
      </c>
      <c r="K56" s="2"/>
      <c r="L56" s="2" t="s">
        <v>50</v>
      </c>
      <c r="M56" s="2">
        <v>9.5</v>
      </c>
    </row>
    <row r="57" spans="1:13" ht="30.75">
      <c r="A57" s="7">
        <v>45930</v>
      </c>
      <c r="B57" s="2">
        <v>200</v>
      </c>
      <c r="C57" s="7">
        <v>45930</v>
      </c>
      <c r="D57" s="2" t="s">
        <v>23</v>
      </c>
      <c r="E57" s="2" t="s">
        <v>24</v>
      </c>
      <c r="F57" s="2">
        <v>54</v>
      </c>
      <c r="G57" s="2">
        <v>38150</v>
      </c>
      <c r="H57" s="9"/>
      <c r="I57" s="9" t="s">
        <v>1480</v>
      </c>
      <c r="J57" s="2" t="s">
        <v>72</v>
      </c>
      <c r="K57" s="2"/>
      <c r="L57" s="2" t="s">
        <v>1300</v>
      </c>
      <c r="M57" s="2">
        <v>11.5</v>
      </c>
    </row>
    <row r="58" spans="1:13" ht="30.75">
      <c r="A58" s="7">
        <v>45961</v>
      </c>
      <c r="B58" s="2">
        <v>200</v>
      </c>
      <c r="C58" s="7">
        <v>45961</v>
      </c>
      <c r="D58" s="2" t="s">
        <v>23</v>
      </c>
      <c r="E58" s="2" t="s">
        <v>24</v>
      </c>
      <c r="F58" s="2">
        <v>55</v>
      </c>
      <c r="G58" s="2">
        <v>38974</v>
      </c>
      <c r="H58" s="9"/>
      <c r="I58" s="9" t="s">
        <v>1481</v>
      </c>
      <c r="J58" s="2" t="s">
        <v>72</v>
      </c>
      <c r="K58" s="2"/>
      <c r="L58" s="2" t="s">
        <v>1176</v>
      </c>
      <c r="M58" s="2">
        <v>10</v>
      </c>
    </row>
    <row r="59" spans="1:13" ht="30.75">
      <c r="A59" s="7">
        <v>45989</v>
      </c>
      <c r="B59" s="2">
        <v>200</v>
      </c>
      <c r="C59" s="7">
        <v>45989</v>
      </c>
      <c r="D59" s="2" t="s">
        <v>23</v>
      </c>
      <c r="E59" s="2" t="s">
        <v>24</v>
      </c>
      <c r="F59" s="2">
        <v>56</v>
      </c>
      <c r="G59" s="2">
        <v>39720</v>
      </c>
      <c r="H59" s="9"/>
      <c r="I59" s="9" t="s">
        <v>1482</v>
      </c>
      <c r="J59" s="2" t="s">
        <v>72</v>
      </c>
      <c r="K59" s="2"/>
      <c r="L59" s="2" t="s">
        <v>1443</v>
      </c>
      <c r="M59" s="2">
        <v>10</v>
      </c>
    </row>
    <row r="60" spans="1:13" ht="30.75">
      <c r="A60" s="7">
        <v>46020</v>
      </c>
      <c r="B60" s="2">
        <v>200</v>
      </c>
      <c r="C60" s="7">
        <v>46020</v>
      </c>
      <c r="D60" s="2" t="s">
        <v>23</v>
      </c>
      <c r="E60" s="2" t="s">
        <v>24</v>
      </c>
      <c r="F60" s="2">
        <v>57</v>
      </c>
      <c r="G60" s="2">
        <v>40486</v>
      </c>
      <c r="H60" s="9"/>
      <c r="I60" s="9" t="s">
        <v>1483</v>
      </c>
      <c r="J60" s="2" t="s">
        <v>72</v>
      </c>
      <c r="K60" s="2"/>
      <c r="L60" s="2" t="s">
        <v>686</v>
      </c>
      <c r="M60" s="2">
        <v>10</v>
      </c>
    </row>
    <row r="61" spans="1:13" ht="30.75">
      <c r="A61" s="7">
        <v>46057</v>
      </c>
      <c r="B61" s="2">
        <v>200</v>
      </c>
      <c r="C61" s="7">
        <v>46053</v>
      </c>
      <c r="D61" s="2" t="s">
        <v>23</v>
      </c>
      <c r="E61" s="2" t="s">
        <v>24</v>
      </c>
      <c r="F61" s="2">
        <v>58</v>
      </c>
      <c r="G61" s="2">
        <v>41555</v>
      </c>
      <c r="H61" s="9"/>
      <c r="I61" s="9" t="s">
        <v>1484</v>
      </c>
      <c r="J61" s="2" t="s">
        <v>72</v>
      </c>
      <c r="K61" s="2"/>
      <c r="L61" s="2" t="s">
        <v>32</v>
      </c>
      <c r="M61" s="2">
        <v>10</v>
      </c>
    </row>
    <row r="62" spans="1:13" ht="30.75">
      <c r="A62" s="7">
        <v>46084</v>
      </c>
      <c r="B62" s="2">
        <v>200</v>
      </c>
      <c r="C62" s="7">
        <v>46081</v>
      </c>
      <c r="D62" s="2" t="s">
        <v>23</v>
      </c>
      <c r="E62" s="2" t="s">
        <v>24</v>
      </c>
      <c r="F62" s="2">
        <v>59</v>
      </c>
      <c r="G62" s="2">
        <v>42376</v>
      </c>
      <c r="H62" s="9"/>
      <c r="I62" s="9" t="s">
        <v>1485</v>
      </c>
      <c r="J62" s="2" t="s">
        <v>72</v>
      </c>
      <c r="K62" s="2"/>
      <c r="L62" s="2" t="s">
        <v>34</v>
      </c>
      <c r="M62" s="2">
        <v>10</v>
      </c>
    </row>
    <row r="63" spans="1:13" ht="30.75">
      <c r="A63" s="7">
        <v>46112</v>
      </c>
      <c r="B63" s="2">
        <v>242</v>
      </c>
      <c r="C63" s="7">
        <v>46112</v>
      </c>
      <c r="D63" s="2" t="s">
        <v>23</v>
      </c>
      <c r="E63" s="2" t="s">
        <v>24</v>
      </c>
      <c r="F63" s="2">
        <v>60</v>
      </c>
      <c r="G63" s="2">
        <v>43259</v>
      </c>
      <c r="H63" s="9"/>
      <c r="I63" s="9" t="s">
        <v>1486</v>
      </c>
      <c r="J63" s="2" t="s">
        <v>72</v>
      </c>
      <c r="K63" s="2"/>
      <c r="L63" s="2" t="s">
        <v>38</v>
      </c>
      <c r="M63" s="2">
        <v>22</v>
      </c>
    </row>
    <row r="64" spans="1:13" ht="30.75">
      <c r="A64" s="7">
        <v>46142</v>
      </c>
      <c r="B64" s="2">
        <v>200</v>
      </c>
      <c r="C64" s="7">
        <v>46141</v>
      </c>
      <c r="D64" s="2" t="s">
        <v>23</v>
      </c>
      <c r="E64" s="2" t="s">
        <v>24</v>
      </c>
      <c r="F64" s="2">
        <v>61</v>
      </c>
      <c r="G64" s="2">
        <v>44089</v>
      </c>
      <c r="H64" s="9"/>
      <c r="I64" s="9" t="s">
        <v>1487</v>
      </c>
      <c r="J64" s="2" t="s">
        <v>72</v>
      </c>
      <c r="K64" s="2"/>
      <c r="L64" s="2" t="s">
        <v>41</v>
      </c>
      <c r="M64" s="2">
        <v>10</v>
      </c>
    </row>
    <row r="65" spans="1:13" ht="30.75">
      <c r="A65" s="7">
        <v>46171</v>
      </c>
      <c r="B65" s="2">
        <v>200</v>
      </c>
      <c r="C65" s="2"/>
      <c r="D65" s="2" t="s">
        <v>23</v>
      </c>
      <c r="E65" s="2" t="s">
        <v>24</v>
      </c>
      <c r="F65" s="2"/>
      <c r="G65" s="2">
        <v>44968</v>
      </c>
      <c r="H65" s="2"/>
      <c r="I65" s="2"/>
      <c r="J65" s="2" t="s">
        <v>72</v>
      </c>
      <c r="K65" s="2"/>
      <c r="L65" s="2" t="s">
        <v>44</v>
      </c>
      <c r="M65" s="2"/>
    </row>
    <row r="66" spans="1:13" ht="30.75">
      <c r="A66" s="2"/>
      <c r="B66" s="2"/>
      <c r="C66" s="2"/>
      <c r="D66" s="2" t="s">
        <v>23</v>
      </c>
      <c r="E66" s="2"/>
      <c r="F66" s="2"/>
      <c r="G66" s="2"/>
      <c r="H66" s="2"/>
      <c r="I66" s="2"/>
      <c r="J66" s="2"/>
      <c r="K66" s="2"/>
      <c r="L66" s="2"/>
      <c r="M66" s="2"/>
    </row>
    <row r="67" spans="1:13" ht="30.75">
      <c r="A67" s="2"/>
      <c r="B67" s="2"/>
      <c r="C67" s="2"/>
      <c r="D67" s="2" t="s">
        <v>23</v>
      </c>
      <c r="E67" s="2"/>
      <c r="F67" s="2"/>
      <c r="G67" s="2"/>
      <c r="H67" s="2"/>
      <c r="I67" s="2"/>
      <c r="J67" s="2"/>
      <c r="K67" s="2"/>
      <c r="L67" s="2"/>
      <c r="M67" s="2"/>
    </row>
    <row r="68" spans="1:13" ht="30.75">
      <c r="A68" s="2"/>
      <c r="B68" s="2"/>
      <c r="C68" s="2"/>
      <c r="D68" s="2" t="s">
        <v>23</v>
      </c>
      <c r="E68" s="2"/>
      <c r="F68" s="2"/>
      <c r="G68" s="2"/>
      <c r="H68" s="2"/>
      <c r="I68" s="2"/>
      <c r="J68" s="2"/>
      <c r="K68" s="2"/>
      <c r="L68" s="2"/>
      <c r="M68" s="2"/>
    </row>
    <row r="69" spans="1:13" ht="30.75">
      <c r="A69" s="2"/>
      <c r="B69" s="2"/>
      <c r="C69" s="2"/>
      <c r="D69" s="2" t="s">
        <v>23</v>
      </c>
      <c r="E69" s="2"/>
      <c r="F69" s="2"/>
      <c r="G69" s="2"/>
      <c r="H69" s="2"/>
      <c r="I69" s="2"/>
      <c r="J69" s="2"/>
      <c r="K69" s="2"/>
      <c r="L69" s="2"/>
      <c r="M69" s="2"/>
    </row>
    <row r="70" spans="1:13" ht="30.75">
      <c r="A70" s="2"/>
      <c r="B70" s="2"/>
      <c r="C70" s="2"/>
      <c r="D70" s="2" t="s">
        <v>23</v>
      </c>
      <c r="E70" s="2"/>
      <c r="F70" s="2"/>
      <c r="G70" s="2"/>
      <c r="H70" s="2"/>
      <c r="I70" s="2"/>
      <c r="J70" s="2"/>
      <c r="K70" s="2"/>
      <c r="L70" s="2"/>
      <c r="M70" s="2"/>
    </row>
    <row r="71" spans="1:13" ht="30.75">
      <c r="A71" s="2"/>
      <c r="B71" s="2"/>
      <c r="C71" s="2"/>
      <c r="D71" s="2" t="s">
        <v>23</v>
      </c>
      <c r="E71" s="2"/>
      <c r="F71" s="2"/>
      <c r="G71" s="2"/>
      <c r="H71" s="2"/>
      <c r="I71" s="2"/>
      <c r="J71" s="2"/>
      <c r="K71" s="2"/>
      <c r="L71" s="2"/>
      <c r="M71" s="2"/>
    </row>
    <row r="72" spans="1:13" ht="30.75">
      <c r="A72" s="2"/>
      <c r="B72" s="2"/>
      <c r="C72" s="2"/>
      <c r="D72" s="2" t="s">
        <v>23</v>
      </c>
      <c r="E72" s="2"/>
      <c r="F72" s="2"/>
      <c r="G72" s="2"/>
      <c r="H72" s="2"/>
      <c r="I72" s="2"/>
      <c r="J72" s="2"/>
      <c r="K72" s="2"/>
      <c r="L72" s="2"/>
      <c r="M72" s="2"/>
    </row>
    <row r="73" spans="1:13" ht="30.75">
      <c r="A73" s="2"/>
      <c r="B73" s="2"/>
      <c r="C73" s="2"/>
      <c r="D73" s="2" t="s">
        <v>23</v>
      </c>
      <c r="E73" s="2"/>
      <c r="F73" s="2"/>
      <c r="G73" s="2"/>
      <c r="H73" s="2"/>
      <c r="I73" s="2"/>
      <c r="J73" s="2"/>
      <c r="K73" s="2"/>
      <c r="L73" s="2"/>
      <c r="M73" s="2"/>
    </row>
    <row r="74" spans="1:13" ht="30.75">
      <c r="A74" s="2"/>
      <c r="B74" s="2"/>
      <c r="C74" s="2"/>
      <c r="D74" s="2" t="s">
        <v>23</v>
      </c>
      <c r="E74" s="2"/>
      <c r="F74" s="2"/>
      <c r="G74" s="2"/>
      <c r="H74" s="2"/>
      <c r="I74" s="2"/>
      <c r="J74" s="2"/>
      <c r="K74" s="2"/>
      <c r="L74" s="2"/>
      <c r="M74" s="2"/>
    </row>
    <row r="75" spans="1:13" ht="30.75">
      <c r="A75" s="2"/>
      <c r="B75" s="2"/>
      <c r="C75" s="2"/>
      <c r="D75" s="2" t="s">
        <v>23</v>
      </c>
      <c r="E75" s="2"/>
      <c r="F75" s="2"/>
      <c r="G75" s="2"/>
      <c r="H75" s="2"/>
      <c r="I75" s="2"/>
      <c r="J75" s="2"/>
      <c r="K75" s="2"/>
      <c r="L75" s="2"/>
      <c r="M75" s="2"/>
    </row>
    <row r="76" spans="1:13" ht="30.75">
      <c r="A76" s="2"/>
      <c r="B76" s="2"/>
      <c r="C76" s="2"/>
      <c r="D76" s="2" t="s">
        <v>23</v>
      </c>
      <c r="E76" s="2"/>
      <c r="F76" s="2"/>
      <c r="G76" s="2"/>
      <c r="H76" s="2"/>
      <c r="I76" s="2"/>
      <c r="J76" s="2"/>
      <c r="K76" s="2"/>
      <c r="L76" s="2"/>
      <c r="M76" s="2"/>
    </row>
    <row r="77" spans="1:13" ht="30.75">
      <c r="A77" s="2"/>
      <c r="B77" s="2"/>
      <c r="C77" s="2"/>
      <c r="D77" s="2" t="s">
        <v>23</v>
      </c>
      <c r="E77" s="2"/>
      <c r="F77" s="2"/>
      <c r="G77" s="2"/>
      <c r="H77" s="2"/>
      <c r="I77" s="2"/>
      <c r="J77" s="2"/>
      <c r="K77" s="2"/>
      <c r="L77" s="2"/>
      <c r="M77" s="2"/>
    </row>
    <row r="78" spans="1:13" ht="30.75">
      <c r="A78" s="2"/>
      <c r="B78" s="2"/>
      <c r="C78" s="2"/>
      <c r="D78" s="2" t="s">
        <v>23</v>
      </c>
      <c r="E78" s="2"/>
      <c r="F78" s="2"/>
      <c r="G78" s="2"/>
      <c r="H78" s="2"/>
      <c r="I78" s="2"/>
      <c r="J78" s="2"/>
      <c r="K78" s="2"/>
      <c r="L78" s="2"/>
      <c r="M78" s="2"/>
    </row>
    <row r="79" spans="1:13" ht="30.75">
      <c r="A79" s="2"/>
      <c r="B79" s="2"/>
      <c r="C79" s="2"/>
      <c r="D79" s="2" t="s">
        <v>23</v>
      </c>
      <c r="E79" s="2"/>
      <c r="F79" s="2"/>
      <c r="G79" s="2"/>
      <c r="H79" s="2"/>
      <c r="I79" s="2"/>
      <c r="J79" s="2"/>
      <c r="K79" s="2"/>
      <c r="L79" s="2"/>
      <c r="M79" s="2"/>
    </row>
  </sheetData>
  <mergeCells count="7">
    <mergeCell ref="C6:E6"/>
    <mergeCell ref="A1:I1"/>
    <mergeCell ref="G2:J2"/>
    <mergeCell ref="C5:E5"/>
    <mergeCell ref="F5:H5"/>
    <mergeCell ref="J5:L5"/>
    <mergeCell ref="D3:H3"/>
  </mergeCells>
  <dataValidations count="1">
    <dataValidation type="list" allowBlank="1" showInputMessage="1" showErrorMessage="1" sqref="E8:E79" xr:uid="{00000000-0002-0000-0B00-000000000000}">
      <formula1>"EFECTIVO, CHEQUE, TRANSFERENCIA,DEPOSITO"</formula1>
    </dataValidation>
  </dataValidations>
  <hyperlinks>
    <hyperlink ref="B4" r:id="rId1" xr:uid="{00000000-0004-0000-0B00-000000000000}"/>
    <hyperlink ref="D3:H3" r:id="rId2" display="sanjosepoliclinico27@gmail.com" xr:uid="{F8FBED33-B660-4F47-9282-839838FE301F}"/>
  </hyperlinks>
  <pageMargins left="0.7" right="0.7" top="0.75" bottom="0.75" header="0.3" footer="0.3"/>
  <pageSetup orientation="portrait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C009-D024-45BE-8392-9932E042119A}">
  <dimension ref="A1:O64"/>
  <sheetViews>
    <sheetView topLeftCell="A29" workbookViewId="0">
      <selection activeCell="K5" sqref="K5:M5"/>
    </sheetView>
  </sheetViews>
  <sheetFormatPr defaultColWidth="11.42578125" defaultRowHeight="15"/>
  <cols>
    <col min="2" max="2" width="32.28515625" customWidth="1"/>
  </cols>
  <sheetData>
    <row r="1" spans="1:13" ht="23.25">
      <c r="A1" s="718" t="s">
        <v>1488</v>
      </c>
      <c r="B1" s="718"/>
      <c r="C1" s="718"/>
      <c r="D1" s="718"/>
      <c r="E1" s="718"/>
      <c r="F1" s="718"/>
      <c r="G1" s="718"/>
      <c r="H1" s="718"/>
      <c r="I1" s="718"/>
      <c r="J1" s="634"/>
    </row>
    <row r="2" spans="1:13" ht="30.75">
      <c r="A2" s="2" t="s">
        <v>93</v>
      </c>
      <c r="B2" t="s">
        <v>1489</v>
      </c>
      <c r="G2" s="719"/>
      <c r="H2" s="719"/>
      <c r="I2" s="719"/>
      <c r="J2" s="719"/>
      <c r="K2" s="719"/>
      <c r="L2" s="651"/>
      <c r="M2" s="651"/>
    </row>
    <row r="3" spans="1:13">
      <c r="A3" s="2" t="s">
        <v>1</v>
      </c>
      <c r="B3">
        <v>10081521145</v>
      </c>
      <c r="L3" s="651"/>
      <c r="M3" s="651"/>
    </row>
    <row r="4" spans="1:13" ht="23.25" customHeight="1">
      <c r="A4" s="4" t="s">
        <v>2</v>
      </c>
      <c r="B4" s="16" t="s">
        <v>1490</v>
      </c>
      <c r="E4" s="26"/>
      <c r="F4" s="95"/>
      <c r="G4" s="98"/>
      <c r="H4" s="98"/>
      <c r="I4" s="98"/>
      <c r="J4" s="98"/>
      <c r="K4" s="98"/>
      <c r="L4" s="35"/>
      <c r="M4" s="35"/>
    </row>
    <row r="5" spans="1:13" ht="47.25">
      <c r="A5" s="137" t="s">
        <v>4</v>
      </c>
      <c r="B5" s="138" t="s">
        <v>197</v>
      </c>
      <c r="C5" s="704"/>
      <c r="D5" s="704"/>
      <c r="E5" s="704"/>
      <c r="F5" s="720" t="s">
        <v>1491</v>
      </c>
      <c r="G5" s="720"/>
      <c r="H5" s="720"/>
      <c r="I5" s="35" t="s">
        <v>1492</v>
      </c>
      <c r="J5" s="35"/>
      <c r="K5" s="721"/>
      <c r="L5" s="714"/>
      <c r="M5" s="714"/>
    </row>
    <row r="6" spans="1:13" ht="18.75">
      <c r="A6" s="97"/>
      <c r="B6" s="97"/>
      <c r="C6" s="715" t="s">
        <v>224</v>
      </c>
      <c r="D6" s="716"/>
      <c r="E6" s="717"/>
      <c r="F6" s="97"/>
      <c r="G6" s="97"/>
      <c r="H6" s="97"/>
      <c r="I6" s="97"/>
      <c r="J6" s="97"/>
      <c r="K6" s="97"/>
      <c r="L6" s="35"/>
      <c r="M6" s="35"/>
    </row>
    <row r="7" spans="1:13" ht="57">
      <c r="A7" s="139" t="s">
        <v>7</v>
      </c>
      <c r="B7" s="139" t="s">
        <v>8</v>
      </c>
      <c r="C7" s="139" t="s">
        <v>10</v>
      </c>
      <c r="D7" s="139" t="s">
        <v>11</v>
      </c>
      <c r="E7" s="139" t="s">
        <v>12</v>
      </c>
      <c r="F7" s="139" t="s">
        <v>342</v>
      </c>
      <c r="G7" s="139" t="s">
        <v>14</v>
      </c>
      <c r="H7" s="139" t="s">
        <v>343</v>
      </c>
      <c r="I7" s="139" t="s">
        <v>16</v>
      </c>
      <c r="J7" s="139" t="s">
        <v>17</v>
      </c>
      <c r="K7" s="139" t="s">
        <v>18</v>
      </c>
      <c r="L7" s="139" t="s">
        <v>99</v>
      </c>
      <c r="M7" s="293" t="s">
        <v>19</v>
      </c>
    </row>
    <row r="8" spans="1:13" ht="30.75">
      <c r="A8" s="7">
        <v>44386</v>
      </c>
      <c r="B8" s="8">
        <v>118</v>
      </c>
      <c r="C8" s="7">
        <v>44386</v>
      </c>
      <c r="D8" s="2" t="s">
        <v>23</v>
      </c>
      <c r="E8" s="2" t="s">
        <v>28</v>
      </c>
      <c r="F8" s="2">
        <v>6</v>
      </c>
      <c r="G8" s="9" t="s">
        <v>1493</v>
      </c>
      <c r="H8" s="9" t="s">
        <v>1494</v>
      </c>
      <c r="I8" s="9" t="s">
        <v>1495</v>
      </c>
      <c r="J8" s="9"/>
      <c r="K8" s="2" t="s">
        <v>26</v>
      </c>
      <c r="L8" s="2"/>
      <c r="M8" s="2"/>
    </row>
    <row r="9" spans="1:13" ht="30.75">
      <c r="A9" s="7">
        <v>44429</v>
      </c>
      <c r="B9" s="8">
        <v>118</v>
      </c>
      <c r="C9" s="9" t="s">
        <v>1496</v>
      </c>
      <c r="D9" s="2" t="s">
        <v>23</v>
      </c>
      <c r="E9" s="2" t="s">
        <v>28</v>
      </c>
      <c r="F9" s="2"/>
      <c r="G9" s="9" t="s">
        <v>1497</v>
      </c>
      <c r="H9" s="9"/>
      <c r="I9" s="291">
        <v>6272</v>
      </c>
      <c r="J9" s="291"/>
      <c r="K9" s="2" t="s">
        <v>56</v>
      </c>
      <c r="L9" s="2"/>
      <c r="M9" s="2"/>
    </row>
    <row r="10" spans="1:13" ht="60.75">
      <c r="A10" s="7">
        <v>44469</v>
      </c>
      <c r="B10" s="8">
        <v>118</v>
      </c>
      <c r="C10" s="7">
        <v>44547</v>
      </c>
      <c r="D10" s="2" t="s">
        <v>23</v>
      </c>
      <c r="E10" s="2" t="s">
        <v>28</v>
      </c>
      <c r="F10" s="2">
        <v>7</v>
      </c>
      <c r="G10" s="9" t="s">
        <v>36</v>
      </c>
      <c r="H10" s="9" t="s">
        <v>36</v>
      </c>
      <c r="I10" s="9" t="s">
        <v>1498</v>
      </c>
      <c r="J10" s="9"/>
      <c r="K10" s="2" t="s">
        <v>26</v>
      </c>
      <c r="L10" s="2"/>
      <c r="M10" s="2"/>
    </row>
    <row r="11" spans="1:13" ht="30.75">
      <c r="A11" s="7">
        <v>44582</v>
      </c>
      <c r="B11" s="8">
        <v>118</v>
      </c>
      <c r="C11" s="7">
        <v>44582</v>
      </c>
      <c r="D11" s="2" t="s">
        <v>23</v>
      </c>
      <c r="E11" s="2" t="s">
        <v>28</v>
      </c>
      <c r="F11" s="2">
        <v>8</v>
      </c>
      <c r="G11" s="9" t="s">
        <v>1499</v>
      </c>
      <c r="H11" s="9"/>
      <c r="I11" s="9" t="s">
        <v>1500</v>
      </c>
      <c r="J11" s="9"/>
      <c r="K11" s="2" t="s">
        <v>26</v>
      </c>
      <c r="L11" s="2"/>
      <c r="M11" s="2"/>
    </row>
    <row r="12" spans="1:13" ht="30.75">
      <c r="A12" s="7">
        <v>44708</v>
      </c>
      <c r="B12" s="8">
        <v>118</v>
      </c>
      <c r="C12" s="7">
        <v>44624</v>
      </c>
      <c r="D12" s="2" t="s">
        <v>23</v>
      </c>
      <c r="E12" s="2" t="s">
        <v>24</v>
      </c>
      <c r="F12" s="2">
        <v>9</v>
      </c>
      <c r="G12" s="9" t="s">
        <v>1501</v>
      </c>
      <c r="H12" s="9"/>
      <c r="I12" s="9" t="s">
        <v>1502</v>
      </c>
      <c r="J12" s="9"/>
      <c r="K12" s="2" t="s">
        <v>26</v>
      </c>
      <c r="L12" s="2" t="s">
        <v>38</v>
      </c>
      <c r="M12" s="2" t="s">
        <v>36</v>
      </c>
    </row>
    <row r="13" spans="1:13" ht="30.75">
      <c r="A13" s="7">
        <v>44748</v>
      </c>
      <c r="B13" s="8">
        <v>118</v>
      </c>
      <c r="C13" s="7">
        <v>44687</v>
      </c>
      <c r="D13" s="2" t="s">
        <v>23</v>
      </c>
      <c r="E13" s="2" t="s">
        <v>24</v>
      </c>
      <c r="F13" s="2">
        <v>10</v>
      </c>
      <c r="G13" s="9" t="s">
        <v>1501</v>
      </c>
      <c r="H13" s="9"/>
      <c r="I13" s="9" t="s">
        <v>1503</v>
      </c>
      <c r="J13" s="9"/>
      <c r="K13" s="2" t="s">
        <v>26</v>
      </c>
      <c r="L13" s="2" t="s">
        <v>41</v>
      </c>
      <c r="M13" s="2"/>
    </row>
    <row r="14" spans="1:13" ht="30.75">
      <c r="A14" s="7">
        <v>44818</v>
      </c>
      <c r="B14" s="8">
        <v>118</v>
      </c>
      <c r="C14" s="7">
        <v>44818</v>
      </c>
      <c r="D14" s="2" t="s">
        <v>23</v>
      </c>
      <c r="E14" s="2" t="s">
        <v>28</v>
      </c>
      <c r="F14" s="2">
        <v>11</v>
      </c>
      <c r="G14" s="9" t="s">
        <v>1504</v>
      </c>
      <c r="H14" s="9"/>
      <c r="I14" s="9" t="s">
        <v>1505</v>
      </c>
      <c r="J14" s="9"/>
      <c r="K14" s="2" t="s">
        <v>26</v>
      </c>
      <c r="L14" s="2"/>
      <c r="M14" s="2"/>
    </row>
    <row r="15" spans="1:13" ht="30.75">
      <c r="A15" s="2" t="s">
        <v>332</v>
      </c>
      <c r="B15" s="8">
        <v>118</v>
      </c>
      <c r="C15" s="7" t="s">
        <v>272</v>
      </c>
      <c r="D15" s="2" t="s">
        <v>23</v>
      </c>
      <c r="E15" s="2" t="s">
        <v>24</v>
      </c>
      <c r="F15" s="2">
        <v>12</v>
      </c>
      <c r="G15" s="9" t="s">
        <v>1506</v>
      </c>
      <c r="H15" s="9"/>
      <c r="I15" s="9" t="s">
        <v>1507</v>
      </c>
      <c r="J15" s="9"/>
      <c r="K15" s="2" t="s">
        <v>26</v>
      </c>
      <c r="L15" s="2" t="s">
        <v>270</v>
      </c>
      <c r="M15" s="100" t="s">
        <v>1508</v>
      </c>
    </row>
    <row r="16" spans="1:13" ht="30.75">
      <c r="A16" s="7">
        <v>45235</v>
      </c>
      <c r="B16" s="8">
        <v>118</v>
      </c>
      <c r="C16" s="7" t="s">
        <v>242</v>
      </c>
      <c r="D16" s="2" t="s">
        <v>23</v>
      </c>
      <c r="E16" s="2" t="s">
        <v>24</v>
      </c>
      <c r="F16" s="2">
        <v>13</v>
      </c>
      <c r="G16" s="9" t="s">
        <v>1509</v>
      </c>
      <c r="H16" s="9"/>
      <c r="I16" s="9" t="s">
        <v>1510</v>
      </c>
      <c r="J16" s="9"/>
      <c r="K16" s="2" t="s">
        <v>26</v>
      </c>
      <c r="L16" s="2"/>
      <c r="M16" s="2"/>
    </row>
    <row r="17" spans="1:15" ht="30.75">
      <c r="A17" s="7">
        <v>45052</v>
      </c>
      <c r="B17" s="8">
        <v>118</v>
      </c>
      <c r="C17" s="7" t="s">
        <v>70</v>
      </c>
      <c r="D17" s="2" t="s">
        <v>23</v>
      </c>
      <c r="E17" s="2" t="s">
        <v>24</v>
      </c>
      <c r="F17" s="2">
        <v>14</v>
      </c>
      <c r="G17" s="9" t="s">
        <v>1511</v>
      </c>
      <c r="H17" s="9"/>
      <c r="I17" s="9" t="s">
        <v>1512</v>
      </c>
      <c r="J17" s="9"/>
      <c r="K17" s="2" t="s">
        <v>26</v>
      </c>
      <c r="L17" s="2">
        <v>8</v>
      </c>
      <c r="M17" s="2"/>
    </row>
    <row r="18" spans="1:15" ht="30.75">
      <c r="A18" s="7">
        <v>45103</v>
      </c>
      <c r="B18" s="8">
        <v>118</v>
      </c>
      <c r="C18" s="7">
        <v>45104</v>
      </c>
      <c r="D18" s="2" t="s">
        <v>23</v>
      </c>
      <c r="E18" s="2" t="s">
        <v>28</v>
      </c>
      <c r="F18" s="2">
        <v>15</v>
      </c>
      <c r="G18" s="9" t="s">
        <v>1513</v>
      </c>
      <c r="H18" s="9"/>
      <c r="I18" s="9" t="s">
        <v>1514</v>
      </c>
      <c r="J18" s="9"/>
      <c r="K18" s="2" t="s">
        <v>26</v>
      </c>
      <c r="L18" s="2">
        <v>4.2</v>
      </c>
      <c r="M18" s="2"/>
    </row>
    <row r="19" spans="1:15" ht="30.75">
      <c r="A19" s="7">
        <v>45134</v>
      </c>
      <c r="B19" s="8">
        <v>118</v>
      </c>
      <c r="C19" s="7">
        <v>45134</v>
      </c>
      <c r="D19" s="2" t="s">
        <v>23</v>
      </c>
      <c r="E19" s="2" t="s">
        <v>28</v>
      </c>
      <c r="F19" s="2">
        <v>16</v>
      </c>
      <c r="G19" s="9" t="s">
        <v>1515</v>
      </c>
      <c r="H19" s="9"/>
      <c r="I19" s="9" t="s">
        <v>1516</v>
      </c>
      <c r="J19" s="9"/>
      <c r="K19" s="2" t="s">
        <v>26</v>
      </c>
      <c r="L19" s="2">
        <v>3.2</v>
      </c>
      <c r="M19" s="2"/>
    </row>
    <row r="20" spans="1:15" ht="30.75">
      <c r="A20" s="7">
        <v>45166</v>
      </c>
      <c r="B20" s="8">
        <v>118</v>
      </c>
      <c r="C20" s="7">
        <v>45166</v>
      </c>
      <c r="D20" s="2" t="s">
        <v>23</v>
      </c>
      <c r="E20" s="2" t="s">
        <v>28</v>
      </c>
      <c r="F20" s="2">
        <v>17</v>
      </c>
      <c r="G20" s="2" t="s">
        <v>1517</v>
      </c>
      <c r="H20" s="9"/>
      <c r="I20" s="9" t="s">
        <v>1518</v>
      </c>
      <c r="J20" s="9"/>
      <c r="K20" s="2" t="s">
        <v>26</v>
      </c>
      <c r="L20" s="2">
        <v>3.2</v>
      </c>
      <c r="M20" s="2"/>
    </row>
    <row r="21" spans="1:15" ht="30.75">
      <c r="A21" s="7">
        <v>45198</v>
      </c>
      <c r="B21" s="8">
        <v>118</v>
      </c>
      <c r="C21" s="7">
        <v>45198</v>
      </c>
      <c r="D21" s="2" t="s">
        <v>23</v>
      </c>
      <c r="E21" s="2" t="s">
        <v>28</v>
      </c>
      <c r="F21" s="2">
        <v>18</v>
      </c>
      <c r="G21" s="2">
        <v>19415</v>
      </c>
      <c r="H21" s="9"/>
      <c r="I21" s="9" t="s">
        <v>1519</v>
      </c>
      <c r="J21" s="9"/>
      <c r="K21" s="2" t="s">
        <v>26</v>
      </c>
      <c r="L21" s="2">
        <v>6</v>
      </c>
      <c r="M21" s="2"/>
    </row>
    <row r="22" spans="1:15" ht="30.75">
      <c r="A22" s="7">
        <v>45230</v>
      </c>
      <c r="B22" s="8">
        <v>118</v>
      </c>
      <c r="C22" s="7">
        <v>45230</v>
      </c>
      <c r="D22" s="2" t="s">
        <v>23</v>
      </c>
      <c r="E22" s="2" t="s">
        <v>28</v>
      </c>
      <c r="F22" s="2">
        <v>19</v>
      </c>
      <c r="G22" s="2">
        <v>20154</v>
      </c>
      <c r="H22" s="9"/>
      <c r="I22" s="9" t="s">
        <v>1520</v>
      </c>
      <c r="J22" s="9" t="s">
        <v>1521</v>
      </c>
      <c r="K22" s="2" t="s">
        <v>26</v>
      </c>
      <c r="L22" s="2">
        <v>6</v>
      </c>
      <c r="M22" s="2"/>
    </row>
    <row r="23" spans="1:15" ht="30.75">
      <c r="A23" s="7" t="s">
        <v>1522</v>
      </c>
      <c r="B23" s="8" t="s">
        <v>1523</v>
      </c>
      <c r="C23" s="9" t="s">
        <v>1524</v>
      </c>
      <c r="D23" s="9" t="s">
        <v>23</v>
      </c>
      <c r="E23" s="9" t="s">
        <v>24</v>
      </c>
      <c r="F23" s="9" t="s">
        <v>1525</v>
      </c>
      <c r="G23" s="9" t="s">
        <v>1526</v>
      </c>
      <c r="H23" s="9"/>
      <c r="I23" s="9" t="s">
        <v>1527</v>
      </c>
      <c r="J23" s="9" t="s">
        <v>1528</v>
      </c>
      <c r="K23" s="9" t="s">
        <v>26</v>
      </c>
      <c r="L23" s="9">
        <v>10</v>
      </c>
      <c r="M23" s="9"/>
    </row>
    <row r="24" spans="1:15" ht="30.75">
      <c r="A24" s="7">
        <v>45289</v>
      </c>
      <c r="B24" s="8">
        <v>118</v>
      </c>
      <c r="C24" s="7">
        <v>45288</v>
      </c>
      <c r="D24" s="2" t="s">
        <v>23</v>
      </c>
      <c r="E24" s="2" t="s">
        <v>28</v>
      </c>
      <c r="F24" s="2">
        <v>21</v>
      </c>
      <c r="G24" s="2">
        <v>21489</v>
      </c>
      <c r="H24" s="9"/>
      <c r="I24" s="9" t="s">
        <v>1529</v>
      </c>
      <c r="J24" s="9" t="s">
        <v>1530</v>
      </c>
      <c r="K24" s="2" t="s">
        <v>26</v>
      </c>
      <c r="L24" s="2">
        <v>4</v>
      </c>
      <c r="M24" s="2"/>
    </row>
    <row r="25" spans="1:15" ht="30.75">
      <c r="A25" s="7">
        <v>45322</v>
      </c>
      <c r="B25" s="8">
        <v>118</v>
      </c>
      <c r="C25" s="7">
        <v>45322</v>
      </c>
      <c r="D25" s="2" t="s">
        <v>23</v>
      </c>
      <c r="E25" s="2" t="s">
        <v>28</v>
      </c>
      <c r="F25" s="2">
        <v>22</v>
      </c>
      <c r="G25" s="2">
        <v>22200</v>
      </c>
      <c r="H25" s="9"/>
      <c r="I25" s="9" t="s">
        <v>1531</v>
      </c>
      <c r="J25" s="9" t="s">
        <v>1532</v>
      </c>
      <c r="K25" s="2" t="s">
        <v>26</v>
      </c>
      <c r="L25" s="2">
        <v>8</v>
      </c>
      <c r="M25" s="2"/>
    </row>
    <row r="26" spans="1:15" ht="30.75">
      <c r="A26" s="7">
        <v>45351</v>
      </c>
      <c r="B26" s="8">
        <v>118</v>
      </c>
      <c r="C26" s="7">
        <v>45351</v>
      </c>
      <c r="D26" s="2" t="s">
        <v>23</v>
      </c>
      <c r="E26" s="2" t="s">
        <v>28</v>
      </c>
      <c r="F26" s="2">
        <v>23</v>
      </c>
      <c r="G26" s="2">
        <v>22855</v>
      </c>
      <c r="H26" s="9"/>
      <c r="I26" s="9" t="s">
        <v>1533</v>
      </c>
      <c r="J26" s="9" t="s">
        <v>1534</v>
      </c>
      <c r="K26" s="2" t="s">
        <v>26</v>
      </c>
      <c r="L26" s="2">
        <v>4.2</v>
      </c>
      <c r="M26" s="2"/>
    </row>
    <row r="27" spans="1:15" ht="30.75">
      <c r="A27" s="7">
        <v>45377</v>
      </c>
      <c r="B27" s="8">
        <v>118</v>
      </c>
      <c r="C27" s="7">
        <v>45377</v>
      </c>
      <c r="D27" s="2" t="s">
        <v>23</v>
      </c>
      <c r="E27" s="2" t="s">
        <v>28</v>
      </c>
      <c r="F27" s="2">
        <v>24</v>
      </c>
      <c r="G27" s="2">
        <v>23458</v>
      </c>
      <c r="H27" s="9"/>
      <c r="I27" s="9" t="s">
        <v>1535</v>
      </c>
      <c r="J27" s="9" t="s">
        <v>1536</v>
      </c>
      <c r="K27" s="2" t="s">
        <v>26</v>
      </c>
      <c r="L27" s="2">
        <v>6.5</v>
      </c>
      <c r="M27" s="2"/>
    </row>
    <row r="28" spans="1:15" ht="30.75">
      <c r="A28" s="7">
        <v>45412</v>
      </c>
      <c r="B28" s="8">
        <v>118</v>
      </c>
      <c r="C28" s="7">
        <v>45412</v>
      </c>
      <c r="D28" s="2" t="s">
        <v>23</v>
      </c>
      <c r="E28" s="2" t="s">
        <v>28</v>
      </c>
      <c r="F28" s="2">
        <v>25</v>
      </c>
      <c r="G28" s="2">
        <v>24335</v>
      </c>
      <c r="H28" s="9"/>
      <c r="I28" s="9" t="s">
        <v>1537</v>
      </c>
      <c r="J28" s="9" t="s">
        <v>1538</v>
      </c>
      <c r="K28" s="2" t="s">
        <v>26</v>
      </c>
      <c r="L28" s="2">
        <v>8.1</v>
      </c>
      <c r="M28" s="2"/>
      <c r="O28" s="495"/>
    </row>
    <row r="29" spans="1:15" ht="30.75">
      <c r="A29" s="7">
        <v>45443</v>
      </c>
      <c r="B29" s="8">
        <v>118</v>
      </c>
      <c r="C29" s="7">
        <v>45443</v>
      </c>
      <c r="D29" s="2" t="s">
        <v>23</v>
      </c>
      <c r="E29" s="2" t="s">
        <v>28</v>
      </c>
      <c r="F29" s="2">
        <v>26</v>
      </c>
      <c r="G29" s="2">
        <v>24335</v>
      </c>
      <c r="H29" s="9"/>
      <c r="I29" s="9" t="s">
        <v>1539</v>
      </c>
      <c r="J29" s="9" t="s">
        <v>1540</v>
      </c>
      <c r="K29" s="2" t="s">
        <v>26</v>
      </c>
      <c r="L29" s="2">
        <v>7.2</v>
      </c>
      <c r="M29" s="2"/>
    </row>
    <row r="30" spans="1:15" ht="30.75">
      <c r="A30" s="7">
        <v>45471</v>
      </c>
      <c r="B30" s="8">
        <v>118</v>
      </c>
      <c r="C30" s="7">
        <v>45471</v>
      </c>
      <c r="D30" s="2" t="s">
        <v>23</v>
      </c>
      <c r="E30" s="2" t="s">
        <v>24</v>
      </c>
      <c r="F30" s="2">
        <v>27</v>
      </c>
      <c r="G30" s="2">
        <v>25757</v>
      </c>
      <c r="H30" s="9"/>
      <c r="I30" s="9" t="s">
        <v>1541</v>
      </c>
      <c r="J30" s="9" t="s">
        <v>1542</v>
      </c>
      <c r="K30" s="2" t="s">
        <v>72</v>
      </c>
      <c r="L30" s="2">
        <v>7.4</v>
      </c>
      <c r="M30" s="2"/>
    </row>
    <row r="31" spans="1:15" ht="30.75">
      <c r="A31" s="7">
        <v>45504</v>
      </c>
      <c r="B31" s="8">
        <v>118</v>
      </c>
      <c r="C31" s="7">
        <v>45504</v>
      </c>
      <c r="D31" s="2" t="s">
        <v>23</v>
      </c>
      <c r="E31" s="2" t="s">
        <v>28</v>
      </c>
      <c r="F31" s="2">
        <v>28</v>
      </c>
      <c r="G31" s="2">
        <v>26643</v>
      </c>
      <c r="H31" s="9"/>
      <c r="I31" s="9" t="s">
        <v>1543</v>
      </c>
      <c r="J31" s="9" t="s">
        <v>1544</v>
      </c>
      <c r="K31" s="2" t="s">
        <v>26</v>
      </c>
      <c r="L31" s="2">
        <v>7.3</v>
      </c>
      <c r="M31" s="2"/>
    </row>
    <row r="32" spans="1:15" ht="30.75">
      <c r="A32" s="7">
        <v>45533</v>
      </c>
      <c r="B32" s="8">
        <v>118</v>
      </c>
      <c r="C32" s="7">
        <v>45533</v>
      </c>
      <c r="D32" s="2" t="s">
        <v>23</v>
      </c>
      <c r="E32" s="2" t="s">
        <v>28</v>
      </c>
      <c r="F32" s="2">
        <v>29</v>
      </c>
      <c r="G32" s="2">
        <v>27475</v>
      </c>
      <c r="H32" s="9"/>
      <c r="I32" s="9" t="s">
        <v>1339</v>
      </c>
      <c r="J32" s="9" t="s">
        <v>1545</v>
      </c>
      <c r="K32" s="2" t="s">
        <v>26</v>
      </c>
      <c r="L32" s="2">
        <v>4.8</v>
      </c>
      <c r="M32" s="2"/>
    </row>
    <row r="33" spans="1:13" ht="30.75">
      <c r="A33" s="7">
        <v>45624</v>
      </c>
      <c r="B33" s="8">
        <v>118</v>
      </c>
      <c r="C33" s="7">
        <v>45563</v>
      </c>
      <c r="D33" s="2" t="s">
        <v>23</v>
      </c>
      <c r="E33" s="2" t="s">
        <v>24</v>
      </c>
      <c r="F33" s="2">
        <v>30</v>
      </c>
      <c r="G33" s="2">
        <v>28276</v>
      </c>
      <c r="H33" s="9"/>
      <c r="I33" s="9" t="s">
        <v>1546</v>
      </c>
      <c r="J33" s="9" t="s">
        <v>1547</v>
      </c>
      <c r="K33" s="529" t="s">
        <v>26</v>
      </c>
      <c r="L33" s="2">
        <v>5</v>
      </c>
      <c r="M33" s="2"/>
    </row>
    <row r="34" spans="1:13" ht="30.75">
      <c r="A34" s="7">
        <v>45656</v>
      </c>
      <c r="B34" s="8">
        <v>118</v>
      </c>
      <c r="C34" s="7">
        <v>45656</v>
      </c>
      <c r="D34" s="2" t="s">
        <v>23</v>
      </c>
      <c r="E34" s="2" t="s">
        <v>28</v>
      </c>
      <c r="F34" s="2">
        <v>31</v>
      </c>
      <c r="G34" s="2">
        <v>29854</v>
      </c>
      <c r="H34" s="9"/>
      <c r="I34" s="9" t="s">
        <v>1548</v>
      </c>
      <c r="J34" s="9" t="s">
        <v>1549</v>
      </c>
      <c r="K34" s="2" t="s">
        <v>26</v>
      </c>
      <c r="L34" s="2">
        <v>8.5</v>
      </c>
      <c r="M34" s="2"/>
    </row>
    <row r="35" spans="1:13" ht="30.75">
      <c r="A35" s="2" t="s">
        <v>75</v>
      </c>
      <c r="B35" s="8">
        <v>118</v>
      </c>
      <c r="C35" s="7">
        <v>45687</v>
      </c>
      <c r="D35" s="2" t="s">
        <v>23</v>
      </c>
      <c r="E35" s="2" t="s">
        <v>28</v>
      </c>
      <c r="F35" s="2">
        <v>32</v>
      </c>
      <c r="G35" s="2">
        <v>31507</v>
      </c>
      <c r="H35" s="9"/>
      <c r="I35" s="2">
        <v>44415</v>
      </c>
      <c r="J35" s="9"/>
      <c r="K35" s="2" t="s">
        <v>26</v>
      </c>
      <c r="L35" s="2">
        <v>3.2</v>
      </c>
      <c r="M35" s="2"/>
    </row>
    <row r="36" spans="1:13" ht="30.75">
      <c r="A36" s="7">
        <v>45716</v>
      </c>
      <c r="B36" s="8">
        <v>118</v>
      </c>
      <c r="C36" s="7">
        <v>45716</v>
      </c>
      <c r="D36" s="2" t="s">
        <v>23</v>
      </c>
      <c r="E36" s="2" t="s">
        <v>28</v>
      </c>
      <c r="F36" s="2"/>
      <c r="G36" s="2">
        <v>32371</v>
      </c>
      <c r="H36" s="9"/>
      <c r="I36" s="9" t="s">
        <v>1550</v>
      </c>
      <c r="J36" s="9"/>
      <c r="K36" s="2" t="s">
        <v>26</v>
      </c>
      <c r="L36" s="2">
        <v>4.5</v>
      </c>
      <c r="M36" s="2"/>
    </row>
    <row r="37" spans="1:13" ht="30.75">
      <c r="A37" s="7">
        <v>45744</v>
      </c>
      <c r="B37" s="8">
        <v>118</v>
      </c>
      <c r="C37" s="7">
        <v>45744</v>
      </c>
      <c r="D37" s="2" t="s">
        <v>23</v>
      </c>
      <c r="E37" s="27" t="s">
        <v>28</v>
      </c>
      <c r="F37" s="27"/>
      <c r="G37" s="2">
        <v>33212</v>
      </c>
      <c r="H37" s="9"/>
      <c r="I37" s="9" t="s">
        <v>1551</v>
      </c>
      <c r="J37" s="9"/>
      <c r="K37" s="2" t="s">
        <v>26</v>
      </c>
      <c r="L37" s="2">
        <v>4.5</v>
      </c>
      <c r="M37" s="2"/>
    </row>
    <row r="38" spans="1:13" ht="30.75">
      <c r="A38" s="2"/>
      <c r="B38" s="2"/>
      <c r="C38" s="7">
        <v>45808</v>
      </c>
      <c r="D38" s="2" t="s">
        <v>23</v>
      </c>
      <c r="E38" s="2"/>
      <c r="F38" s="2"/>
      <c r="G38" s="2"/>
      <c r="H38" s="9"/>
      <c r="I38" s="9" t="s">
        <v>1552</v>
      </c>
      <c r="J38" s="9"/>
      <c r="K38" s="2"/>
      <c r="L38" s="2">
        <v>4.7</v>
      </c>
      <c r="M38" s="2"/>
    </row>
    <row r="39" spans="1:13" ht="30.75">
      <c r="A39" s="2"/>
      <c r="B39" s="2"/>
      <c r="C39" s="7"/>
      <c r="D39" s="2" t="s">
        <v>23</v>
      </c>
      <c r="E39" s="2"/>
      <c r="F39" s="2"/>
      <c r="G39" s="2"/>
      <c r="H39" s="9"/>
      <c r="I39" s="9"/>
      <c r="J39" s="9"/>
      <c r="K39" s="2"/>
      <c r="L39" s="2"/>
      <c r="M39" s="2"/>
    </row>
    <row r="40" spans="1:13" ht="30.75">
      <c r="A40" s="2"/>
      <c r="B40" s="2"/>
      <c r="C40" s="7"/>
      <c r="D40" s="2" t="s">
        <v>23</v>
      </c>
      <c r="E40" s="2"/>
      <c r="F40" s="2"/>
      <c r="G40" s="2"/>
      <c r="H40" s="9"/>
      <c r="I40" s="9"/>
      <c r="J40" s="9"/>
      <c r="K40" s="2"/>
      <c r="L40" s="2"/>
      <c r="M40" s="2"/>
    </row>
    <row r="41" spans="1:13" ht="30.75">
      <c r="A41" s="2"/>
      <c r="B41" s="2"/>
      <c r="C41" s="7"/>
      <c r="D41" s="2" t="s">
        <v>23</v>
      </c>
      <c r="E41" s="2"/>
      <c r="F41" s="2"/>
      <c r="G41" s="2"/>
      <c r="H41" s="9"/>
      <c r="I41" s="9"/>
      <c r="J41" s="9"/>
      <c r="K41" s="2"/>
      <c r="L41" s="2"/>
      <c r="M41" s="2"/>
    </row>
    <row r="42" spans="1:13" ht="30.75">
      <c r="A42" s="2"/>
      <c r="B42" s="2"/>
      <c r="C42" s="7"/>
      <c r="D42" s="2" t="s">
        <v>23</v>
      </c>
      <c r="E42" s="2"/>
      <c r="F42" s="2"/>
      <c r="G42" s="2"/>
      <c r="H42" s="9"/>
      <c r="I42" s="9"/>
      <c r="J42" s="9"/>
      <c r="K42" s="2"/>
      <c r="L42" s="2"/>
      <c r="M42" s="2"/>
    </row>
    <row r="43" spans="1:13" ht="30.75">
      <c r="A43" s="2"/>
      <c r="B43" s="2"/>
      <c r="C43" s="7"/>
      <c r="D43" s="2" t="s">
        <v>23</v>
      </c>
      <c r="E43" s="2"/>
      <c r="F43" s="2"/>
      <c r="G43" s="2"/>
      <c r="H43" s="9"/>
      <c r="I43" s="9"/>
      <c r="J43" s="9"/>
      <c r="K43" s="2"/>
      <c r="L43" s="2"/>
      <c r="M43" s="2"/>
    </row>
    <row r="44" spans="1:13" ht="30.75">
      <c r="A44" s="2"/>
      <c r="B44" s="2"/>
      <c r="C44" s="7"/>
      <c r="D44" s="2" t="s">
        <v>23</v>
      </c>
      <c r="E44" s="2"/>
      <c r="F44" s="2"/>
      <c r="G44" s="2"/>
      <c r="H44" s="9"/>
      <c r="I44" s="9"/>
      <c r="J44" s="9"/>
      <c r="K44" s="2"/>
      <c r="L44" s="2"/>
      <c r="M44" s="2"/>
    </row>
    <row r="45" spans="1:13" ht="30.75">
      <c r="A45" s="2"/>
      <c r="B45" s="2"/>
      <c r="C45" s="7"/>
      <c r="D45" s="2" t="s">
        <v>23</v>
      </c>
      <c r="E45" s="2"/>
      <c r="F45" s="2"/>
      <c r="G45" s="2"/>
      <c r="H45" s="9"/>
      <c r="I45" s="9"/>
      <c r="J45" s="9"/>
      <c r="K45" s="2"/>
      <c r="L45" s="2"/>
      <c r="M45" s="2"/>
    </row>
    <row r="46" spans="1:13">
      <c r="A46" s="2"/>
      <c r="B46" s="2"/>
      <c r="C46" s="7"/>
      <c r="D46" s="2"/>
      <c r="E46" s="2"/>
      <c r="F46" s="2"/>
      <c r="G46" s="2"/>
      <c r="H46" s="9"/>
      <c r="I46" s="9"/>
      <c r="J46" s="9"/>
      <c r="K46" s="2"/>
      <c r="L46" s="2"/>
      <c r="M46" s="2"/>
    </row>
    <row r="47" spans="1:13">
      <c r="A47" s="2"/>
      <c r="B47" s="2"/>
      <c r="C47" s="7"/>
      <c r="D47" s="2"/>
      <c r="E47" s="2"/>
      <c r="F47" s="2"/>
      <c r="G47" s="2"/>
      <c r="H47" s="9"/>
      <c r="I47" s="9"/>
      <c r="J47" s="9"/>
      <c r="K47" s="2"/>
      <c r="L47" s="2"/>
      <c r="M47" s="2"/>
    </row>
    <row r="48" spans="1:13">
      <c r="A48" s="2"/>
      <c r="B48" s="2"/>
      <c r="C48" s="7"/>
      <c r="D48" s="2"/>
      <c r="E48" s="2"/>
      <c r="F48" s="2"/>
      <c r="G48" s="2"/>
      <c r="H48" s="9"/>
      <c r="I48" s="9"/>
      <c r="J48" s="9"/>
      <c r="K48" s="2"/>
      <c r="L48" s="2"/>
      <c r="M48" s="2"/>
    </row>
    <row r="49" spans="1:13">
      <c r="A49" s="2"/>
      <c r="B49" s="2"/>
      <c r="C49" s="7"/>
      <c r="D49" s="2"/>
      <c r="E49" s="2"/>
      <c r="F49" s="2"/>
      <c r="G49" s="2"/>
      <c r="H49" s="9"/>
      <c r="I49" s="9"/>
      <c r="J49" s="9"/>
      <c r="K49" s="2"/>
      <c r="L49" s="2"/>
      <c r="M49" s="2"/>
    </row>
    <row r="50" spans="1:13">
      <c r="A50" s="2"/>
      <c r="B50" s="2"/>
      <c r="C50" s="7"/>
      <c r="D50" s="2"/>
      <c r="E50" s="2"/>
      <c r="F50" s="2"/>
      <c r="G50" s="2"/>
      <c r="H50" s="9"/>
      <c r="I50" s="9"/>
      <c r="J50" s="9"/>
      <c r="K50" s="2"/>
      <c r="L50" s="2"/>
      <c r="M50" s="2"/>
    </row>
    <row r="51" spans="1:13">
      <c r="A51" s="2"/>
      <c r="B51" s="2"/>
      <c r="C51" s="7"/>
      <c r="D51" s="2"/>
      <c r="E51" s="2"/>
      <c r="F51" s="2"/>
      <c r="G51" s="2"/>
      <c r="H51" s="9"/>
      <c r="I51" s="9"/>
      <c r="J51" s="9"/>
      <c r="K51" s="2"/>
      <c r="L51" s="2"/>
      <c r="M51" s="2"/>
    </row>
    <row r="52" spans="1:13">
      <c r="A52" s="2"/>
      <c r="B52" s="2"/>
      <c r="C52" s="7"/>
      <c r="D52" s="2"/>
      <c r="E52" s="2"/>
      <c r="F52" s="2"/>
      <c r="G52" s="2"/>
      <c r="H52" s="9"/>
      <c r="I52" s="9"/>
      <c r="J52" s="9"/>
      <c r="K52" s="2"/>
      <c r="L52" s="2"/>
      <c r="M52" s="2"/>
    </row>
    <row r="53" spans="1:13">
      <c r="A53" s="2"/>
      <c r="B53" s="2"/>
      <c r="C53" s="7"/>
      <c r="D53" s="2"/>
      <c r="E53" s="2"/>
      <c r="F53" s="2"/>
      <c r="G53" s="2"/>
      <c r="H53" s="9"/>
      <c r="I53" s="9"/>
      <c r="J53" s="9"/>
      <c r="K53" s="2"/>
      <c r="L53" s="2"/>
      <c r="M53" s="2"/>
    </row>
    <row r="54" spans="1:13">
      <c r="A54" s="2"/>
      <c r="B54" s="2"/>
      <c r="C54" s="7"/>
      <c r="D54" s="2"/>
      <c r="E54" s="2"/>
      <c r="F54" s="2"/>
      <c r="G54" s="2"/>
      <c r="H54" s="9"/>
      <c r="I54" s="9"/>
      <c r="J54" s="9"/>
      <c r="K54" s="2"/>
      <c r="L54" s="2"/>
      <c r="M54" s="2"/>
    </row>
    <row r="55" spans="1:13">
      <c r="A55" s="2"/>
      <c r="B55" s="2"/>
      <c r="C55" s="7"/>
      <c r="D55" s="2"/>
      <c r="E55" s="2"/>
      <c r="F55" s="2"/>
      <c r="G55" s="2"/>
      <c r="H55" s="9"/>
      <c r="I55" s="9"/>
      <c r="J55" s="9"/>
      <c r="K55" s="2"/>
      <c r="L55" s="2"/>
      <c r="M55" s="2"/>
    </row>
    <row r="56" spans="1:13">
      <c r="A56" s="2"/>
      <c r="B56" s="2"/>
      <c r="C56" s="7"/>
      <c r="D56" s="2"/>
      <c r="E56" s="2"/>
      <c r="F56" s="2"/>
      <c r="G56" s="2"/>
      <c r="H56" s="9"/>
      <c r="I56" s="9"/>
      <c r="J56" s="9"/>
      <c r="K56" s="2"/>
      <c r="L56" s="2"/>
      <c r="M56" s="2"/>
    </row>
    <row r="57" spans="1:13">
      <c r="A57" s="2"/>
      <c r="B57" s="2"/>
      <c r="C57" s="7"/>
      <c r="D57" s="2"/>
      <c r="E57" s="2"/>
      <c r="F57" s="2"/>
      <c r="G57" s="2"/>
      <c r="H57" s="9"/>
      <c r="I57" s="9"/>
      <c r="J57" s="9"/>
      <c r="K57" s="2"/>
      <c r="L57" s="2"/>
      <c r="M57" s="2"/>
    </row>
    <row r="58" spans="1:13">
      <c r="A58" s="2"/>
      <c r="B58" s="2"/>
      <c r="C58" s="7"/>
      <c r="D58" s="2"/>
      <c r="E58" s="2"/>
      <c r="F58" s="2"/>
      <c r="G58" s="2"/>
      <c r="H58" s="9"/>
      <c r="I58" s="9"/>
      <c r="J58" s="9"/>
      <c r="K58" s="2"/>
      <c r="L58" s="2"/>
      <c r="M58" s="2"/>
    </row>
    <row r="59" spans="1:13">
      <c r="A59" s="2"/>
      <c r="B59" s="2"/>
      <c r="C59" s="7"/>
      <c r="D59" s="2"/>
      <c r="E59" s="2"/>
      <c r="F59" s="2"/>
      <c r="G59" s="2"/>
      <c r="H59" s="9"/>
      <c r="I59" s="9"/>
      <c r="J59" s="9"/>
      <c r="K59" s="2"/>
      <c r="L59" s="2"/>
      <c r="M59" s="2"/>
    </row>
    <row r="60" spans="1:13">
      <c r="A60" s="2"/>
      <c r="B60" s="2"/>
      <c r="C60" s="7"/>
      <c r="D60" s="2"/>
      <c r="E60" s="2"/>
      <c r="F60" s="2"/>
      <c r="G60" s="2"/>
      <c r="H60" s="9"/>
      <c r="I60" s="9"/>
      <c r="J60" s="9"/>
      <c r="K60" s="2"/>
      <c r="L60" s="2"/>
      <c r="M60" s="2"/>
    </row>
    <row r="61" spans="1:13">
      <c r="A61" s="2"/>
      <c r="B61" s="2"/>
      <c r="C61" s="7"/>
      <c r="D61" s="2"/>
      <c r="E61" s="2"/>
      <c r="F61" s="2"/>
      <c r="G61" s="2"/>
      <c r="H61" s="9"/>
      <c r="I61" s="9"/>
      <c r="J61" s="9"/>
      <c r="K61" s="2"/>
      <c r="L61" s="2"/>
      <c r="M61" s="2"/>
    </row>
    <row r="62" spans="1:13">
      <c r="A62" s="2"/>
      <c r="B62" s="2"/>
      <c r="C62" s="7"/>
      <c r="D62" s="2"/>
      <c r="E62" s="2"/>
      <c r="F62" s="2"/>
      <c r="G62" s="2"/>
      <c r="H62" s="9"/>
      <c r="I62" s="9"/>
      <c r="J62" s="9"/>
      <c r="K62" s="2"/>
      <c r="L62" s="2"/>
      <c r="M62" s="2"/>
    </row>
    <row r="63" spans="1:13">
      <c r="A63" s="2"/>
      <c r="B63" s="2"/>
      <c r="C63" s="7"/>
      <c r="D63" s="2"/>
      <c r="E63" s="2"/>
      <c r="F63" s="2"/>
      <c r="G63" s="2"/>
      <c r="H63" s="9"/>
      <c r="I63" s="9"/>
      <c r="J63" s="9"/>
      <c r="K63" s="2"/>
      <c r="L63" s="2"/>
      <c r="M63" s="2"/>
    </row>
    <row r="64" spans="1:13">
      <c r="A64" s="2"/>
      <c r="B64" s="2"/>
      <c r="C64" s="7"/>
      <c r="D64" s="2"/>
      <c r="E64" s="2"/>
      <c r="F64" s="2"/>
      <c r="G64" s="2"/>
      <c r="H64" s="9"/>
      <c r="I64" s="9"/>
      <c r="J64" s="9"/>
      <c r="K64" s="2"/>
      <c r="L64" s="2"/>
      <c r="M64" s="2"/>
    </row>
  </sheetData>
  <mergeCells count="7">
    <mergeCell ref="C6:E6"/>
    <mergeCell ref="A1:I1"/>
    <mergeCell ref="G2:K2"/>
    <mergeCell ref="L2:M3"/>
    <mergeCell ref="C5:E5"/>
    <mergeCell ref="F5:H5"/>
    <mergeCell ref="K5:M5"/>
  </mergeCells>
  <dataValidations count="1">
    <dataValidation type="list" allowBlank="1" showInputMessage="1" showErrorMessage="1" sqref="E8:E64" xr:uid="{00000000-0002-0000-0D00-000000000000}">
      <formula1>"EFECTIVO, CHEQUE, TRANSFERENCIA,DEPOSITO"</formula1>
    </dataValidation>
  </dataValidations>
  <hyperlinks>
    <hyperlink ref="B4" r:id="rId1" xr:uid="{00000000-0004-0000-0D00-000000000000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7D7C-461E-4739-88F6-17E6CDAD9FE4}">
  <dimension ref="A1:N76"/>
  <sheetViews>
    <sheetView topLeftCell="A57" workbookViewId="0">
      <selection activeCell="N66" sqref="N66"/>
    </sheetView>
  </sheetViews>
  <sheetFormatPr defaultColWidth="11.42578125" defaultRowHeight="15"/>
  <cols>
    <col min="2" max="2" width="26.42578125" customWidth="1"/>
    <col min="3" max="3" width="13.7109375" bestFit="1" customWidth="1"/>
  </cols>
  <sheetData>
    <row r="1" spans="1:14" ht="23.25">
      <c r="A1" s="666" t="s">
        <v>1553</v>
      </c>
      <c r="B1" s="666"/>
      <c r="C1" s="666"/>
      <c r="D1" s="666"/>
      <c r="E1" s="666"/>
      <c r="F1" s="666"/>
      <c r="G1" s="666"/>
      <c r="H1" s="666"/>
      <c r="I1" s="666"/>
      <c r="J1" s="630"/>
    </row>
    <row r="2" spans="1:14" ht="30.75">
      <c r="A2" s="2" t="s">
        <v>93</v>
      </c>
      <c r="B2" s="651" t="s">
        <v>1554</v>
      </c>
      <c r="C2" s="651"/>
      <c r="D2" s="651"/>
      <c r="G2" s="651" t="s">
        <v>1555</v>
      </c>
      <c r="H2" s="651"/>
      <c r="I2" s="651"/>
      <c r="J2" s="651"/>
      <c r="K2" s="651"/>
      <c r="L2" s="722" t="s">
        <v>1556</v>
      </c>
      <c r="M2" s="722"/>
    </row>
    <row r="3" spans="1:14">
      <c r="A3" s="2" t="s">
        <v>1</v>
      </c>
      <c r="B3" s="311">
        <v>10410545573</v>
      </c>
      <c r="L3" s="722"/>
      <c r="M3" s="722"/>
    </row>
    <row r="4" spans="1:14" ht="23.25" customHeight="1">
      <c r="A4" s="4" t="s">
        <v>2</v>
      </c>
      <c r="B4" s="16" t="s">
        <v>1557</v>
      </c>
      <c r="E4" s="26"/>
      <c r="F4" s="95"/>
      <c r="G4" s="98"/>
      <c r="H4" s="98"/>
      <c r="I4" s="98"/>
      <c r="J4" s="98"/>
      <c r="K4" s="98"/>
      <c r="L4" s="35"/>
      <c r="M4" s="35"/>
    </row>
    <row r="5" spans="1:14" ht="47.25">
      <c r="A5" s="30" t="s">
        <v>4</v>
      </c>
      <c r="B5" s="31">
        <v>44391</v>
      </c>
      <c r="C5" s="704"/>
      <c r="D5" s="704"/>
      <c r="E5" s="704"/>
      <c r="F5" s="723" t="s">
        <v>1491</v>
      </c>
      <c r="G5" s="723"/>
      <c r="H5" s="723"/>
      <c r="I5" s="35"/>
      <c r="J5" s="35"/>
      <c r="K5" s="721" t="s">
        <v>1558</v>
      </c>
      <c r="L5" s="714"/>
      <c r="M5" s="714"/>
    </row>
    <row r="6" spans="1:14" ht="18.75">
      <c r="A6" s="97"/>
      <c r="B6" s="97"/>
      <c r="C6" s="670" t="s">
        <v>5</v>
      </c>
      <c r="D6" s="671"/>
      <c r="E6" s="672"/>
      <c r="F6" s="97"/>
      <c r="G6" s="97"/>
      <c r="H6" s="97"/>
      <c r="I6" s="97"/>
      <c r="J6" s="97"/>
      <c r="K6" s="97"/>
      <c r="L6" s="35"/>
      <c r="M6" s="35"/>
    </row>
    <row r="7" spans="1:14" ht="57">
      <c r="A7" s="32" t="s">
        <v>7</v>
      </c>
      <c r="B7" s="32" t="s">
        <v>8</v>
      </c>
      <c r="C7" s="32" t="s">
        <v>10</v>
      </c>
      <c r="D7" s="32" t="s">
        <v>11</v>
      </c>
      <c r="E7" s="32" t="s">
        <v>12</v>
      </c>
      <c r="F7" s="32" t="s">
        <v>1559</v>
      </c>
      <c r="G7" s="32" t="s">
        <v>14</v>
      </c>
      <c r="H7" s="32" t="s">
        <v>343</v>
      </c>
      <c r="I7" s="32" t="s">
        <v>16</v>
      </c>
      <c r="J7" s="32" t="s">
        <v>99</v>
      </c>
      <c r="K7" s="32" t="s">
        <v>18</v>
      </c>
      <c r="L7" s="32" t="s">
        <v>1560</v>
      </c>
      <c r="M7" s="329" t="s">
        <v>1561</v>
      </c>
      <c r="N7" s="329" t="s">
        <v>1562</v>
      </c>
    </row>
    <row r="8" spans="1:14" ht="30.75">
      <c r="A8" s="7">
        <v>44391</v>
      </c>
      <c r="B8" s="8">
        <v>118</v>
      </c>
      <c r="C8" s="7">
        <v>44436</v>
      </c>
      <c r="D8" s="2" t="s">
        <v>23</v>
      </c>
      <c r="E8" s="2" t="s">
        <v>28</v>
      </c>
      <c r="F8" s="2">
        <f>ROW() - ROW(Tabla35673456789356819209101213141516[[#Headers],[N DE SERVICIO]])</f>
        <v>1</v>
      </c>
      <c r="G8" s="9" t="s">
        <v>1563</v>
      </c>
      <c r="H8" s="9" t="s">
        <v>1564</v>
      </c>
      <c r="I8" s="9" t="s">
        <v>1565</v>
      </c>
      <c r="J8" s="9"/>
      <c r="K8" s="2" t="s">
        <v>26</v>
      </c>
      <c r="L8" s="2" t="s">
        <v>1566</v>
      </c>
      <c r="M8" s="2"/>
      <c r="N8" s="2"/>
    </row>
    <row r="9" spans="1:14" ht="30.75">
      <c r="A9" s="7">
        <v>44427</v>
      </c>
      <c r="B9" s="8">
        <v>118</v>
      </c>
      <c r="C9" s="7">
        <v>44469</v>
      </c>
      <c r="D9" s="2" t="s">
        <v>23</v>
      </c>
      <c r="E9" s="2" t="s">
        <v>24</v>
      </c>
      <c r="F9" s="2">
        <f>ROW() - ROW(Tabla35673456789356819209101213141516[[#Headers],[N DE SERVICIO]])</f>
        <v>2</v>
      </c>
      <c r="G9" s="9" t="s">
        <v>1567</v>
      </c>
      <c r="H9" s="9" t="s">
        <v>1568</v>
      </c>
      <c r="I9" s="9" t="s">
        <v>1569</v>
      </c>
      <c r="J9" s="9"/>
      <c r="K9" s="2" t="s">
        <v>26</v>
      </c>
      <c r="L9" s="2" t="s">
        <v>1566</v>
      </c>
      <c r="M9" s="2"/>
      <c r="N9" s="2"/>
    </row>
    <row r="10" spans="1:14" ht="30.75">
      <c r="A10" s="7">
        <v>44460</v>
      </c>
      <c r="B10" s="8">
        <v>118</v>
      </c>
      <c r="C10" s="7">
        <v>44499</v>
      </c>
      <c r="D10" s="2" t="s">
        <v>23</v>
      </c>
      <c r="E10" s="2" t="s">
        <v>24</v>
      </c>
      <c r="F10" s="2">
        <f>ROW() - ROW(Tabla35673456789356819209101213141516[[#Headers],[N DE SERVICIO]])</f>
        <v>3</v>
      </c>
      <c r="G10" s="9" t="s">
        <v>1570</v>
      </c>
      <c r="H10" s="9" t="s">
        <v>1571</v>
      </c>
      <c r="I10" s="9" t="s">
        <v>1572</v>
      </c>
      <c r="J10" s="9"/>
      <c r="K10" s="2" t="s">
        <v>26</v>
      </c>
      <c r="L10" s="2" t="s">
        <v>1566</v>
      </c>
      <c r="M10" s="2"/>
      <c r="N10" s="2"/>
    </row>
    <row r="11" spans="1:14" ht="30.75">
      <c r="A11" s="7">
        <v>44524</v>
      </c>
      <c r="B11" s="8">
        <v>118</v>
      </c>
      <c r="C11" s="7">
        <v>44527</v>
      </c>
      <c r="D11" s="2" t="s">
        <v>23</v>
      </c>
      <c r="E11" s="2" t="s">
        <v>24</v>
      </c>
      <c r="F11" s="2">
        <f>ROW() - ROW(Tabla35673456789356819209101213141516[[#Headers],[N DE SERVICIO]])</f>
        <v>4</v>
      </c>
      <c r="G11" s="9" t="s">
        <v>1573</v>
      </c>
      <c r="H11" s="9" t="s">
        <v>1574</v>
      </c>
      <c r="I11" s="9" t="s">
        <v>1575</v>
      </c>
      <c r="J11" s="9"/>
      <c r="K11" s="2" t="s">
        <v>56</v>
      </c>
      <c r="L11" s="2"/>
      <c r="M11" s="2"/>
      <c r="N11" s="2"/>
    </row>
    <row r="12" spans="1:14" ht="30.75">
      <c r="A12" s="7">
        <v>44557</v>
      </c>
      <c r="B12" s="8">
        <v>118</v>
      </c>
      <c r="C12" s="7">
        <v>44558</v>
      </c>
      <c r="D12" s="2" t="s">
        <v>23</v>
      </c>
      <c r="E12" s="2" t="s">
        <v>24</v>
      </c>
      <c r="F12" s="2">
        <f>ROW() - ROW(Tabla35673456789356819209101213141516[[#Headers],[N DE SERVICIO]])</f>
        <v>5</v>
      </c>
      <c r="G12" s="9" t="s">
        <v>1576</v>
      </c>
      <c r="H12" s="9" t="s">
        <v>1577</v>
      </c>
      <c r="I12" s="9" t="s">
        <v>1578</v>
      </c>
      <c r="J12" s="9"/>
      <c r="K12" s="2" t="s">
        <v>56</v>
      </c>
      <c r="L12" s="2"/>
      <c r="M12" s="2"/>
      <c r="N12" s="2"/>
    </row>
    <row r="13" spans="1:14" ht="30.75">
      <c r="A13" s="7">
        <v>44592</v>
      </c>
      <c r="B13" s="8">
        <v>118</v>
      </c>
      <c r="C13" s="7">
        <v>44592</v>
      </c>
      <c r="D13" s="2" t="s">
        <v>23</v>
      </c>
      <c r="E13" s="2" t="s">
        <v>24</v>
      </c>
      <c r="F13" s="2">
        <f>ROW() - ROW(Tabla35673456789356819209101213141516[[#Headers],[N DE SERVICIO]])</f>
        <v>6</v>
      </c>
      <c r="G13" s="9" t="s">
        <v>1579</v>
      </c>
      <c r="H13" s="9" t="s">
        <v>1580</v>
      </c>
      <c r="I13" s="9" t="s">
        <v>1581</v>
      </c>
      <c r="J13" s="9"/>
      <c r="K13" s="2" t="s">
        <v>26</v>
      </c>
      <c r="L13" s="2"/>
      <c r="M13" s="2"/>
      <c r="N13" s="2"/>
    </row>
    <row r="14" spans="1:14" ht="30.75">
      <c r="A14" s="99">
        <v>44620</v>
      </c>
      <c r="B14" s="348">
        <v>118</v>
      </c>
      <c r="C14" s="99">
        <v>44604</v>
      </c>
      <c r="D14" s="100" t="s">
        <v>23</v>
      </c>
      <c r="E14" s="100" t="s">
        <v>24</v>
      </c>
      <c r="F14" s="100">
        <f>ROW() - ROW(Tabla35673456789356819209101213141516[[#Headers],[N DE SERVICIO]])</f>
        <v>7</v>
      </c>
      <c r="G14" s="101" t="s">
        <v>1582</v>
      </c>
      <c r="H14" s="101" t="s">
        <v>1583</v>
      </c>
      <c r="I14" s="101"/>
      <c r="J14" s="101"/>
      <c r="K14" s="100" t="s">
        <v>26</v>
      </c>
      <c r="L14" s="100"/>
      <c r="M14" s="2"/>
      <c r="N14" s="2"/>
    </row>
    <row r="15" spans="1:14" ht="30.75">
      <c r="A15" s="7">
        <v>44651</v>
      </c>
      <c r="B15" s="8">
        <v>118</v>
      </c>
      <c r="C15" s="7">
        <v>44622</v>
      </c>
      <c r="D15" s="2" t="s">
        <v>23</v>
      </c>
      <c r="E15" s="2" t="s">
        <v>24</v>
      </c>
      <c r="F15" s="2">
        <f>ROW() - ROW(Tabla35673456789356819209101213141516[[#Headers],[N DE SERVICIO]])</f>
        <v>8</v>
      </c>
      <c r="G15" s="9" t="s">
        <v>1584</v>
      </c>
      <c r="H15" s="9" t="s">
        <v>1585</v>
      </c>
      <c r="I15" s="9" t="s">
        <v>1586</v>
      </c>
      <c r="J15" s="9"/>
      <c r="K15" s="2" t="s">
        <v>26</v>
      </c>
      <c r="L15" s="2"/>
      <c r="M15" s="2" t="s">
        <v>34</v>
      </c>
      <c r="N15" s="2"/>
    </row>
    <row r="16" spans="1:14" ht="30.75">
      <c r="A16" s="7"/>
      <c r="B16" s="8">
        <v>118</v>
      </c>
      <c r="C16" s="7">
        <v>44650</v>
      </c>
      <c r="D16" s="2" t="s">
        <v>23</v>
      </c>
      <c r="E16" s="2" t="s">
        <v>24</v>
      </c>
      <c r="F16" s="2">
        <f>ROW() - ROW(Tabla35673456789356819209101213141516[[#Headers],[N DE SERVICIO]])</f>
        <v>9</v>
      </c>
      <c r="G16" s="9" t="s">
        <v>1587</v>
      </c>
      <c r="H16" s="9" t="s">
        <v>1588</v>
      </c>
      <c r="I16" s="9" t="s">
        <v>1589</v>
      </c>
      <c r="J16" s="9"/>
      <c r="K16" s="2" t="s">
        <v>1590</v>
      </c>
      <c r="L16" s="2" t="s">
        <v>1591</v>
      </c>
      <c r="M16" s="2" t="s">
        <v>38</v>
      </c>
      <c r="N16" s="2"/>
    </row>
    <row r="17" spans="1:14" ht="30.75">
      <c r="A17" s="7">
        <v>44694</v>
      </c>
      <c r="B17" s="8">
        <v>118</v>
      </c>
      <c r="C17" s="7">
        <v>44681</v>
      </c>
      <c r="D17" s="2" t="s">
        <v>23</v>
      </c>
      <c r="E17" s="2" t="s">
        <v>24</v>
      </c>
      <c r="F17" s="2">
        <f>ROW() - ROW(Tabla35673456789356819209101213141516[[#Headers],[N DE SERVICIO]])</f>
        <v>10</v>
      </c>
      <c r="G17" s="9" t="s">
        <v>1587</v>
      </c>
      <c r="H17" s="9" t="s">
        <v>1592</v>
      </c>
      <c r="I17" s="9" t="s">
        <v>1593</v>
      </c>
      <c r="J17" s="9"/>
      <c r="K17" s="2" t="s">
        <v>26</v>
      </c>
      <c r="L17" s="2"/>
      <c r="M17" s="2" t="s">
        <v>1165</v>
      </c>
      <c r="N17" s="2"/>
    </row>
    <row r="18" spans="1:14" ht="30.75">
      <c r="A18" s="7">
        <v>44713</v>
      </c>
      <c r="B18" s="8">
        <v>118</v>
      </c>
      <c r="C18" s="7">
        <v>44711</v>
      </c>
      <c r="D18" s="2" t="s">
        <v>23</v>
      </c>
      <c r="E18" s="2" t="s">
        <v>24</v>
      </c>
      <c r="F18" s="2">
        <f>ROW() - ROW(Tabla35673456789356819209101213141516[[#Headers],[N DE SERVICIO]])</f>
        <v>11</v>
      </c>
      <c r="G18" s="9" t="s">
        <v>1594</v>
      </c>
      <c r="H18" s="9" t="s">
        <v>1595</v>
      </c>
      <c r="I18" s="9" t="s">
        <v>1596</v>
      </c>
      <c r="J18" s="9"/>
      <c r="K18" s="2" t="s">
        <v>26</v>
      </c>
      <c r="L18" s="2"/>
      <c r="M18" s="2" t="s">
        <v>44</v>
      </c>
      <c r="N18" s="2"/>
    </row>
    <row r="19" spans="1:14" ht="30.75">
      <c r="A19" s="7">
        <v>44742</v>
      </c>
      <c r="B19" s="8">
        <v>118</v>
      </c>
      <c r="C19" s="7">
        <v>44742</v>
      </c>
      <c r="D19" s="2" t="s">
        <v>23</v>
      </c>
      <c r="E19" s="2" t="s">
        <v>24</v>
      </c>
      <c r="F19" s="2">
        <f>ROW() - ROW(Tabla35673456789356819209101213141516[[#Headers],[N DE SERVICIO]])</f>
        <v>12</v>
      </c>
      <c r="G19" s="2">
        <v>8635</v>
      </c>
      <c r="H19" s="9"/>
      <c r="I19" s="9" t="s">
        <v>1597</v>
      </c>
      <c r="J19" s="9"/>
      <c r="K19" s="2" t="s">
        <v>26</v>
      </c>
      <c r="L19" s="2"/>
      <c r="M19" s="2" t="s">
        <v>57</v>
      </c>
      <c r="N19" s="2"/>
    </row>
    <row r="20" spans="1:14" ht="30.75">
      <c r="A20" s="7">
        <v>44774</v>
      </c>
      <c r="B20" s="8">
        <v>118</v>
      </c>
      <c r="C20" s="7">
        <v>44772</v>
      </c>
      <c r="D20" s="2" t="s">
        <v>23</v>
      </c>
      <c r="E20" s="2" t="s">
        <v>24</v>
      </c>
      <c r="F20" s="2">
        <f>ROW() - ROW(Tabla35673456789356819209101213141516[[#Headers],[N DE SERVICIO]])</f>
        <v>13</v>
      </c>
      <c r="G20" s="2">
        <v>9576</v>
      </c>
      <c r="H20" s="9"/>
      <c r="I20" s="9" t="s">
        <v>1598</v>
      </c>
      <c r="J20" s="9"/>
      <c r="K20" s="2" t="s">
        <v>26</v>
      </c>
      <c r="L20" s="2"/>
      <c r="M20" s="2" t="s">
        <v>47</v>
      </c>
      <c r="N20" s="2"/>
    </row>
    <row r="21" spans="1:14" ht="30.75">
      <c r="A21" s="7">
        <v>44805</v>
      </c>
      <c r="B21" s="8">
        <v>118</v>
      </c>
      <c r="C21" s="7">
        <v>44806</v>
      </c>
      <c r="D21" s="2" t="s">
        <v>23</v>
      </c>
      <c r="E21" s="2" t="s">
        <v>24</v>
      </c>
      <c r="F21" s="2">
        <f>ROW() - ROW(Tabla35673456789356819209101213141516[[#Headers],[N DE SERVICIO]])</f>
        <v>14</v>
      </c>
      <c r="G21" s="2">
        <v>9576</v>
      </c>
      <c r="H21" s="9"/>
      <c r="I21" s="9" t="s">
        <v>1599</v>
      </c>
      <c r="J21" s="9"/>
      <c r="K21" s="2" t="s">
        <v>26</v>
      </c>
      <c r="L21" s="2"/>
      <c r="M21" s="2" t="s">
        <v>50</v>
      </c>
      <c r="N21" s="2"/>
    </row>
    <row r="22" spans="1:14" ht="32.25">
      <c r="A22" s="430" t="s">
        <v>58</v>
      </c>
      <c r="B22" s="8">
        <v>118</v>
      </c>
      <c r="C22" s="432">
        <v>44834</v>
      </c>
      <c r="D22" s="430" t="s">
        <v>23</v>
      </c>
      <c r="E22" s="431" t="s">
        <v>24</v>
      </c>
      <c r="F22" s="431">
        <f>ROW() - ROW(Tabla35673456789356819209101213141516[[#Headers],[N DE SERVICIO]])</f>
        <v>15</v>
      </c>
      <c r="G22" s="431">
        <v>11068</v>
      </c>
      <c r="H22" s="433" t="s">
        <v>1600</v>
      </c>
      <c r="I22" s="433" t="s">
        <v>1601</v>
      </c>
      <c r="J22" s="433"/>
      <c r="K22" s="431" t="s">
        <v>26</v>
      </c>
      <c r="L22" s="430"/>
      <c r="M22" s="430" t="s">
        <v>22</v>
      </c>
      <c r="N22" s="2"/>
    </row>
    <row r="23" spans="1:14" ht="30.75">
      <c r="A23" s="2" t="s">
        <v>59</v>
      </c>
      <c r="B23" s="8">
        <v>118</v>
      </c>
      <c r="C23" s="7" t="s">
        <v>60</v>
      </c>
      <c r="D23" s="2" t="s">
        <v>23</v>
      </c>
      <c r="E23" s="2" t="s">
        <v>24</v>
      </c>
      <c r="F23" s="2">
        <f>ROW() - ROW(Tabla35673456789356819209101213141516[[#Headers],[N DE SERVICIO]])</f>
        <v>16</v>
      </c>
      <c r="G23" s="2">
        <v>11623</v>
      </c>
      <c r="H23" s="9" t="s">
        <v>1602</v>
      </c>
      <c r="I23" s="9" t="s">
        <v>1603</v>
      </c>
      <c r="J23" s="9"/>
      <c r="K23" s="2" t="s">
        <v>26</v>
      </c>
      <c r="L23" s="2"/>
      <c r="M23" s="2" t="s">
        <v>54</v>
      </c>
      <c r="N23" s="2"/>
    </row>
    <row r="24" spans="1:14" ht="30.75">
      <c r="A24" s="2" t="s">
        <v>1604</v>
      </c>
      <c r="B24" s="8">
        <v>118</v>
      </c>
      <c r="C24" s="7" t="s">
        <v>180</v>
      </c>
      <c r="D24" s="2" t="s">
        <v>23</v>
      </c>
      <c r="E24" s="2" t="s">
        <v>24</v>
      </c>
      <c r="F24" s="2">
        <f>ROW() - ROW(Tabla35673456789356819209101213141516[[#Headers],[N DE SERVICIO]])</f>
        <v>17</v>
      </c>
      <c r="G24" s="2">
        <v>12161</v>
      </c>
      <c r="H24" s="9"/>
      <c r="I24" s="9" t="s">
        <v>1605</v>
      </c>
      <c r="J24" s="9"/>
      <c r="K24" s="2" t="s">
        <v>26</v>
      </c>
      <c r="L24" s="2"/>
      <c r="M24" s="2" t="s">
        <v>27</v>
      </c>
      <c r="N24" s="2"/>
    </row>
    <row r="25" spans="1:14" ht="30.75">
      <c r="A25" s="7">
        <v>45017</v>
      </c>
      <c r="B25" s="8">
        <v>118</v>
      </c>
      <c r="C25" s="7" t="s">
        <v>62</v>
      </c>
      <c r="D25" s="2" t="s">
        <v>23</v>
      </c>
      <c r="E25" s="2" t="s">
        <v>24</v>
      </c>
      <c r="F25" s="2">
        <f>ROW() - ROW(Tabla35673456789356819209101213141516[[#Headers],[N DE SERVICIO]])</f>
        <v>18</v>
      </c>
      <c r="G25" s="2">
        <v>13110</v>
      </c>
      <c r="H25" s="9" t="s">
        <v>1606</v>
      </c>
      <c r="I25" s="9" t="s">
        <v>1607</v>
      </c>
      <c r="J25" s="9"/>
      <c r="K25" s="2" t="s">
        <v>26</v>
      </c>
      <c r="L25" s="2"/>
      <c r="M25" s="2" t="s">
        <v>686</v>
      </c>
      <c r="N25" s="2"/>
    </row>
    <row r="26" spans="1:14" ht="30.75">
      <c r="A26" s="2" t="s">
        <v>63</v>
      </c>
      <c r="B26" s="8">
        <v>118</v>
      </c>
      <c r="C26" s="7" t="s">
        <v>64</v>
      </c>
      <c r="D26" s="2" t="s">
        <v>23</v>
      </c>
      <c r="E26" s="2" t="s">
        <v>24</v>
      </c>
      <c r="F26" s="2">
        <f>ROW() - ROW(Tabla35673456789356819209101213141516[[#Headers],[N DE SERVICIO]])</f>
        <v>19</v>
      </c>
      <c r="G26" s="2">
        <v>13801</v>
      </c>
      <c r="H26" s="9" t="s">
        <v>1608</v>
      </c>
      <c r="I26" s="9" t="s">
        <v>1609</v>
      </c>
      <c r="J26" s="9"/>
      <c r="K26" s="2" t="s">
        <v>26</v>
      </c>
      <c r="L26" s="2"/>
      <c r="M26" s="2" t="s">
        <v>1610</v>
      </c>
      <c r="N26" s="2"/>
    </row>
    <row r="27" spans="1:14" ht="30.75">
      <c r="A27" s="7">
        <v>45110</v>
      </c>
      <c r="B27" s="8">
        <v>118</v>
      </c>
      <c r="C27" s="7" t="s">
        <v>66</v>
      </c>
      <c r="D27" s="2" t="s">
        <v>23</v>
      </c>
      <c r="E27" s="2" t="s">
        <v>24</v>
      </c>
      <c r="F27" s="2">
        <f>ROW() - ROW(Tabla35673456789356819209101213141516[[#Headers],[N DE SERVICIO]])</f>
        <v>20</v>
      </c>
      <c r="G27" s="2">
        <v>14534</v>
      </c>
      <c r="H27" s="9"/>
      <c r="I27" s="9" t="s">
        <v>1611</v>
      </c>
      <c r="J27" s="9"/>
      <c r="K27" s="2" t="s">
        <v>26</v>
      </c>
      <c r="L27" s="2"/>
      <c r="M27" s="2" t="s">
        <v>34</v>
      </c>
      <c r="N27" s="2"/>
    </row>
    <row r="28" spans="1:14" ht="30.75">
      <c r="A28" s="2" t="s">
        <v>1612</v>
      </c>
      <c r="B28" s="8">
        <v>118</v>
      </c>
      <c r="C28" s="7" t="s">
        <v>68</v>
      </c>
      <c r="D28" s="2" t="s">
        <v>23</v>
      </c>
      <c r="E28" s="2" t="s">
        <v>24</v>
      </c>
      <c r="F28" s="2">
        <f>ROW() - ROW(Tabla35673456789356819209101213141516[[#Headers],[N DE SERVICIO]])</f>
        <v>21</v>
      </c>
      <c r="G28" s="2">
        <v>15246</v>
      </c>
      <c r="H28" s="9"/>
      <c r="I28" s="9" t="s">
        <v>1613</v>
      </c>
      <c r="J28" s="9"/>
      <c r="K28" s="2" t="s">
        <v>26</v>
      </c>
      <c r="L28" s="2"/>
      <c r="M28" s="2" t="s">
        <v>38</v>
      </c>
      <c r="N28" s="2"/>
    </row>
    <row r="29" spans="1:14" ht="30.75">
      <c r="A29" s="7">
        <v>45021</v>
      </c>
      <c r="B29" s="8">
        <v>118</v>
      </c>
      <c r="C29" s="7" t="s">
        <v>69</v>
      </c>
      <c r="D29" s="2" t="s">
        <v>23</v>
      </c>
      <c r="E29" s="2" t="s">
        <v>24</v>
      </c>
      <c r="F29" s="2">
        <f>ROW() - ROW(Tabla35673456789356819209101213141516[[#Headers],[N DE SERVICIO]])</f>
        <v>22</v>
      </c>
      <c r="G29" s="2">
        <v>15774</v>
      </c>
      <c r="H29" s="9"/>
      <c r="I29" s="9" t="s">
        <v>1614</v>
      </c>
      <c r="J29" s="9"/>
      <c r="K29" s="2" t="s">
        <v>26</v>
      </c>
      <c r="L29" s="2"/>
      <c r="M29" s="2" t="s">
        <v>41</v>
      </c>
      <c r="N29" s="2"/>
    </row>
    <row r="30" spans="1:14" ht="30.75">
      <c r="A30" s="2" t="s">
        <v>1615</v>
      </c>
      <c r="B30" s="8">
        <v>118</v>
      </c>
      <c r="C30" s="7" t="s">
        <v>70</v>
      </c>
      <c r="D30" s="2" t="s">
        <v>23</v>
      </c>
      <c r="E30" s="2" t="s">
        <v>24</v>
      </c>
      <c r="F30" s="2">
        <f>ROW() - ROW(Tabla35673456789356819209101213141516[[#Headers],[N DE SERVICIO]])</f>
        <v>23</v>
      </c>
      <c r="G30" s="2">
        <v>16499</v>
      </c>
      <c r="H30" s="9"/>
      <c r="I30" s="9" t="s">
        <v>1616</v>
      </c>
      <c r="J30" s="9"/>
      <c r="K30" s="2" t="s">
        <v>26</v>
      </c>
      <c r="L30" s="2"/>
      <c r="M30" s="2" t="s">
        <v>44</v>
      </c>
      <c r="N30" s="2">
        <v>3</v>
      </c>
    </row>
    <row r="31" spans="1:14" ht="30.75">
      <c r="A31" s="7">
        <v>45108</v>
      </c>
      <c r="B31" s="8">
        <v>118</v>
      </c>
      <c r="C31" s="7">
        <v>45104</v>
      </c>
      <c r="D31" s="2" t="s">
        <v>23</v>
      </c>
      <c r="E31" s="2" t="s">
        <v>24</v>
      </c>
      <c r="F31" s="2">
        <f>ROW() - ROW(Tabla35673456789356819209101213141516[[#Headers],[N DE SERVICIO]])</f>
        <v>24</v>
      </c>
      <c r="G31" s="2">
        <v>17152</v>
      </c>
      <c r="H31" s="9"/>
      <c r="I31" s="9" t="s">
        <v>1617</v>
      </c>
      <c r="J31" s="9"/>
      <c r="K31" s="2" t="s">
        <v>26</v>
      </c>
      <c r="L31" s="2"/>
      <c r="M31" s="2" t="s">
        <v>57</v>
      </c>
      <c r="N31" s="2">
        <v>6.1</v>
      </c>
    </row>
    <row r="32" spans="1:14" ht="30.75">
      <c r="A32" s="7">
        <v>45138</v>
      </c>
      <c r="B32" s="8">
        <v>118</v>
      </c>
      <c r="C32" s="7">
        <v>45134</v>
      </c>
      <c r="D32" s="2" t="s">
        <v>23</v>
      </c>
      <c r="E32" s="2" t="s">
        <v>24</v>
      </c>
      <c r="F32" s="2">
        <f>ROW() - ROW(Tabla35673456789356819209101213141516[[#Headers],[N DE SERVICIO]])</f>
        <v>25</v>
      </c>
      <c r="G32" s="2">
        <v>17918</v>
      </c>
      <c r="H32" s="9"/>
      <c r="I32" s="9" t="s">
        <v>1618</v>
      </c>
      <c r="J32" s="9"/>
      <c r="K32" s="2" t="s">
        <v>26</v>
      </c>
      <c r="L32" s="2"/>
      <c r="M32" s="2" t="s">
        <v>47</v>
      </c>
      <c r="N32" s="2">
        <v>6.4</v>
      </c>
    </row>
    <row r="33" spans="1:14" ht="30.75">
      <c r="A33" s="7">
        <v>45170</v>
      </c>
      <c r="B33" s="8">
        <v>118</v>
      </c>
      <c r="C33" s="7">
        <v>45166</v>
      </c>
      <c r="D33" s="2" t="s">
        <v>23</v>
      </c>
      <c r="E33" s="2" t="s">
        <v>24</v>
      </c>
      <c r="F33" s="2">
        <f>ROW() - ROW(Tabla35673456789356819209101213141516[[#Headers],[N DE SERVICIO]])</f>
        <v>26</v>
      </c>
      <c r="G33" s="2" t="s">
        <v>1619</v>
      </c>
      <c r="H33" s="9"/>
      <c r="I33" s="9" t="s">
        <v>1620</v>
      </c>
      <c r="J33" s="9"/>
      <c r="K33" s="2" t="s">
        <v>26</v>
      </c>
      <c r="L33" s="2"/>
      <c r="M33" s="2" t="s">
        <v>50</v>
      </c>
      <c r="N33" s="2">
        <v>7.1</v>
      </c>
    </row>
    <row r="34" spans="1:14" ht="30.75">
      <c r="A34" s="7">
        <v>45203</v>
      </c>
      <c r="B34" s="8">
        <v>118</v>
      </c>
      <c r="C34" s="7">
        <v>45198</v>
      </c>
      <c r="D34" s="2" t="s">
        <v>23</v>
      </c>
      <c r="E34" s="2" t="s">
        <v>24</v>
      </c>
      <c r="F34" s="2">
        <f>ROW() - ROW(Tabla35673456789356819209101213141516[[#Headers],[N DE SERVICIO]])</f>
        <v>27</v>
      </c>
      <c r="G34" s="2">
        <v>19425</v>
      </c>
      <c r="H34" s="9"/>
      <c r="I34" s="9" t="s">
        <v>1621</v>
      </c>
      <c r="J34" s="9"/>
      <c r="K34" s="2" t="s">
        <v>26</v>
      </c>
      <c r="L34" s="2"/>
      <c r="M34" s="2" t="s">
        <v>22</v>
      </c>
      <c r="N34" s="2">
        <v>4</v>
      </c>
    </row>
    <row r="35" spans="1:14" ht="30.75">
      <c r="A35" s="7">
        <v>45232</v>
      </c>
      <c r="B35" s="8">
        <v>118</v>
      </c>
      <c r="C35" s="7">
        <v>45230</v>
      </c>
      <c r="D35" s="2" t="s">
        <v>23</v>
      </c>
      <c r="E35" s="2" t="s">
        <v>24</v>
      </c>
      <c r="F35" s="2">
        <f>ROW() - ROW(Tabla35673456789356819209101213141516[[#Headers],[N DE SERVICIO]])</f>
        <v>28</v>
      </c>
      <c r="G35" s="2">
        <v>20160</v>
      </c>
      <c r="H35" s="9"/>
      <c r="I35" s="9" t="s">
        <v>1622</v>
      </c>
      <c r="J35" s="9" t="s">
        <v>1623</v>
      </c>
      <c r="K35" s="2" t="s">
        <v>26</v>
      </c>
      <c r="L35" s="2"/>
      <c r="M35" s="2" t="s">
        <v>54</v>
      </c>
      <c r="N35" s="2">
        <v>8</v>
      </c>
    </row>
    <row r="36" spans="1:14" ht="32.25">
      <c r="A36" s="7">
        <v>45260</v>
      </c>
      <c r="B36" s="8">
        <v>118</v>
      </c>
      <c r="C36" s="28">
        <v>45260</v>
      </c>
      <c r="D36" s="2" t="s">
        <v>23</v>
      </c>
      <c r="E36" s="27" t="s">
        <v>24</v>
      </c>
      <c r="F36" s="27">
        <f>ROW() - ROW(Tabla35673456789356819209101213141516[[#Headers],[N DE SERVICIO]])</f>
        <v>29</v>
      </c>
      <c r="G36" s="2">
        <v>20676</v>
      </c>
      <c r="H36" s="9"/>
      <c r="I36" s="9" t="s">
        <v>1624</v>
      </c>
      <c r="J36" s="9" t="s">
        <v>1625</v>
      </c>
      <c r="K36" s="2" t="s">
        <v>26</v>
      </c>
      <c r="L36" s="2"/>
      <c r="M36" s="2" t="s">
        <v>1443</v>
      </c>
      <c r="N36" s="2">
        <v>7</v>
      </c>
    </row>
    <row r="37" spans="1:14" ht="30.75">
      <c r="A37" s="7">
        <v>45295</v>
      </c>
      <c r="B37" s="8">
        <v>118</v>
      </c>
      <c r="C37" s="7">
        <v>45289</v>
      </c>
      <c r="D37" s="2" t="s">
        <v>23</v>
      </c>
      <c r="E37" s="2" t="s">
        <v>24</v>
      </c>
      <c r="F37" s="2">
        <f>ROW() - ROW(Tabla35673456789356819209101213141516[[#Headers],[N DE SERVICIO]])</f>
        <v>30</v>
      </c>
      <c r="G37" s="2">
        <v>21483</v>
      </c>
      <c r="H37" s="9"/>
      <c r="I37" s="9" t="s">
        <v>1626</v>
      </c>
      <c r="J37" s="9" t="s">
        <v>1627</v>
      </c>
      <c r="K37" s="2" t="s">
        <v>26</v>
      </c>
      <c r="L37" s="2"/>
      <c r="M37" s="2" t="s">
        <v>686</v>
      </c>
      <c r="N37" s="2">
        <v>4</v>
      </c>
    </row>
    <row r="38" spans="1:14" ht="30.75">
      <c r="A38" s="7">
        <v>45323</v>
      </c>
      <c r="B38" s="8">
        <v>118</v>
      </c>
      <c r="C38" s="7">
        <v>45322</v>
      </c>
      <c r="D38" s="2" t="s">
        <v>23</v>
      </c>
      <c r="E38" s="2" t="s">
        <v>24</v>
      </c>
      <c r="F38" s="2">
        <f>ROW() - ROW(Tabla35673456789356819209101213141516[[#Headers],[N DE SERVICIO]])</f>
        <v>31</v>
      </c>
      <c r="G38" s="2">
        <v>22196</v>
      </c>
      <c r="H38" s="9"/>
      <c r="I38" s="9" t="s">
        <v>1628</v>
      </c>
      <c r="J38" s="9" t="s">
        <v>1629</v>
      </c>
      <c r="K38" s="2" t="s">
        <v>26</v>
      </c>
      <c r="L38" s="2"/>
      <c r="M38" s="2" t="s">
        <v>32</v>
      </c>
      <c r="N38" s="2">
        <v>8</v>
      </c>
    </row>
    <row r="39" spans="1:14" ht="30.75">
      <c r="A39" s="7">
        <v>45355</v>
      </c>
      <c r="B39" s="8">
        <v>118</v>
      </c>
      <c r="C39" s="7">
        <v>45351</v>
      </c>
      <c r="D39" s="2" t="s">
        <v>23</v>
      </c>
      <c r="E39" s="2" t="s">
        <v>24</v>
      </c>
      <c r="F39" s="2">
        <f>ROW() - ROW(Tabla35673456789356819209101213141516[[#Headers],[N DE SERVICIO]])</f>
        <v>32</v>
      </c>
      <c r="G39" s="2">
        <v>22863</v>
      </c>
      <c r="H39" s="9"/>
      <c r="I39" s="9" t="s">
        <v>1630</v>
      </c>
      <c r="J39" s="9" t="s">
        <v>1631</v>
      </c>
      <c r="K39" s="2" t="s">
        <v>26</v>
      </c>
      <c r="L39" s="2"/>
      <c r="M39" s="2" t="s">
        <v>34</v>
      </c>
      <c r="N39" s="2">
        <v>7</v>
      </c>
    </row>
    <row r="40" spans="1:14" ht="30.75">
      <c r="A40" s="7">
        <v>45388</v>
      </c>
      <c r="B40" s="8">
        <v>118</v>
      </c>
      <c r="C40" s="7">
        <v>45377</v>
      </c>
      <c r="D40" s="2" t="s">
        <v>23</v>
      </c>
      <c r="E40" s="2" t="s">
        <v>24</v>
      </c>
      <c r="F40" s="2">
        <f>ROW() - ROW(Tabla35673456789356819209101213141516[[#Headers],[N DE SERVICIO]])</f>
        <v>33</v>
      </c>
      <c r="G40" s="2">
        <v>23621</v>
      </c>
      <c r="H40" s="9"/>
      <c r="I40" s="9" t="s">
        <v>1632</v>
      </c>
      <c r="J40" s="9" t="s">
        <v>1633</v>
      </c>
      <c r="K40" s="2" t="s">
        <v>26</v>
      </c>
      <c r="L40" s="2"/>
      <c r="M40" s="2" t="s">
        <v>38</v>
      </c>
      <c r="N40" s="2">
        <v>11.1</v>
      </c>
    </row>
    <row r="41" spans="1:14" ht="30.75">
      <c r="A41" s="7">
        <v>45413</v>
      </c>
      <c r="B41" s="8">
        <v>118</v>
      </c>
      <c r="C41" s="7">
        <v>45412</v>
      </c>
      <c r="D41" s="2" t="s">
        <v>23</v>
      </c>
      <c r="E41" s="2" t="s">
        <v>24</v>
      </c>
      <c r="F41" s="2">
        <f>ROW() - ROW(Tabla35673456789356819209101213141516[[#Headers],[N DE SERVICIO]])</f>
        <v>34</v>
      </c>
      <c r="G41" s="2">
        <v>24404</v>
      </c>
      <c r="H41" s="9"/>
      <c r="I41" s="9" t="s">
        <v>1634</v>
      </c>
      <c r="J41" s="9" t="s">
        <v>1635</v>
      </c>
      <c r="K41" s="2" t="s">
        <v>26</v>
      </c>
      <c r="L41" s="2"/>
      <c r="M41" s="2" t="s">
        <v>41</v>
      </c>
      <c r="N41" s="2">
        <v>10</v>
      </c>
    </row>
    <row r="42" spans="1:14" ht="30.75">
      <c r="A42" s="7">
        <v>45453</v>
      </c>
      <c r="B42" s="8">
        <v>118</v>
      </c>
      <c r="C42" s="7">
        <v>45443</v>
      </c>
      <c r="D42" s="2" t="s">
        <v>23</v>
      </c>
      <c r="E42" s="2" t="s">
        <v>24</v>
      </c>
      <c r="F42" s="2">
        <f>ROW() - ROW(Tabla35673456789356819209101213141516[[#Headers],[N DE SERVICIO]])</f>
        <v>35</v>
      </c>
      <c r="G42" s="2">
        <v>25121</v>
      </c>
      <c r="H42" s="9"/>
      <c r="I42" s="9" t="s">
        <v>1636</v>
      </c>
      <c r="J42" s="9" t="s">
        <v>1637</v>
      </c>
      <c r="K42" s="2" t="s">
        <v>26</v>
      </c>
      <c r="L42" s="2"/>
      <c r="M42" s="2" t="s">
        <v>44</v>
      </c>
      <c r="N42" s="2">
        <v>5</v>
      </c>
    </row>
    <row r="43" spans="1:14" ht="30.75">
      <c r="A43" s="7">
        <v>45475</v>
      </c>
      <c r="B43" s="8">
        <v>118</v>
      </c>
      <c r="C43" s="7">
        <v>45471</v>
      </c>
      <c r="D43" s="2" t="s">
        <v>23</v>
      </c>
      <c r="E43" s="2" t="s">
        <v>24</v>
      </c>
      <c r="F43" s="2">
        <f>ROW() - ROW(Tabla35673456789356819209101213141516[[#Headers],[N DE SERVICIO]])</f>
        <v>36</v>
      </c>
      <c r="G43" s="2">
        <v>25816</v>
      </c>
      <c r="H43" s="9"/>
      <c r="I43" s="9" t="s">
        <v>1638</v>
      </c>
      <c r="J43" s="9" t="s">
        <v>1639</v>
      </c>
      <c r="K43" s="2" t="s">
        <v>26</v>
      </c>
      <c r="L43" s="2"/>
      <c r="M43" s="2" t="s">
        <v>57</v>
      </c>
      <c r="N43" s="2">
        <v>5</v>
      </c>
    </row>
    <row r="44" spans="1:14" ht="30.75">
      <c r="A44" s="7">
        <v>45521</v>
      </c>
      <c r="B44" s="8">
        <v>118</v>
      </c>
      <c r="C44" s="7">
        <v>45504</v>
      </c>
      <c r="D44" s="2" t="s">
        <v>23</v>
      </c>
      <c r="E44" s="2" t="s">
        <v>24</v>
      </c>
      <c r="F44" s="2">
        <f>ROW() - ROW(Tabla35673456789356819209101213141516[[#Headers],[N DE SERVICIO]])</f>
        <v>37</v>
      </c>
      <c r="G44" s="2">
        <v>26645</v>
      </c>
      <c r="H44" s="9"/>
      <c r="I44" s="9" t="s">
        <v>1640</v>
      </c>
      <c r="J44" s="9" t="s">
        <v>1641</v>
      </c>
      <c r="K44" s="2" t="s">
        <v>26</v>
      </c>
      <c r="L44" s="2"/>
      <c r="M44" s="2" t="s">
        <v>47</v>
      </c>
      <c r="N44" s="2">
        <v>6.3</v>
      </c>
    </row>
    <row r="45" spans="1:14" ht="30.75">
      <c r="A45" s="7">
        <v>45537</v>
      </c>
      <c r="B45" s="8">
        <v>118</v>
      </c>
      <c r="C45" s="7">
        <v>45533</v>
      </c>
      <c r="D45" s="2" t="s">
        <v>23</v>
      </c>
      <c r="E45" s="2" t="s">
        <v>24</v>
      </c>
      <c r="F45" s="2">
        <f>ROW() - ROW(Tabla35673456789356819209101213141516[[#Headers],[N DE SERVICIO]])</f>
        <v>38</v>
      </c>
      <c r="G45" s="2">
        <v>27465</v>
      </c>
      <c r="H45" s="9"/>
      <c r="I45" s="9" t="s">
        <v>1642</v>
      </c>
      <c r="J45" s="9" t="s">
        <v>1643</v>
      </c>
      <c r="K45" s="2" t="s">
        <v>192</v>
      </c>
      <c r="L45" s="2"/>
      <c r="M45" s="2" t="s">
        <v>50</v>
      </c>
      <c r="N45" s="2">
        <v>8</v>
      </c>
    </row>
    <row r="46" spans="1:14" ht="30.75">
      <c r="A46" s="7">
        <v>45569</v>
      </c>
      <c r="B46" s="8">
        <v>118</v>
      </c>
      <c r="C46" s="7">
        <v>45563</v>
      </c>
      <c r="D46" s="2" t="s">
        <v>23</v>
      </c>
      <c r="E46" s="2" t="s">
        <v>24</v>
      </c>
      <c r="F46" s="2">
        <f>ROW() - ROW(Tabla35673456789356819209101213141516[[#Headers],[N DE SERVICIO]])</f>
        <v>39</v>
      </c>
      <c r="G46" s="2">
        <v>28279</v>
      </c>
      <c r="H46" s="9"/>
      <c r="I46" s="9" t="s">
        <v>1644</v>
      </c>
      <c r="J46" s="9" t="s">
        <v>1645</v>
      </c>
      <c r="K46" s="2" t="s">
        <v>192</v>
      </c>
      <c r="L46" s="2"/>
      <c r="M46" s="2" t="s">
        <v>22</v>
      </c>
      <c r="N46" s="2">
        <v>7</v>
      </c>
    </row>
    <row r="47" spans="1:14" ht="30.75">
      <c r="A47" s="7">
        <v>45617</v>
      </c>
      <c r="B47" s="8">
        <v>118</v>
      </c>
      <c r="C47" s="7">
        <v>45596</v>
      </c>
      <c r="D47" s="2" t="s">
        <v>23</v>
      </c>
      <c r="E47" s="2" t="s">
        <v>24</v>
      </c>
      <c r="F47" s="2">
        <f>ROW() - ROW(Tabla35673456789356819209101213141516[[#Headers],[N DE SERVICIO]])</f>
        <v>40</v>
      </c>
      <c r="G47" s="2">
        <v>29095</v>
      </c>
      <c r="H47" s="9"/>
      <c r="I47" s="9" t="s">
        <v>1646</v>
      </c>
      <c r="J47" s="9" t="s">
        <v>1647</v>
      </c>
      <c r="K47" s="2" t="s">
        <v>192</v>
      </c>
      <c r="L47" s="2"/>
      <c r="M47" s="2" t="s">
        <v>54</v>
      </c>
      <c r="N47" s="2">
        <v>4.5</v>
      </c>
    </row>
    <row r="48" spans="1:14" ht="30.75">
      <c r="A48" s="535" t="s">
        <v>1648</v>
      </c>
      <c r="B48" s="8">
        <v>118</v>
      </c>
      <c r="C48" s="7">
        <v>45625</v>
      </c>
      <c r="D48" s="2" t="s">
        <v>23</v>
      </c>
      <c r="E48" s="2" t="s">
        <v>24</v>
      </c>
      <c r="F48" s="2">
        <f>ROW() - ROW(Tabla35673456789356819209101213141516[[#Headers],[N DE SERVICIO]])</f>
        <v>41</v>
      </c>
      <c r="G48" s="2">
        <v>29883</v>
      </c>
      <c r="H48" s="9"/>
      <c r="I48" s="9" t="s">
        <v>1649</v>
      </c>
      <c r="J48" s="9" t="s">
        <v>1650</v>
      </c>
      <c r="K48" s="2" t="s">
        <v>73</v>
      </c>
      <c r="L48" s="2"/>
      <c r="M48" s="2" t="s">
        <v>27</v>
      </c>
      <c r="N48" s="2">
        <v>4.5999999999999996</v>
      </c>
    </row>
    <row r="49" spans="1:14" ht="30.75">
      <c r="A49" s="7">
        <v>45660</v>
      </c>
      <c r="B49" s="8">
        <v>118</v>
      </c>
      <c r="C49" s="7">
        <v>45654</v>
      </c>
      <c r="D49" s="2" t="s">
        <v>23</v>
      </c>
      <c r="E49" s="2" t="s">
        <v>24</v>
      </c>
      <c r="F49" s="2">
        <f>ROW() - ROW(Tabla35673456789356819209101213141516[[#Headers],[N DE SERVICIO]])</f>
        <v>42</v>
      </c>
      <c r="G49" s="2">
        <v>30327</v>
      </c>
      <c r="H49" s="9"/>
      <c r="I49" s="9" t="s">
        <v>1651</v>
      </c>
      <c r="J49" s="9" t="s">
        <v>1652</v>
      </c>
      <c r="K49" s="2" t="s">
        <v>26</v>
      </c>
      <c r="L49" s="2"/>
      <c r="M49" s="2" t="s">
        <v>30</v>
      </c>
      <c r="N49" s="2">
        <v>10.5</v>
      </c>
    </row>
    <row r="50" spans="1:14" ht="30.75">
      <c r="A50" s="535" t="s">
        <v>1648</v>
      </c>
      <c r="B50" s="8">
        <v>118</v>
      </c>
      <c r="C50" s="7" t="s">
        <v>274</v>
      </c>
      <c r="D50" s="2" t="s">
        <v>23</v>
      </c>
      <c r="E50" s="2" t="s">
        <v>24</v>
      </c>
      <c r="F50" s="2">
        <f>ROW() - ROW(Tabla35673456789356819209101213141516[[#Headers],[N DE SERVICIO]])</f>
        <v>43</v>
      </c>
      <c r="G50" s="2">
        <v>31511</v>
      </c>
      <c r="H50" s="9"/>
      <c r="I50" s="9" t="s">
        <v>1653</v>
      </c>
      <c r="J50" s="9"/>
      <c r="K50" s="2" t="s">
        <v>73</v>
      </c>
      <c r="L50" s="2"/>
      <c r="M50" s="2" t="s">
        <v>32</v>
      </c>
      <c r="N50" s="2">
        <v>4.5</v>
      </c>
    </row>
    <row r="51" spans="1:14" ht="30.75">
      <c r="A51" s="7">
        <v>45805</v>
      </c>
      <c r="B51" s="8">
        <v>118</v>
      </c>
      <c r="C51" s="7">
        <v>45716</v>
      </c>
      <c r="D51" s="2" t="s">
        <v>23</v>
      </c>
      <c r="E51" s="2" t="s">
        <v>24</v>
      </c>
      <c r="F51" s="2">
        <f>ROW() - ROW(Tabla35673456789356819209101213141516[[#Headers],[N DE SERVICIO]])</f>
        <v>44</v>
      </c>
      <c r="G51" s="2">
        <v>32376</v>
      </c>
      <c r="H51" s="9"/>
      <c r="I51" s="9" t="s">
        <v>1654</v>
      </c>
      <c r="J51" s="9"/>
      <c r="K51" s="2" t="s">
        <v>73</v>
      </c>
      <c r="L51" s="2"/>
      <c r="M51" s="2" t="s">
        <v>34</v>
      </c>
      <c r="N51" s="2">
        <v>4.3</v>
      </c>
    </row>
    <row r="52" spans="1:14" ht="30.75">
      <c r="A52" s="7">
        <v>45805</v>
      </c>
      <c r="B52" s="8">
        <v>118</v>
      </c>
      <c r="C52" s="7">
        <v>45744</v>
      </c>
      <c r="D52" s="2" t="s">
        <v>23</v>
      </c>
      <c r="E52" s="2" t="s">
        <v>24</v>
      </c>
      <c r="F52" s="2">
        <f>ROW() - ROW(Tabla35673456789356819209101213141516[[#Headers],[N DE SERVICIO]])</f>
        <v>45</v>
      </c>
      <c r="G52" s="2">
        <v>33217</v>
      </c>
      <c r="H52" s="9"/>
      <c r="I52" s="9" t="s">
        <v>1655</v>
      </c>
      <c r="J52" s="9"/>
      <c r="K52" s="2" t="s">
        <v>73</v>
      </c>
      <c r="L52" s="2"/>
      <c r="M52" s="2" t="s">
        <v>38</v>
      </c>
      <c r="N52" s="2">
        <v>5.4</v>
      </c>
    </row>
    <row r="53" spans="1:14" ht="30.75">
      <c r="A53" s="7">
        <v>45805</v>
      </c>
      <c r="B53" s="8">
        <v>118</v>
      </c>
      <c r="C53" s="7">
        <v>45776</v>
      </c>
      <c r="D53" s="2" t="s">
        <v>23</v>
      </c>
      <c r="E53" s="2" t="s">
        <v>24</v>
      </c>
      <c r="F53" s="2">
        <f>ROW() - ROW(Tabla35673456789356819209101213141516[[#Headers],[N DE SERVICIO]])</f>
        <v>46</v>
      </c>
      <c r="G53" s="2">
        <v>34014</v>
      </c>
      <c r="H53" s="9"/>
      <c r="I53" s="9" t="s">
        <v>1656</v>
      </c>
      <c r="J53" s="9"/>
      <c r="K53" s="2" t="s">
        <v>73</v>
      </c>
      <c r="L53" s="2"/>
      <c r="M53" s="2" t="s">
        <v>41</v>
      </c>
      <c r="N53" s="2">
        <v>5.5</v>
      </c>
    </row>
    <row r="54" spans="1:14" ht="30.75">
      <c r="A54" s="7">
        <v>45813</v>
      </c>
      <c r="B54" s="8">
        <v>118</v>
      </c>
      <c r="C54" s="7">
        <v>45805</v>
      </c>
      <c r="D54" s="2" t="s">
        <v>23</v>
      </c>
      <c r="E54" s="2" t="s">
        <v>24</v>
      </c>
      <c r="F54" s="2">
        <f>ROW() - ROW(Tabla35673456789356819209101213141516[[#Headers],[N DE SERVICIO]])</f>
        <v>47</v>
      </c>
      <c r="G54" s="2">
        <v>34856</v>
      </c>
      <c r="H54" s="9"/>
      <c r="I54" s="9" t="s">
        <v>1657</v>
      </c>
      <c r="J54" s="9"/>
      <c r="K54" s="2" t="s">
        <v>73</v>
      </c>
      <c r="L54" s="2"/>
      <c r="M54" s="2" t="s">
        <v>44</v>
      </c>
      <c r="N54" s="2">
        <v>3.5</v>
      </c>
    </row>
    <row r="55" spans="1:14" ht="30.75">
      <c r="A55" s="7">
        <v>45885</v>
      </c>
      <c r="B55" s="8">
        <v>118</v>
      </c>
      <c r="C55" s="7">
        <v>45835</v>
      </c>
      <c r="D55" s="2" t="s">
        <v>23</v>
      </c>
      <c r="E55" s="2" t="s">
        <v>24</v>
      </c>
      <c r="F55" s="2">
        <f>ROW() - ROW(Tabla35673456789356819209101213141516[[#Headers],[N DE SERVICIO]])</f>
        <v>48</v>
      </c>
      <c r="G55" s="2">
        <v>35701</v>
      </c>
      <c r="H55" s="9"/>
      <c r="I55" s="9" t="s">
        <v>1658</v>
      </c>
      <c r="J55" s="9"/>
      <c r="K55" s="2" t="s">
        <v>192</v>
      </c>
      <c r="L55" s="2"/>
      <c r="M55" s="2" t="s">
        <v>57</v>
      </c>
      <c r="N55" s="2">
        <v>2.5</v>
      </c>
    </row>
    <row r="56" spans="1:14" ht="30.75">
      <c r="A56" s="7">
        <v>45885</v>
      </c>
      <c r="B56" s="8">
        <v>118</v>
      </c>
      <c r="C56" s="7">
        <v>45864</v>
      </c>
      <c r="D56" s="2" t="s">
        <v>23</v>
      </c>
      <c r="E56" s="2" t="s">
        <v>24</v>
      </c>
      <c r="F56" s="2">
        <f>ROW() - ROW(Tabla35673456789356819209101213141516[[#Headers],[N DE SERVICIO]])</f>
        <v>49</v>
      </c>
      <c r="G56" s="2">
        <v>36486</v>
      </c>
      <c r="H56" s="9"/>
      <c r="I56" s="9" t="s">
        <v>1659</v>
      </c>
      <c r="J56" s="9"/>
      <c r="K56" s="2" t="s">
        <v>192</v>
      </c>
      <c r="L56" s="2"/>
      <c r="M56" s="2" t="s">
        <v>47</v>
      </c>
      <c r="N56" s="2">
        <v>2.5</v>
      </c>
    </row>
    <row r="57" spans="1:14" ht="30.75">
      <c r="A57" s="7">
        <v>45925</v>
      </c>
      <c r="B57" s="8">
        <v>118</v>
      </c>
      <c r="C57" s="7">
        <v>45897</v>
      </c>
      <c r="D57" s="2" t="s">
        <v>23</v>
      </c>
      <c r="E57" s="2" t="s">
        <v>24</v>
      </c>
      <c r="F57" s="2">
        <f>ROW() - ROW(Tabla35673456789356819209101213141516[[#Headers],[N DE SERVICIO]])</f>
        <v>50</v>
      </c>
      <c r="G57" s="2">
        <v>37248</v>
      </c>
      <c r="H57" s="9"/>
      <c r="I57" s="9" t="s">
        <v>1660</v>
      </c>
      <c r="J57" s="9"/>
      <c r="K57" s="2" t="s">
        <v>73</v>
      </c>
      <c r="L57" s="2"/>
      <c r="M57" s="2" t="s">
        <v>50</v>
      </c>
      <c r="N57" s="2">
        <v>1.5</v>
      </c>
    </row>
    <row r="58" spans="1:14" ht="30.75">
      <c r="A58" s="7">
        <v>45933</v>
      </c>
      <c r="B58" s="8">
        <v>118</v>
      </c>
      <c r="C58" s="7">
        <v>45929</v>
      </c>
      <c r="D58" s="2" t="s">
        <v>23</v>
      </c>
      <c r="E58" s="2" t="s">
        <v>24</v>
      </c>
      <c r="F58" s="2">
        <f>ROW() - ROW(Tabla35673456789356819209101213141516[[#Headers],[N DE SERVICIO]])</f>
        <v>51</v>
      </c>
      <c r="G58" s="2">
        <v>38132</v>
      </c>
      <c r="H58" s="9"/>
      <c r="I58" s="9" t="s">
        <v>1661</v>
      </c>
      <c r="J58" s="9"/>
      <c r="K58" s="2" t="s">
        <v>72</v>
      </c>
      <c r="L58" s="2"/>
      <c r="M58" s="2" t="s">
        <v>22</v>
      </c>
      <c r="N58" s="2">
        <v>1</v>
      </c>
    </row>
    <row r="59" spans="1:14" ht="30.75">
      <c r="A59" s="7">
        <v>46006</v>
      </c>
      <c r="B59" s="8">
        <v>118</v>
      </c>
      <c r="C59" s="7">
        <v>45960</v>
      </c>
      <c r="D59" s="2" t="s">
        <v>23</v>
      </c>
      <c r="E59" s="2" t="s">
        <v>24</v>
      </c>
      <c r="F59" s="2">
        <f>ROW() - ROW(Tabla35673456789356819209101213141516[[#Headers],[N DE SERVICIO]])</f>
        <v>52</v>
      </c>
      <c r="G59" s="2">
        <v>38994</v>
      </c>
      <c r="H59" s="9"/>
      <c r="I59" s="9" t="s">
        <v>1662</v>
      </c>
      <c r="J59" s="9"/>
      <c r="K59" s="2" t="s">
        <v>72</v>
      </c>
      <c r="L59" s="2"/>
      <c r="M59" s="2" t="s">
        <v>54</v>
      </c>
      <c r="N59" s="2">
        <v>2</v>
      </c>
    </row>
    <row r="60" spans="1:14" ht="30.75">
      <c r="A60" s="7">
        <v>46006</v>
      </c>
      <c r="B60" s="8">
        <v>118</v>
      </c>
      <c r="C60" s="7">
        <v>45988</v>
      </c>
      <c r="D60" s="2" t="s">
        <v>23</v>
      </c>
      <c r="E60" s="2" t="s">
        <v>24</v>
      </c>
      <c r="F60" s="2">
        <f>ROW() - ROW(Tabla35673456789356819209101213141516[[#Headers],[N DE SERVICIO]])</f>
        <v>53</v>
      </c>
      <c r="G60" s="2">
        <v>39724</v>
      </c>
      <c r="H60" s="9"/>
      <c r="I60" s="9" t="s">
        <v>1663</v>
      </c>
      <c r="J60" s="9"/>
      <c r="K60" s="2" t="s">
        <v>72</v>
      </c>
      <c r="L60" s="2"/>
      <c r="M60" s="2" t="s">
        <v>27</v>
      </c>
      <c r="N60" s="2">
        <v>1</v>
      </c>
    </row>
    <row r="61" spans="1:14" ht="30.75">
      <c r="A61" s="7">
        <v>46042</v>
      </c>
      <c r="B61" s="8">
        <v>118</v>
      </c>
      <c r="C61" s="7">
        <v>46018</v>
      </c>
      <c r="D61" s="2" t="s">
        <v>23</v>
      </c>
      <c r="E61" s="2" t="s">
        <v>24</v>
      </c>
      <c r="F61" s="2">
        <f>ROW() - ROW(Tabla35673456789356819209101213141516[[#Headers],[N DE SERVICIO]])</f>
        <v>54</v>
      </c>
      <c r="G61" s="2">
        <v>40630</v>
      </c>
      <c r="H61" s="9"/>
      <c r="I61" s="9" t="s">
        <v>1664</v>
      </c>
      <c r="J61" s="9"/>
      <c r="K61" s="2" t="s">
        <v>72</v>
      </c>
      <c r="L61" s="2"/>
      <c r="M61" s="2" t="s">
        <v>30</v>
      </c>
      <c r="N61" s="2">
        <v>1.5</v>
      </c>
    </row>
    <row r="62" spans="1:14" ht="30.75">
      <c r="A62" s="7">
        <v>46108</v>
      </c>
      <c r="B62" s="8">
        <v>118</v>
      </c>
      <c r="C62" s="7">
        <v>46052</v>
      </c>
      <c r="D62" s="2" t="s">
        <v>23</v>
      </c>
      <c r="E62" s="2" t="s">
        <v>24</v>
      </c>
      <c r="F62" s="2">
        <f>ROW() - ROW(Tabla35673456789356819209101213141516[[#Headers],[N DE SERVICIO]])</f>
        <v>55</v>
      </c>
      <c r="G62" s="2">
        <v>41595</v>
      </c>
      <c r="H62" s="9"/>
      <c r="I62" s="9" t="s">
        <v>1665</v>
      </c>
      <c r="J62" s="9"/>
      <c r="K62" s="2" t="s">
        <v>72</v>
      </c>
      <c r="L62" s="2"/>
      <c r="M62" s="2" t="s">
        <v>32</v>
      </c>
      <c r="N62" s="2">
        <v>2</v>
      </c>
    </row>
    <row r="63" spans="1:14" ht="30.75">
      <c r="A63" s="7">
        <v>46108</v>
      </c>
      <c r="B63" s="8">
        <v>118</v>
      </c>
      <c r="C63" s="7">
        <v>46081</v>
      </c>
      <c r="D63" s="2" t="s">
        <v>23</v>
      </c>
      <c r="E63" s="2" t="s">
        <v>24</v>
      </c>
      <c r="F63" s="2">
        <f>ROW() - ROW(Tabla35673456789356819209101213141516[[#Headers],[N DE SERVICIO]])</f>
        <v>56</v>
      </c>
      <c r="G63" s="2">
        <v>42437</v>
      </c>
      <c r="H63" s="9"/>
      <c r="I63" s="9" t="s">
        <v>1666</v>
      </c>
      <c r="J63" s="9"/>
      <c r="K63" s="2" t="s">
        <v>72</v>
      </c>
      <c r="L63" s="2"/>
      <c r="M63" s="2" t="s">
        <v>34</v>
      </c>
      <c r="N63" s="2">
        <v>2.1</v>
      </c>
    </row>
    <row r="64" spans="1:14" ht="30.75">
      <c r="A64" s="7">
        <v>46141</v>
      </c>
      <c r="B64" s="8">
        <v>118</v>
      </c>
      <c r="C64" s="7">
        <v>46112</v>
      </c>
      <c r="D64" s="2" t="s">
        <v>23</v>
      </c>
      <c r="E64" s="2" t="s">
        <v>24</v>
      </c>
      <c r="F64" s="2">
        <f>ROW() - ROW(Tabla35673456789356819209101213141516[[#Headers],[N DE SERVICIO]])</f>
        <v>57</v>
      </c>
      <c r="G64" s="2">
        <v>43278</v>
      </c>
      <c r="H64" s="2"/>
      <c r="I64" s="2">
        <v>59597</v>
      </c>
      <c r="J64" s="9"/>
      <c r="K64" s="2" t="s">
        <v>72</v>
      </c>
      <c r="L64" s="2"/>
      <c r="M64" s="2" t="s">
        <v>38</v>
      </c>
      <c r="N64" s="2">
        <v>1.1000000000000001</v>
      </c>
    </row>
    <row r="65" spans="1:14" ht="30.75">
      <c r="A65" s="7">
        <v>46163</v>
      </c>
      <c r="B65" s="8">
        <v>118</v>
      </c>
      <c r="C65" s="7">
        <v>46142</v>
      </c>
      <c r="D65" s="2" t="s">
        <v>23</v>
      </c>
      <c r="E65" s="2" t="s">
        <v>24</v>
      </c>
      <c r="F65" s="2">
        <f>ROW() - ROW(Tabla35673456789356819209101213141516[[#Headers],[N DE SERVICIO]])</f>
        <v>58</v>
      </c>
      <c r="G65" s="2">
        <v>44099</v>
      </c>
      <c r="H65" s="2"/>
      <c r="I65" s="2">
        <v>60966</v>
      </c>
      <c r="J65" s="9"/>
      <c r="K65" s="2" t="s">
        <v>72</v>
      </c>
      <c r="L65" s="2"/>
      <c r="M65" s="2" t="s">
        <v>41</v>
      </c>
      <c r="N65" s="2">
        <v>1</v>
      </c>
    </row>
    <row r="66" spans="1:14" ht="30.75">
      <c r="A66" s="2"/>
      <c r="B66" s="2"/>
      <c r="C66" s="7">
        <v>46170</v>
      </c>
      <c r="D66" s="2" t="s">
        <v>23</v>
      </c>
      <c r="E66" s="2"/>
      <c r="F66" s="2">
        <f>ROW() - ROW(Tabla35673456789356819209101213141516[[#Headers],[N DE SERVICIO]])</f>
        <v>59</v>
      </c>
      <c r="G66" s="2"/>
      <c r="H66" s="2"/>
      <c r="I66" s="2">
        <v>62068</v>
      </c>
      <c r="J66" s="9"/>
      <c r="K66" s="2"/>
      <c r="L66" s="2"/>
      <c r="M66" s="2"/>
      <c r="N66" s="2">
        <v>1.2</v>
      </c>
    </row>
    <row r="67" spans="1:14" ht="30.75">
      <c r="A67" s="2"/>
      <c r="B67" s="2"/>
      <c r="C67" s="2"/>
      <c r="D67" s="2" t="s">
        <v>23</v>
      </c>
      <c r="E67" s="2"/>
      <c r="F67" s="2">
        <f>ROW() - ROW(Tabla35673456789356819209101213141516[[#Headers],[N DE SERVICIO]])</f>
        <v>60</v>
      </c>
      <c r="G67" s="2"/>
      <c r="H67" s="2"/>
      <c r="I67" s="2"/>
      <c r="J67" s="9"/>
      <c r="K67" s="2"/>
      <c r="L67" s="2"/>
      <c r="M67" s="2"/>
      <c r="N67" s="2"/>
    </row>
    <row r="68" spans="1:14" ht="30.75">
      <c r="A68" s="2"/>
      <c r="B68" s="2"/>
      <c r="C68" s="2"/>
      <c r="D68" s="2" t="s">
        <v>23</v>
      </c>
      <c r="E68" s="2"/>
      <c r="F68" s="2">
        <f>ROW() - ROW(Tabla35673456789356819209101213141516[[#Headers],[N DE SERVICIO]])</f>
        <v>61</v>
      </c>
      <c r="G68" s="2"/>
      <c r="H68" s="2"/>
      <c r="I68" s="2"/>
      <c r="J68" s="9"/>
      <c r="K68" s="2"/>
      <c r="L68" s="2"/>
      <c r="M68" s="2"/>
      <c r="N68" s="2"/>
    </row>
    <row r="69" spans="1:14" ht="30.75">
      <c r="A69" s="2"/>
      <c r="B69" s="2"/>
      <c r="C69" s="2"/>
      <c r="D69" s="2" t="s">
        <v>23</v>
      </c>
      <c r="E69" s="2"/>
      <c r="F69" s="2">
        <f>ROW() - ROW(Tabla35673456789356819209101213141516[[#Headers],[N DE SERVICIO]])</f>
        <v>62</v>
      </c>
      <c r="G69" s="2"/>
      <c r="H69" s="2"/>
      <c r="I69" s="2"/>
      <c r="J69" s="9"/>
      <c r="K69" s="2"/>
      <c r="L69" s="2"/>
      <c r="M69" s="2"/>
      <c r="N69" s="2"/>
    </row>
    <row r="70" spans="1:14" ht="30.75">
      <c r="A70" s="2"/>
      <c r="B70" s="2"/>
      <c r="C70" s="2"/>
      <c r="D70" s="2" t="s">
        <v>23</v>
      </c>
      <c r="E70" s="2"/>
      <c r="F70" s="2">
        <f>ROW() - ROW(Tabla35673456789356819209101213141516[[#Headers],[N DE SERVICIO]])</f>
        <v>63</v>
      </c>
      <c r="G70" s="2"/>
      <c r="H70" s="2"/>
      <c r="I70" s="2"/>
      <c r="J70" s="9"/>
      <c r="K70" s="2"/>
      <c r="L70" s="2"/>
      <c r="M70" s="2"/>
      <c r="N70" s="2"/>
    </row>
    <row r="71" spans="1:14" ht="30.75">
      <c r="A71" s="2"/>
      <c r="B71" s="2"/>
      <c r="C71" s="2"/>
      <c r="D71" s="2" t="s">
        <v>23</v>
      </c>
      <c r="E71" s="2"/>
      <c r="F71" s="2">
        <f>ROW() - ROW(Tabla35673456789356819209101213141516[[#Headers],[N DE SERVICIO]])</f>
        <v>64</v>
      </c>
      <c r="G71" s="2"/>
      <c r="H71" s="2"/>
      <c r="I71" s="2"/>
      <c r="J71" s="9"/>
      <c r="K71" s="2"/>
      <c r="L71" s="2"/>
      <c r="M71" s="2"/>
      <c r="N71" s="2"/>
    </row>
    <row r="72" spans="1:14" ht="30.75">
      <c r="A72" s="2"/>
      <c r="B72" s="2"/>
      <c r="C72" s="2"/>
      <c r="D72" s="2" t="s">
        <v>23</v>
      </c>
      <c r="E72" s="2"/>
      <c r="F72" s="2">
        <f>ROW() - ROW(Tabla35673456789356819209101213141516[[#Headers],[N DE SERVICIO]])</f>
        <v>65</v>
      </c>
      <c r="G72" s="2"/>
      <c r="H72" s="2"/>
      <c r="I72" s="2"/>
      <c r="J72" s="9"/>
      <c r="K72" s="2"/>
      <c r="L72" s="2"/>
      <c r="M72" s="2"/>
      <c r="N72" s="2"/>
    </row>
    <row r="73" spans="1:14" ht="30.75">
      <c r="A73" s="2"/>
      <c r="B73" s="2"/>
      <c r="C73" s="2"/>
      <c r="D73" s="2" t="s">
        <v>23</v>
      </c>
      <c r="E73" s="2"/>
      <c r="F73" s="2">
        <f>ROW() - ROW(Tabla35673456789356819209101213141516[[#Headers],[N DE SERVICIO]])</f>
        <v>66</v>
      </c>
      <c r="G73" s="2"/>
      <c r="H73" s="2"/>
      <c r="I73" s="2"/>
      <c r="J73" s="9"/>
      <c r="K73" s="2"/>
      <c r="L73" s="2"/>
      <c r="M73" s="2"/>
      <c r="N73" s="2"/>
    </row>
    <row r="74" spans="1:14" ht="30.75">
      <c r="A74" s="2"/>
      <c r="B74" s="2"/>
      <c r="C74" s="2"/>
      <c r="D74" s="2" t="s">
        <v>23</v>
      </c>
      <c r="E74" s="2"/>
      <c r="F74" s="2">
        <f>ROW() - ROW(Tabla35673456789356819209101213141516[[#Headers],[N DE SERVICIO]])</f>
        <v>67</v>
      </c>
      <c r="G74" s="2"/>
      <c r="H74" s="2"/>
      <c r="I74" s="2"/>
      <c r="J74" s="9"/>
      <c r="K74" s="2"/>
      <c r="L74" s="2"/>
      <c r="M74" s="2"/>
      <c r="N74" s="2"/>
    </row>
    <row r="75" spans="1:14" ht="30.75">
      <c r="A75" s="2"/>
      <c r="B75" s="2"/>
      <c r="C75" s="2"/>
      <c r="D75" s="2" t="s">
        <v>23</v>
      </c>
      <c r="E75" s="2"/>
      <c r="F75" s="2">
        <f>ROW() - ROW(Tabla35673456789356819209101213141516[[#Headers],[N DE SERVICIO]])</f>
        <v>68</v>
      </c>
      <c r="G75" s="2"/>
      <c r="H75" s="2"/>
      <c r="I75" s="2"/>
      <c r="J75" s="9"/>
      <c r="K75" s="2"/>
      <c r="L75" s="2"/>
      <c r="M75" s="2"/>
      <c r="N75" s="2"/>
    </row>
    <row r="76" spans="1:14" ht="30.75">
      <c r="A76" s="2"/>
      <c r="B76" s="2"/>
      <c r="C76" s="2"/>
      <c r="D76" s="2" t="s">
        <v>23</v>
      </c>
      <c r="E76" s="2"/>
      <c r="F76" s="2">
        <f>ROW() - ROW(Tabla35673456789356819209101213141516[[#Headers],[N DE SERVICIO]])</f>
        <v>69</v>
      </c>
      <c r="G76" s="2"/>
      <c r="H76" s="2"/>
      <c r="I76" s="2"/>
      <c r="J76" s="9"/>
      <c r="K76" s="2"/>
      <c r="L76" s="2"/>
      <c r="M76" s="2"/>
      <c r="N76" s="2"/>
    </row>
  </sheetData>
  <mergeCells count="8">
    <mergeCell ref="C6:E6"/>
    <mergeCell ref="A1:I1"/>
    <mergeCell ref="G2:K2"/>
    <mergeCell ref="L2:M3"/>
    <mergeCell ref="C5:E5"/>
    <mergeCell ref="F5:H5"/>
    <mergeCell ref="K5:M5"/>
    <mergeCell ref="B2:D2"/>
  </mergeCells>
  <dataValidations count="1">
    <dataValidation type="list" allowBlank="1" showInputMessage="1" showErrorMessage="1" sqref="E8:E60 E62:E76" xr:uid="{00000000-0002-0000-0E00-000000000000}">
      <formula1>"EFECTIVO, CHEQUE, TRANSFERENCIA,DEPOSITO"</formula1>
    </dataValidation>
  </dataValidations>
  <hyperlinks>
    <hyperlink ref="B4" r:id="rId1" xr:uid="{00000000-0004-0000-0E00-000000000000}"/>
  </hyperlinks>
  <pageMargins left="0.7" right="0.7" top="0.75" bottom="0.75" header="0.3" footer="0.3"/>
  <pageSetup orientation="portrait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43A0-5276-47E1-BFF2-7F7A3D0BA3A7}">
  <dimension ref="A1:N72"/>
  <sheetViews>
    <sheetView workbookViewId="0">
      <selection activeCell="Q12" sqref="Q12"/>
    </sheetView>
  </sheetViews>
  <sheetFormatPr defaultColWidth="11.42578125" defaultRowHeight="15"/>
  <cols>
    <col min="2" max="2" width="18.7109375" customWidth="1"/>
    <col min="6" max="6" width="18.28515625" customWidth="1"/>
  </cols>
  <sheetData>
    <row r="1" spans="1:14" ht="21">
      <c r="A1" s="1" t="s">
        <v>1667</v>
      </c>
      <c r="B1" s="1"/>
      <c r="C1" s="1"/>
      <c r="D1" s="1"/>
      <c r="E1" s="1"/>
    </row>
    <row r="2" spans="1:14" ht="30.75">
      <c r="A2" s="2" t="s">
        <v>93</v>
      </c>
      <c r="B2" s="638" t="s">
        <v>1668</v>
      </c>
      <c r="C2" s="638"/>
      <c r="F2" s="639" t="s">
        <v>1669</v>
      </c>
      <c r="G2" s="639"/>
      <c r="H2" s="639"/>
      <c r="I2" s="639"/>
      <c r="J2" s="639"/>
      <c r="K2" s="627"/>
    </row>
    <row r="3" spans="1:14">
      <c r="A3" s="2" t="s">
        <v>1670</v>
      </c>
      <c r="B3" s="3">
        <v>10445899548</v>
      </c>
    </row>
    <row r="4" spans="1:14" ht="37.5">
      <c r="A4" s="140" t="s">
        <v>4</v>
      </c>
      <c r="B4" s="141">
        <v>46081</v>
      </c>
      <c r="F4" s="640" t="s">
        <v>1125</v>
      </c>
      <c r="G4" s="640"/>
      <c r="I4" s="724" t="s">
        <v>1671</v>
      </c>
      <c r="J4" s="724"/>
      <c r="K4" s="724"/>
      <c r="L4" s="724"/>
    </row>
    <row r="6" spans="1:14" ht="57">
      <c r="A6" s="142" t="s">
        <v>7</v>
      </c>
      <c r="B6" s="142" t="s">
        <v>8</v>
      </c>
      <c r="C6" s="142" t="s">
        <v>9</v>
      </c>
      <c r="D6" s="142" t="s">
        <v>10</v>
      </c>
      <c r="E6" s="142" t="s">
        <v>11</v>
      </c>
      <c r="F6" s="142" t="s">
        <v>12</v>
      </c>
      <c r="G6" s="142" t="s">
        <v>13</v>
      </c>
      <c r="H6" s="142" t="s">
        <v>14</v>
      </c>
      <c r="I6" s="142" t="s">
        <v>15</v>
      </c>
      <c r="J6" s="142" t="s">
        <v>16</v>
      </c>
      <c r="K6" s="142" t="s">
        <v>19</v>
      </c>
      <c r="L6" s="142" t="s">
        <v>18</v>
      </c>
      <c r="M6" s="289" t="s">
        <v>99</v>
      </c>
      <c r="N6" s="289" t="s">
        <v>1672</v>
      </c>
    </row>
    <row r="7" spans="1:14" ht="30.75">
      <c r="A7" s="7">
        <v>44105</v>
      </c>
      <c r="B7" s="8">
        <v>50</v>
      </c>
      <c r="C7" s="2" t="s">
        <v>22</v>
      </c>
      <c r="D7" s="7">
        <v>44105</v>
      </c>
      <c r="E7" s="2" t="s">
        <v>23</v>
      </c>
      <c r="F7" s="2" t="s">
        <v>28</v>
      </c>
      <c r="G7" s="2">
        <v>1</v>
      </c>
      <c r="H7" s="2">
        <v>934</v>
      </c>
      <c r="I7" s="9" t="s">
        <v>1673</v>
      </c>
      <c r="J7" s="9" t="s">
        <v>1674</v>
      </c>
      <c r="K7" s="9"/>
      <c r="L7" s="2" t="s">
        <v>26</v>
      </c>
      <c r="M7" s="2"/>
      <c r="N7" s="2"/>
    </row>
    <row r="8" spans="1:14" ht="30.75">
      <c r="A8" s="7">
        <v>44133</v>
      </c>
      <c r="B8" s="8">
        <v>50</v>
      </c>
      <c r="C8" s="2" t="s">
        <v>54</v>
      </c>
      <c r="D8" s="7">
        <v>44133</v>
      </c>
      <c r="E8" s="2" t="s">
        <v>23</v>
      </c>
      <c r="F8" s="2" t="s">
        <v>28</v>
      </c>
      <c r="G8" s="2">
        <v>2</v>
      </c>
      <c r="H8" s="2">
        <v>1113</v>
      </c>
      <c r="I8" s="9" t="s">
        <v>1673</v>
      </c>
      <c r="J8" s="9" t="s">
        <v>1675</v>
      </c>
      <c r="K8" s="9"/>
      <c r="L8" s="2" t="s">
        <v>26</v>
      </c>
      <c r="M8" s="2"/>
      <c r="N8" s="2"/>
    </row>
    <row r="9" spans="1:14" ht="30.75">
      <c r="A9" s="7">
        <v>44163</v>
      </c>
      <c r="B9" s="8">
        <v>50</v>
      </c>
      <c r="C9" s="2" t="s">
        <v>27</v>
      </c>
      <c r="D9" s="7">
        <v>44161</v>
      </c>
      <c r="E9" s="2" t="s">
        <v>23</v>
      </c>
      <c r="F9" s="2" t="s">
        <v>24</v>
      </c>
      <c r="G9" s="2">
        <v>3</v>
      </c>
      <c r="H9" s="2">
        <v>1312</v>
      </c>
      <c r="I9" s="9" t="s">
        <v>1673</v>
      </c>
      <c r="J9" s="9" t="s">
        <v>1676</v>
      </c>
      <c r="K9" s="9"/>
      <c r="L9" s="2" t="s">
        <v>26</v>
      </c>
      <c r="M9" s="2"/>
      <c r="N9" s="2"/>
    </row>
    <row r="10" spans="1:14" ht="30.75">
      <c r="A10" s="7">
        <v>44238</v>
      </c>
      <c r="B10" s="8">
        <v>50</v>
      </c>
      <c r="C10" s="2" t="s">
        <v>32</v>
      </c>
      <c r="D10" s="7">
        <v>44226</v>
      </c>
      <c r="E10" s="2" t="s">
        <v>23</v>
      </c>
      <c r="F10" s="2" t="s">
        <v>24</v>
      </c>
      <c r="G10" s="2">
        <v>4</v>
      </c>
      <c r="H10" s="2">
        <v>2010</v>
      </c>
      <c r="I10" s="9" t="s">
        <v>1673</v>
      </c>
      <c r="J10" s="9" t="s">
        <v>1677</v>
      </c>
      <c r="K10" s="9"/>
      <c r="L10" s="2" t="s">
        <v>26</v>
      </c>
      <c r="M10" s="2"/>
      <c r="N10" s="2"/>
    </row>
    <row r="11" spans="1:14" ht="30.75">
      <c r="A11" s="7">
        <v>44275</v>
      </c>
      <c r="B11" s="8">
        <v>50</v>
      </c>
      <c r="C11" s="2" t="s">
        <v>34</v>
      </c>
      <c r="D11" s="7">
        <v>44257</v>
      </c>
      <c r="E11" s="2" t="s">
        <v>23</v>
      </c>
      <c r="F11" s="2" t="s">
        <v>24</v>
      </c>
      <c r="G11" s="2">
        <v>5</v>
      </c>
      <c r="H11" s="504" t="s">
        <v>1678</v>
      </c>
      <c r="I11" s="9" t="s">
        <v>1673</v>
      </c>
      <c r="J11" s="9" t="s">
        <v>1679</v>
      </c>
      <c r="K11" s="9"/>
      <c r="L11" s="2" t="s">
        <v>26</v>
      </c>
      <c r="M11" s="2"/>
      <c r="N11" s="2"/>
    </row>
    <row r="12" spans="1:14" ht="30.75">
      <c r="A12" s="7">
        <v>44347</v>
      </c>
      <c r="B12" s="8">
        <v>50</v>
      </c>
      <c r="C12" s="2" t="s">
        <v>44</v>
      </c>
      <c r="D12" s="7">
        <v>44347</v>
      </c>
      <c r="E12" s="2" t="s">
        <v>23</v>
      </c>
      <c r="F12" s="2" t="s">
        <v>28</v>
      </c>
      <c r="G12" s="2">
        <v>6</v>
      </c>
      <c r="H12" s="504" t="s">
        <v>1680</v>
      </c>
      <c r="I12" s="9" t="s">
        <v>1673</v>
      </c>
      <c r="J12" s="9" t="s">
        <v>1681</v>
      </c>
      <c r="K12" s="9"/>
      <c r="L12" s="2" t="s">
        <v>1682</v>
      </c>
      <c r="M12" s="2"/>
      <c r="N12" s="2"/>
    </row>
    <row r="13" spans="1:14" ht="30.75">
      <c r="A13" s="7">
        <v>44377</v>
      </c>
      <c r="B13" s="8">
        <v>50</v>
      </c>
      <c r="C13" s="2" t="s">
        <v>57</v>
      </c>
      <c r="D13" s="7">
        <v>44377</v>
      </c>
      <c r="E13" s="2" t="s">
        <v>23</v>
      </c>
      <c r="F13" s="2" t="s">
        <v>24</v>
      </c>
      <c r="G13" s="2">
        <v>7</v>
      </c>
      <c r="H13" s="504" t="s">
        <v>1680</v>
      </c>
      <c r="I13" s="9" t="s">
        <v>1673</v>
      </c>
      <c r="J13" s="9" t="s">
        <v>1683</v>
      </c>
      <c r="K13" s="9"/>
      <c r="L13" s="2" t="s">
        <v>26</v>
      </c>
      <c r="M13" s="2"/>
      <c r="N13" s="2"/>
    </row>
    <row r="14" spans="1:14" ht="30.75">
      <c r="A14" s="7">
        <v>44427</v>
      </c>
      <c r="B14" s="8">
        <v>50</v>
      </c>
      <c r="C14" s="2" t="s">
        <v>47</v>
      </c>
      <c r="D14" s="7">
        <v>44408</v>
      </c>
      <c r="E14" s="2" t="s">
        <v>23</v>
      </c>
      <c r="F14" s="2" t="s">
        <v>24</v>
      </c>
      <c r="G14" s="2">
        <v>8</v>
      </c>
      <c r="H14" s="504" t="s">
        <v>1684</v>
      </c>
      <c r="I14" s="9" t="s">
        <v>1673</v>
      </c>
      <c r="J14" s="9" t="s">
        <v>1685</v>
      </c>
      <c r="K14" s="9"/>
      <c r="L14" s="2" t="s">
        <v>26</v>
      </c>
      <c r="M14" s="2"/>
      <c r="N14" s="2"/>
    </row>
    <row r="15" spans="1:14" ht="30.75">
      <c r="A15" s="7">
        <v>44446</v>
      </c>
      <c r="B15" s="8">
        <v>50</v>
      </c>
      <c r="C15" s="2" t="s">
        <v>50</v>
      </c>
      <c r="D15" s="7">
        <v>44439</v>
      </c>
      <c r="E15" s="2" t="s">
        <v>23</v>
      </c>
      <c r="F15" s="2" t="s">
        <v>24</v>
      </c>
      <c r="G15" s="2">
        <v>9</v>
      </c>
      <c r="H15" s="504" t="s">
        <v>1684</v>
      </c>
      <c r="I15" s="9" t="s">
        <v>1673</v>
      </c>
      <c r="J15" s="9" t="s">
        <v>1686</v>
      </c>
      <c r="K15" s="9"/>
      <c r="L15" s="2" t="s">
        <v>26</v>
      </c>
      <c r="M15" s="2"/>
      <c r="N15" s="2"/>
    </row>
    <row r="16" spans="1:14" ht="30.75">
      <c r="A16" s="7">
        <v>44500</v>
      </c>
      <c r="B16" s="8">
        <v>50</v>
      </c>
      <c r="C16" s="2" t="s">
        <v>22</v>
      </c>
      <c r="D16" s="7">
        <v>44469</v>
      </c>
      <c r="E16" s="2" t="s">
        <v>23</v>
      </c>
      <c r="F16" s="2" t="s">
        <v>24</v>
      </c>
      <c r="G16" s="2">
        <v>10</v>
      </c>
      <c r="H16" s="504" t="s">
        <v>1687</v>
      </c>
      <c r="I16" s="9" t="s">
        <v>1673</v>
      </c>
      <c r="J16" s="9" t="s">
        <v>1688</v>
      </c>
      <c r="K16" s="9"/>
      <c r="L16" s="2" t="s">
        <v>56</v>
      </c>
      <c r="M16" s="2"/>
      <c r="N16" s="2"/>
    </row>
    <row r="17" spans="1:14" ht="30.75">
      <c r="A17" s="7">
        <v>44524</v>
      </c>
      <c r="B17" s="8">
        <v>50</v>
      </c>
      <c r="C17" s="2" t="s">
        <v>54</v>
      </c>
      <c r="D17" s="7">
        <v>44499</v>
      </c>
      <c r="E17" s="2" t="s">
        <v>23</v>
      </c>
      <c r="F17" s="2" t="s">
        <v>24</v>
      </c>
      <c r="G17" s="2">
        <v>11</v>
      </c>
      <c r="H17" s="504" t="s">
        <v>1689</v>
      </c>
      <c r="I17" s="9" t="s">
        <v>1673</v>
      </c>
      <c r="J17" s="9" t="s">
        <v>1690</v>
      </c>
      <c r="K17" s="9"/>
      <c r="L17" s="2" t="s">
        <v>56</v>
      </c>
      <c r="M17" s="2"/>
      <c r="N17" s="2"/>
    </row>
    <row r="18" spans="1:14" ht="30.75">
      <c r="A18" s="7">
        <v>44547</v>
      </c>
      <c r="B18" s="8">
        <v>50</v>
      </c>
      <c r="C18" s="2" t="s">
        <v>27</v>
      </c>
      <c r="D18" s="7">
        <v>44530</v>
      </c>
      <c r="E18" s="2" t="s">
        <v>23</v>
      </c>
      <c r="F18" s="2" t="s">
        <v>24</v>
      </c>
      <c r="G18" s="2">
        <v>12</v>
      </c>
      <c r="H18" s="504" t="s">
        <v>1691</v>
      </c>
      <c r="I18" s="9" t="s">
        <v>1673</v>
      </c>
      <c r="J18" s="9" t="s">
        <v>1692</v>
      </c>
      <c r="K18" s="9"/>
      <c r="L18" s="2" t="s">
        <v>56</v>
      </c>
      <c r="M18" s="2"/>
      <c r="N18" s="2"/>
    </row>
    <row r="19" spans="1:14" ht="31.5" customHeight="1">
      <c r="A19" s="7">
        <v>44567</v>
      </c>
      <c r="B19" s="8">
        <v>50</v>
      </c>
      <c r="C19" s="2" t="s">
        <v>30</v>
      </c>
      <c r="D19" s="7">
        <v>44558</v>
      </c>
      <c r="E19" s="2" t="s">
        <v>23</v>
      </c>
      <c r="F19" s="2" t="s">
        <v>24</v>
      </c>
      <c r="G19" s="2">
        <v>13</v>
      </c>
      <c r="H19" s="2">
        <v>4613</v>
      </c>
      <c r="I19" s="9" t="s">
        <v>1673</v>
      </c>
      <c r="J19" s="2" t="s">
        <v>1693</v>
      </c>
      <c r="K19" s="2"/>
      <c r="L19" s="2" t="s">
        <v>56</v>
      </c>
      <c r="M19" s="2" t="s">
        <v>1694</v>
      </c>
      <c r="N19" s="2"/>
    </row>
    <row r="20" spans="1:14" ht="30.75">
      <c r="A20" s="7">
        <v>44610</v>
      </c>
      <c r="B20" s="8">
        <v>50</v>
      </c>
      <c r="C20" s="2" t="s">
        <v>32</v>
      </c>
      <c r="D20" s="7">
        <v>44592</v>
      </c>
      <c r="E20" s="2" t="s">
        <v>23</v>
      </c>
      <c r="F20" s="2" t="s">
        <v>24</v>
      </c>
      <c r="G20" s="2">
        <v>14</v>
      </c>
      <c r="H20" s="2">
        <v>5372</v>
      </c>
      <c r="I20" s="2"/>
      <c r="J20" s="2">
        <v>10000</v>
      </c>
      <c r="K20" s="2"/>
      <c r="L20" s="2" t="s">
        <v>56</v>
      </c>
      <c r="M20" s="2"/>
      <c r="N20" s="2"/>
    </row>
    <row r="21" spans="1:14" ht="30.75">
      <c r="A21" s="7">
        <v>44636</v>
      </c>
      <c r="B21" s="8">
        <v>50</v>
      </c>
      <c r="C21" s="2" t="s">
        <v>34</v>
      </c>
      <c r="D21" s="7">
        <v>44620</v>
      </c>
      <c r="E21" s="2" t="s">
        <v>23</v>
      </c>
      <c r="F21" s="2" t="s">
        <v>24</v>
      </c>
      <c r="G21" s="2">
        <v>15</v>
      </c>
      <c r="H21" s="2">
        <v>5783</v>
      </c>
      <c r="I21" s="2"/>
      <c r="J21" s="2">
        <v>10999</v>
      </c>
      <c r="K21" s="2"/>
      <c r="L21" s="2" t="s">
        <v>26</v>
      </c>
      <c r="M21" s="2"/>
      <c r="N21" s="2"/>
    </row>
    <row r="22" spans="1:14" ht="30.75">
      <c r="A22" s="7">
        <v>44706</v>
      </c>
      <c r="B22" s="8">
        <v>50</v>
      </c>
      <c r="C22" s="2" t="s">
        <v>38</v>
      </c>
      <c r="D22" s="7">
        <v>44652</v>
      </c>
      <c r="E22" s="2" t="s">
        <v>23</v>
      </c>
      <c r="F22" s="2" t="s">
        <v>24</v>
      </c>
      <c r="G22" s="2">
        <v>16</v>
      </c>
      <c r="H22" s="2">
        <v>6778</v>
      </c>
      <c r="I22" s="2"/>
      <c r="J22" s="2">
        <v>11934</v>
      </c>
      <c r="K22" s="2"/>
      <c r="L22" s="2" t="s">
        <v>26</v>
      </c>
      <c r="M22" s="2"/>
      <c r="N22" s="2"/>
    </row>
    <row r="23" spans="1:14" ht="30.75">
      <c r="A23" s="7">
        <v>44706</v>
      </c>
      <c r="B23" s="8">
        <v>50</v>
      </c>
      <c r="C23" s="2" t="s">
        <v>44</v>
      </c>
      <c r="D23" s="7">
        <v>44709</v>
      </c>
      <c r="E23" s="2" t="s">
        <v>23</v>
      </c>
      <c r="F23" s="2" t="s">
        <v>24</v>
      </c>
      <c r="G23" s="2">
        <v>17</v>
      </c>
      <c r="H23" s="2">
        <v>7171</v>
      </c>
      <c r="I23" s="2"/>
      <c r="J23" s="2">
        <v>13878</v>
      </c>
      <c r="K23" s="2"/>
      <c r="L23" s="2" t="s">
        <v>26</v>
      </c>
      <c r="M23" s="2"/>
      <c r="N23" s="2"/>
    </row>
    <row r="24" spans="1:14" ht="30.75">
      <c r="A24" s="7">
        <v>44758</v>
      </c>
      <c r="B24" s="8">
        <v>50</v>
      </c>
      <c r="C24" s="2" t="s">
        <v>57</v>
      </c>
      <c r="D24" s="7">
        <v>44737</v>
      </c>
      <c r="E24" s="2" t="s">
        <v>23</v>
      </c>
      <c r="F24" s="2" t="s">
        <v>24</v>
      </c>
      <c r="G24" s="2">
        <v>18</v>
      </c>
      <c r="H24" s="2">
        <v>8622</v>
      </c>
      <c r="I24" s="2"/>
      <c r="J24" s="2">
        <v>14626</v>
      </c>
      <c r="K24" s="2"/>
      <c r="L24" s="2" t="s">
        <v>26</v>
      </c>
      <c r="M24" s="2"/>
      <c r="N24" s="2"/>
    </row>
    <row r="25" spans="1:14" ht="30.75">
      <c r="A25" s="7">
        <v>44820</v>
      </c>
      <c r="B25" s="8">
        <v>50</v>
      </c>
      <c r="C25" s="2" t="s">
        <v>47</v>
      </c>
      <c r="D25" s="153">
        <v>44772</v>
      </c>
      <c r="E25" s="2" t="s">
        <v>23</v>
      </c>
      <c r="F25" t="s">
        <v>24</v>
      </c>
      <c r="G25">
        <v>19</v>
      </c>
      <c r="H25">
        <v>9624</v>
      </c>
      <c r="J25">
        <v>15826</v>
      </c>
      <c r="L25" s="2" t="s">
        <v>26</v>
      </c>
      <c r="M25" s="2"/>
      <c r="N25" s="2"/>
    </row>
    <row r="26" spans="1:14" ht="30.75">
      <c r="A26" s="7">
        <v>44820</v>
      </c>
      <c r="B26" s="8">
        <v>50</v>
      </c>
      <c r="C26" s="2" t="s">
        <v>50</v>
      </c>
      <c r="D26" s="7">
        <v>44802</v>
      </c>
      <c r="E26" s="2" t="s">
        <v>23</v>
      </c>
      <c r="F26" s="2" t="s">
        <v>24</v>
      </c>
      <c r="G26" s="2">
        <v>20</v>
      </c>
      <c r="H26" s="2">
        <v>10378</v>
      </c>
      <c r="I26" s="2"/>
      <c r="J26" s="2">
        <v>16728</v>
      </c>
      <c r="K26" s="2"/>
      <c r="L26" s="2" t="s">
        <v>26</v>
      </c>
      <c r="M26" s="2"/>
      <c r="N26" s="2"/>
    </row>
    <row r="27" spans="1:14" ht="30.75">
      <c r="A27" s="7" t="s">
        <v>180</v>
      </c>
      <c r="B27" s="8">
        <v>50</v>
      </c>
      <c r="C27" s="2" t="s">
        <v>22</v>
      </c>
      <c r="D27" s="7">
        <v>44630</v>
      </c>
      <c r="E27" s="2" t="s">
        <v>23</v>
      </c>
      <c r="F27" s="2" t="s">
        <v>24</v>
      </c>
      <c r="G27" s="2">
        <v>21</v>
      </c>
      <c r="H27" s="2">
        <v>11202</v>
      </c>
      <c r="I27" s="2"/>
      <c r="J27" s="2">
        <v>17943</v>
      </c>
      <c r="K27" s="2"/>
      <c r="L27" s="2" t="s">
        <v>26</v>
      </c>
      <c r="M27" s="2" t="s">
        <v>270</v>
      </c>
      <c r="N27" s="2"/>
    </row>
    <row r="28" spans="1:14" ht="30.75">
      <c r="A28" s="7" t="s">
        <v>180</v>
      </c>
      <c r="B28" s="8">
        <v>50</v>
      </c>
      <c r="C28" s="2" t="s">
        <v>54</v>
      </c>
      <c r="D28" s="7" t="s">
        <v>60</v>
      </c>
      <c r="E28" s="2" t="s">
        <v>23</v>
      </c>
      <c r="F28" s="2" t="s">
        <v>24</v>
      </c>
      <c r="G28" s="2">
        <v>22</v>
      </c>
      <c r="H28" s="2">
        <v>11777</v>
      </c>
      <c r="I28" s="2"/>
      <c r="J28" s="2">
        <v>18581</v>
      </c>
      <c r="K28" s="2"/>
      <c r="L28" s="2" t="s">
        <v>26</v>
      </c>
      <c r="M28" s="2" t="s">
        <v>270</v>
      </c>
      <c r="N28" s="2"/>
    </row>
    <row r="29" spans="1:14" ht="30.75">
      <c r="A29" s="7" t="s">
        <v>1695</v>
      </c>
      <c r="B29" s="8">
        <v>50</v>
      </c>
      <c r="C29" s="2" t="s">
        <v>27</v>
      </c>
      <c r="D29" s="7" t="s">
        <v>61</v>
      </c>
      <c r="E29" s="2" t="s">
        <v>23</v>
      </c>
      <c r="F29" s="2" t="s">
        <v>24</v>
      </c>
      <c r="G29" s="2">
        <v>23</v>
      </c>
      <c r="H29" s="2">
        <v>12379</v>
      </c>
      <c r="I29" s="2"/>
      <c r="J29" s="2">
        <v>19622</v>
      </c>
      <c r="K29" s="2"/>
      <c r="L29" s="2" t="s">
        <v>26</v>
      </c>
      <c r="M29" s="2" t="s">
        <v>1696</v>
      </c>
      <c r="N29" s="2"/>
    </row>
    <row r="30" spans="1:14" ht="30.75">
      <c r="A30" s="7">
        <v>45050</v>
      </c>
      <c r="B30" s="8">
        <v>50</v>
      </c>
      <c r="C30" s="2" t="s">
        <v>34</v>
      </c>
      <c r="D30" s="7" t="s">
        <v>1177</v>
      </c>
      <c r="E30" s="2" t="s">
        <v>23</v>
      </c>
      <c r="F30" s="2" t="s">
        <v>24</v>
      </c>
      <c r="G30" s="2">
        <v>24</v>
      </c>
      <c r="H30" s="2">
        <v>14261</v>
      </c>
      <c r="I30" s="2"/>
      <c r="J30" s="2">
        <v>21614</v>
      </c>
      <c r="K30" s="2"/>
      <c r="L30" s="2" t="s">
        <v>26</v>
      </c>
      <c r="M30" s="2" t="s">
        <v>73</v>
      </c>
      <c r="N30" s="2"/>
    </row>
    <row r="31" spans="1:14" ht="30.75">
      <c r="A31" s="7">
        <v>45050</v>
      </c>
      <c r="B31" s="8">
        <v>50</v>
      </c>
      <c r="C31" s="2" t="s">
        <v>38</v>
      </c>
      <c r="D31" s="7" t="s">
        <v>1179</v>
      </c>
      <c r="E31" s="2" t="s">
        <v>23</v>
      </c>
      <c r="F31" s="2" t="s">
        <v>24</v>
      </c>
      <c r="G31" s="2">
        <v>25</v>
      </c>
      <c r="H31" s="2">
        <v>15172</v>
      </c>
      <c r="I31" s="2"/>
      <c r="J31" s="2">
        <v>22615</v>
      </c>
      <c r="K31" s="2"/>
      <c r="L31" s="2" t="s">
        <v>26</v>
      </c>
      <c r="M31" s="2" t="s">
        <v>73</v>
      </c>
      <c r="N31" s="2"/>
    </row>
    <row r="32" spans="1:14" ht="30.75">
      <c r="A32" s="7" t="s">
        <v>1184</v>
      </c>
      <c r="B32" s="8">
        <v>50</v>
      </c>
      <c r="C32" s="2" t="s">
        <v>41</v>
      </c>
      <c r="D32" s="7" t="s">
        <v>1311</v>
      </c>
      <c r="E32" s="2" t="s">
        <v>23</v>
      </c>
      <c r="F32" s="2" t="s">
        <v>28</v>
      </c>
      <c r="G32" s="2">
        <v>26</v>
      </c>
      <c r="H32" s="2">
        <v>15889</v>
      </c>
      <c r="I32" s="2"/>
      <c r="J32" s="2">
        <v>20689</v>
      </c>
      <c r="K32" s="2"/>
      <c r="L32" s="2" t="s">
        <v>26</v>
      </c>
      <c r="M32" s="2"/>
      <c r="N32" s="2"/>
    </row>
    <row r="33" spans="1:14" ht="30.75">
      <c r="A33" s="7" t="s">
        <v>1184</v>
      </c>
      <c r="B33" s="8">
        <v>50</v>
      </c>
      <c r="C33" s="2" t="s">
        <v>44</v>
      </c>
      <c r="D33" s="7" t="s">
        <v>1185</v>
      </c>
      <c r="E33" s="2" t="s">
        <v>23</v>
      </c>
      <c r="F33" s="2" t="s">
        <v>28</v>
      </c>
      <c r="G33" s="2">
        <v>26</v>
      </c>
      <c r="H33" s="2">
        <v>16563</v>
      </c>
      <c r="I33" s="2"/>
      <c r="J33" s="2">
        <v>24588</v>
      </c>
      <c r="K33" s="2"/>
      <c r="L33" s="2" t="s">
        <v>26</v>
      </c>
      <c r="M33" s="2"/>
      <c r="N33" s="2"/>
    </row>
    <row r="34" spans="1:14" ht="30.75">
      <c r="A34" s="7">
        <v>45120</v>
      </c>
      <c r="B34" s="8">
        <v>50</v>
      </c>
      <c r="C34" s="2" t="s">
        <v>57</v>
      </c>
      <c r="D34" s="7">
        <v>45103</v>
      </c>
      <c r="E34" s="2" t="s">
        <v>23</v>
      </c>
      <c r="F34" s="2" t="s">
        <v>24</v>
      </c>
      <c r="G34" s="2">
        <v>27</v>
      </c>
      <c r="H34" s="2">
        <v>17140</v>
      </c>
      <c r="I34" s="2"/>
      <c r="J34" s="2">
        <v>25651</v>
      </c>
      <c r="K34" s="2"/>
      <c r="L34" s="2" t="s">
        <v>26</v>
      </c>
      <c r="M34" s="2">
        <v>2</v>
      </c>
      <c r="N34" s="2"/>
    </row>
    <row r="35" spans="1:14" ht="30.75">
      <c r="A35" s="7">
        <v>45167</v>
      </c>
      <c r="B35" s="8">
        <v>50</v>
      </c>
      <c r="C35" s="2" t="s">
        <v>50</v>
      </c>
      <c r="D35" s="7">
        <v>45167</v>
      </c>
      <c r="E35" s="2" t="s">
        <v>23</v>
      </c>
      <c r="F35" s="2" t="s">
        <v>28</v>
      </c>
      <c r="G35" s="2">
        <v>28</v>
      </c>
      <c r="H35" s="2" t="s">
        <v>1697</v>
      </c>
      <c r="I35" s="2"/>
      <c r="J35" s="2">
        <v>27925</v>
      </c>
      <c r="K35" s="2"/>
      <c r="L35" s="2" t="s">
        <v>26</v>
      </c>
      <c r="M35" s="2">
        <v>3.2</v>
      </c>
      <c r="N35" s="2"/>
    </row>
    <row r="36" spans="1:14" ht="30.75">
      <c r="A36" s="7">
        <v>45197</v>
      </c>
      <c r="B36" s="8">
        <v>50</v>
      </c>
      <c r="C36" s="2" t="s">
        <v>22</v>
      </c>
      <c r="D36" s="7">
        <v>45197</v>
      </c>
      <c r="E36" s="2" t="s">
        <v>23</v>
      </c>
      <c r="F36" s="2" t="s">
        <v>28</v>
      </c>
      <c r="G36" s="2">
        <v>29</v>
      </c>
      <c r="H36" s="2">
        <v>19409</v>
      </c>
      <c r="I36" s="2"/>
      <c r="J36" s="2">
        <v>28894</v>
      </c>
      <c r="K36" s="2"/>
      <c r="L36" s="2" t="s">
        <v>26</v>
      </c>
      <c r="M36" s="2">
        <v>2.2000000000000002</v>
      </c>
      <c r="N36" s="2"/>
    </row>
    <row r="37" spans="1:14" ht="30.75">
      <c r="A37" s="7">
        <v>45229</v>
      </c>
      <c r="B37" s="8">
        <v>50</v>
      </c>
      <c r="C37" s="2" t="s">
        <v>54</v>
      </c>
      <c r="D37" s="7">
        <v>45229</v>
      </c>
      <c r="E37" s="2" t="s">
        <v>23</v>
      </c>
      <c r="F37" s="2" t="s">
        <v>28</v>
      </c>
      <c r="G37" s="2">
        <v>30</v>
      </c>
      <c r="H37" s="2">
        <v>20147</v>
      </c>
      <c r="I37" s="2"/>
      <c r="J37" s="2">
        <v>29748</v>
      </c>
      <c r="K37" s="2"/>
      <c r="L37" s="2" t="s">
        <v>26</v>
      </c>
      <c r="M37" s="2">
        <v>2.2000000000000002</v>
      </c>
      <c r="N37" s="2"/>
    </row>
    <row r="38" spans="1:14" ht="34.5" customHeight="1">
      <c r="A38" s="7">
        <v>45286</v>
      </c>
      <c r="B38" s="8">
        <v>50</v>
      </c>
      <c r="C38" s="2" t="s">
        <v>27</v>
      </c>
      <c r="D38" s="7">
        <v>45259</v>
      </c>
      <c r="E38" s="2" t="s">
        <v>23</v>
      </c>
      <c r="F38" s="2" t="s">
        <v>24</v>
      </c>
      <c r="G38" s="2">
        <v>31</v>
      </c>
      <c r="H38" s="2">
        <v>20850</v>
      </c>
      <c r="I38" s="2"/>
      <c r="J38" s="2">
        <v>30680</v>
      </c>
      <c r="K38" s="2">
        <v>32798</v>
      </c>
      <c r="L38" s="2" t="s">
        <v>26</v>
      </c>
      <c r="M38" s="2">
        <v>2.2000000000000002</v>
      </c>
      <c r="N38" s="2"/>
    </row>
    <row r="39" spans="1:14" ht="34.5" customHeight="1">
      <c r="A39" s="153">
        <v>45288</v>
      </c>
      <c r="B39" s="8">
        <v>50</v>
      </c>
      <c r="C39" s="494" t="s">
        <v>30</v>
      </c>
      <c r="D39" s="153">
        <v>45288</v>
      </c>
      <c r="E39" s="2" t="s">
        <v>23</v>
      </c>
      <c r="F39" t="s">
        <v>24</v>
      </c>
      <c r="G39">
        <v>32</v>
      </c>
      <c r="H39">
        <v>21476</v>
      </c>
      <c r="J39">
        <v>31512</v>
      </c>
      <c r="K39">
        <v>33684</v>
      </c>
      <c r="L39" s="2" t="s">
        <v>26</v>
      </c>
      <c r="M39">
        <v>2.2000000000000002</v>
      </c>
      <c r="N39" s="2"/>
    </row>
    <row r="40" spans="1:14" ht="34.5" customHeight="1">
      <c r="A40" s="7">
        <v>45321</v>
      </c>
      <c r="B40" s="8">
        <v>50</v>
      </c>
      <c r="C40" s="2" t="s">
        <v>32</v>
      </c>
      <c r="D40" s="7">
        <v>45321</v>
      </c>
      <c r="E40" s="2" t="s">
        <v>23</v>
      </c>
      <c r="F40" s="2" t="s">
        <v>24</v>
      </c>
      <c r="G40" s="2">
        <v>33</v>
      </c>
      <c r="H40" s="2">
        <v>22192</v>
      </c>
      <c r="I40" s="2"/>
      <c r="J40" s="2">
        <v>32503</v>
      </c>
      <c r="K40" s="2">
        <v>34558</v>
      </c>
      <c r="L40" s="2" t="s">
        <v>26</v>
      </c>
      <c r="M40" s="2">
        <v>2.2000000000000002</v>
      </c>
      <c r="N40" s="2"/>
    </row>
    <row r="41" spans="1:14" ht="30.75">
      <c r="A41" s="7">
        <v>45357</v>
      </c>
      <c r="B41" s="8">
        <v>50</v>
      </c>
      <c r="C41" s="2" t="s">
        <v>34</v>
      </c>
      <c r="D41" s="7">
        <v>45351</v>
      </c>
      <c r="E41" s="2" t="s">
        <v>23</v>
      </c>
      <c r="F41" s="2" t="s">
        <v>24</v>
      </c>
      <c r="G41" s="2">
        <v>34</v>
      </c>
      <c r="H41" s="2">
        <v>22868</v>
      </c>
      <c r="I41" s="2"/>
      <c r="J41" s="2">
        <v>33391</v>
      </c>
      <c r="K41" s="2">
        <v>35475</v>
      </c>
      <c r="L41" s="2" t="s">
        <v>26</v>
      </c>
      <c r="M41" s="2">
        <v>2.2000000000000002</v>
      </c>
      <c r="N41" s="2"/>
    </row>
    <row r="42" spans="1:14" ht="30.75">
      <c r="A42" s="7">
        <v>45378</v>
      </c>
      <c r="B42" s="8">
        <v>50</v>
      </c>
      <c r="C42" s="278" t="s">
        <v>38</v>
      </c>
      <c r="D42" s="7">
        <v>45378</v>
      </c>
      <c r="E42" s="2" t="s">
        <v>23</v>
      </c>
      <c r="F42" s="2" t="s">
        <v>28</v>
      </c>
      <c r="G42" s="2">
        <v>35</v>
      </c>
      <c r="H42" s="2">
        <v>23452</v>
      </c>
      <c r="I42" s="2"/>
      <c r="J42" s="2">
        <v>34238</v>
      </c>
      <c r="K42" s="2">
        <v>36286</v>
      </c>
      <c r="L42" s="2" t="s">
        <v>26</v>
      </c>
      <c r="M42" s="2">
        <v>3.2</v>
      </c>
      <c r="N42" s="2"/>
    </row>
    <row r="43" spans="1:14" ht="30.75">
      <c r="A43" s="7">
        <v>45440</v>
      </c>
      <c r="B43" s="8">
        <v>50</v>
      </c>
      <c r="C43" s="2" t="s">
        <v>41</v>
      </c>
      <c r="D43" s="7">
        <v>45411</v>
      </c>
      <c r="E43" s="2" t="s">
        <v>23</v>
      </c>
      <c r="F43" s="2" t="s">
        <v>24</v>
      </c>
      <c r="G43" s="2">
        <v>36</v>
      </c>
      <c r="H43" s="2">
        <v>24718</v>
      </c>
      <c r="I43" s="2"/>
      <c r="J43" s="2">
        <v>35354</v>
      </c>
      <c r="K43" s="2">
        <v>37357</v>
      </c>
      <c r="L43" s="2" t="s">
        <v>26</v>
      </c>
      <c r="M43" s="2">
        <v>3.2</v>
      </c>
      <c r="N43" s="2"/>
    </row>
    <row r="44" spans="1:14" ht="30.75">
      <c r="A44" s="7">
        <v>45441</v>
      </c>
      <c r="B44" s="8">
        <v>50</v>
      </c>
      <c r="C44" s="2" t="s">
        <v>44</v>
      </c>
      <c r="D44" s="7">
        <v>45442</v>
      </c>
      <c r="E44" s="2" t="s">
        <v>23</v>
      </c>
      <c r="F44" s="2" t="s">
        <v>24</v>
      </c>
      <c r="G44" s="2">
        <v>37</v>
      </c>
      <c r="H44" s="2">
        <v>25117</v>
      </c>
      <c r="I44" s="2"/>
      <c r="J44" s="2">
        <v>36259</v>
      </c>
      <c r="K44" s="2">
        <v>38295</v>
      </c>
      <c r="L44" s="2" t="s">
        <v>26</v>
      </c>
      <c r="M44" s="2">
        <v>2.8</v>
      </c>
      <c r="N44" s="2"/>
    </row>
    <row r="45" spans="1:14" ht="30.75">
      <c r="A45" s="7">
        <v>45470</v>
      </c>
      <c r="B45" s="8">
        <v>50</v>
      </c>
      <c r="C45" s="2" t="s">
        <v>57</v>
      </c>
      <c r="D45" s="7">
        <v>45470</v>
      </c>
      <c r="E45" s="2" t="s">
        <v>23</v>
      </c>
      <c r="F45" s="2" t="s">
        <v>24</v>
      </c>
      <c r="G45" s="2">
        <v>38</v>
      </c>
      <c r="H45" s="2">
        <v>25814</v>
      </c>
      <c r="I45" s="2"/>
      <c r="J45" s="2">
        <v>37176</v>
      </c>
      <c r="K45" s="2">
        <v>39224</v>
      </c>
      <c r="L45" s="2" t="s">
        <v>26</v>
      </c>
      <c r="M45" s="2">
        <v>2.2000000000000002</v>
      </c>
      <c r="N45" s="2"/>
    </row>
    <row r="46" spans="1:14" ht="30.75">
      <c r="A46" s="7">
        <v>45496</v>
      </c>
      <c r="B46" s="8">
        <v>50</v>
      </c>
      <c r="C46" s="2" t="s">
        <v>47</v>
      </c>
      <c r="D46" s="7">
        <v>45503</v>
      </c>
      <c r="E46" s="2" t="s">
        <v>23</v>
      </c>
      <c r="F46" s="2" t="s">
        <v>24</v>
      </c>
      <c r="G46" s="2">
        <v>39</v>
      </c>
      <c r="H46" s="2">
        <v>26941</v>
      </c>
      <c r="I46" s="2"/>
      <c r="J46" s="2">
        <v>38146</v>
      </c>
      <c r="K46" s="2">
        <v>40285</v>
      </c>
      <c r="L46" s="2" t="s">
        <v>26</v>
      </c>
      <c r="M46" s="2">
        <v>2.2000000000000002</v>
      </c>
      <c r="N46" s="2"/>
    </row>
    <row r="47" spans="1:14" ht="30.75">
      <c r="A47" s="7">
        <v>45535</v>
      </c>
      <c r="B47" s="8">
        <v>50</v>
      </c>
      <c r="C47" s="2" t="s">
        <v>50</v>
      </c>
      <c r="D47" s="7">
        <v>45535</v>
      </c>
      <c r="E47" s="2" t="s">
        <v>23</v>
      </c>
      <c r="F47" s="2" t="s">
        <v>28</v>
      </c>
      <c r="G47" s="2">
        <v>40</v>
      </c>
      <c r="H47" s="2">
        <v>27477</v>
      </c>
      <c r="I47" s="2"/>
      <c r="J47" s="2">
        <v>39192</v>
      </c>
      <c r="K47" s="2">
        <v>41334</v>
      </c>
      <c r="L47" s="2" t="s">
        <v>26</v>
      </c>
      <c r="M47" s="2">
        <v>10</v>
      </c>
      <c r="N47" s="2"/>
    </row>
    <row r="48" spans="1:14" ht="30.75">
      <c r="A48" s="7">
        <v>45594</v>
      </c>
      <c r="B48" s="8">
        <v>50</v>
      </c>
      <c r="C48" s="2" t="s">
        <v>22</v>
      </c>
      <c r="D48" s="7">
        <v>45565</v>
      </c>
      <c r="E48" s="2" t="s">
        <v>23</v>
      </c>
      <c r="F48" s="2" t="s">
        <v>24</v>
      </c>
      <c r="G48" s="2">
        <v>41</v>
      </c>
      <c r="H48" s="2">
        <v>28265</v>
      </c>
      <c r="I48" s="2"/>
      <c r="J48" s="2">
        <v>40238</v>
      </c>
      <c r="K48" s="2">
        <v>42391</v>
      </c>
      <c r="L48" s="2" t="s">
        <v>26</v>
      </c>
      <c r="M48" s="2">
        <v>4</v>
      </c>
      <c r="N48" s="2"/>
    </row>
    <row r="49" spans="1:14" ht="30.75">
      <c r="A49" s="7">
        <v>45656</v>
      </c>
      <c r="B49" s="8">
        <v>50</v>
      </c>
      <c r="C49" s="2" t="s">
        <v>54</v>
      </c>
      <c r="D49" s="7">
        <v>45596</v>
      </c>
      <c r="E49" s="2" t="s">
        <v>23</v>
      </c>
      <c r="F49" s="2" t="s">
        <v>24</v>
      </c>
      <c r="G49" s="2">
        <v>42</v>
      </c>
      <c r="H49" s="2">
        <v>29105</v>
      </c>
      <c r="I49" s="2"/>
      <c r="J49" s="2">
        <v>41290</v>
      </c>
      <c r="K49" s="2">
        <v>43473</v>
      </c>
      <c r="L49" s="2" t="s">
        <v>26</v>
      </c>
      <c r="M49" s="2">
        <v>4.5</v>
      </c>
      <c r="N49" s="2"/>
    </row>
    <row r="50" spans="1:14" ht="30.75">
      <c r="A50" s="7">
        <v>45626</v>
      </c>
      <c r="B50" s="8">
        <v>50</v>
      </c>
      <c r="C50" s="2" t="s">
        <v>27</v>
      </c>
      <c r="D50" s="7">
        <v>45626</v>
      </c>
      <c r="E50" s="2" t="s">
        <v>23</v>
      </c>
      <c r="F50" s="2" t="s">
        <v>24</v>
      </c>
      <c r="G50" s="2">
        <v>43</v>
      </c>
      <c r="H50" s="2">
        <v>29889</v>
      </c>
      <c r="I50" s="2"/>
      <c r="J50" s="2">
        <v>42256</v>
      </c>
      <c r="K50" s="2">
        <v>44300</v>
      </c>
      <c r="L50" s="2" t="s">
        <v>26</v>
      </c>
      <c r="M50" s="2">
        <v>5.5</v>
      </c>
      <c r="N50" s="2"/>
    </row>
    <row r="51" spans="1:14" ht="30.75">
      <c r="A51" s="7" t="s">
        <v>1231</v>
      </c>
      <c r="B51" s="8">
        <v>50</v>
      </c>
      <c r="C51" s="2" t="s">
        <v>30</v>
      </c>
      <c r="D51" s="7">
        <v>45656</v>
      </c>
      <c r="E51" s="2" t="s">
        <v>23</v>
      </c>
      <c r="F51" s="2" t="s">
        <v>24</v>
      </c>
      <c r="G51" s="2">
        <v>44</v>
      </c>
      <c r="H51" s="2">
        <v>30718</v>
      </c>
      <c r="I51" s="2"/>
      <c r="J51" s="2">
        <v>43249</v>
      </c>
      <c r="K51" s="2">
        <v>45426</v>
      </c>
      <c r="L51" s="2" t="s">
        <v>72</v>
      </c>
      <c r="M51" s="2">
        <v>4.5</v>
      </c>
      <c r="N51" s="2"/>
    </row>
    <row r="52" spans="1:14" ht="30.75">
      <c r="A52" s="7">
        <v>45708</v>
      </c>
      <c r="B52" s="8">
        <v>50</v>
      </c>
      <c r="C52" s="545" t="s">
        <v>32</v>
      </c>
      <c r="D52" s="548">
        <v>45688</v>
      </c>
      <c r="E52" s="545" t="s">
        <v>23</v>
      </c>
      <c r="F52" s="545" t="s">
        <v>24</v>
      </c>
      <c r="G52" s="545">
        <v>45</v>
      </c>
      <c r="H52" s="545">
        <v>31522</v>
      </c>
      <c r="I52" s="545"/>
      <c r="J52" s="545">
        <v>44434</v>
      </c>
      <c r="K52" s="545"/>
      <c r="L52" s="545" t="s">
        <v>72</v>
      </c>
      <c r="M52" s="2">
        <v>4.5</v>
      </c>
      <c r="N52" s="2"/>
    </row>
    <row r="53" spans="1:14" ht="30.75">
      <c r="A53" s="7">
        <v>45716</v>
      </c>
      <c r="B53" s="8">
        <v>50</v>
      </c>
      <c r="C53" s="2" t="s">
        <v>34</v>
      </c>
      <c r="D53" s="7">
        <v>45716</v>
      </c>
      <c r="E53" s="2" t="s">
        <v>23</v>
      </c>
      <c r="F53" s="2" t="s">
        <v>24</v>
      </c>
      <c r="G53" s="2">
        <v>46</v>
      </c>
      <c r="H53" s="2">
        <v>32293</v>
      </c>
      <c r="I53" s="2"/>
      <c r="J53" s="2">
        <v>45440</v>
      </c>
      <c r="K53" s="2"/>
      <c r="L53" s="2" t="s">
        <v>72</v>
      </c>
      <c r="M53" s="2">
        <v>4.2</v>
      </c>
      <c r="N53" s="2"/>
    </row>
    <row r="54" spans="1:14" ht="30.75">
      <c r="A54" s="7">
        <v>45747</v>
      </c>
      <c r="B54" s="8">
        <v>50</v>
      </c>
      <c r="C54" s="2" t="s">
        <v>38</v>
      </c>
      <c r="D54" s="7">
        <v>45747</v>
      </c>
      <c r="E54" s="2" t="s">
        <v>23</v>
      </c>
      <c r="F54" s="2" t="s">
        <v>24</v>
      </c>
      <c r="G54" s="545">
        <v>47</v>
      </c>
      <c r="H54" s="2">
        <v>33161</v>
      </c>
      <c r="I54" s="2"/>
      <c r="J54" s="2">
        <v>46556</v>
      </c>
      <c r="K54" s="2"/>
      <c r="L54" s="2" t="s">
        <v>72</v>
      </c>
      <c r="M54" s="2">
        <v>3.7</v>
      </c>
      <c r="N54" s="2"/>
    </row>
    <row r="55" spans="1:14" ht="30.75">
      <c r="A55" s="7">
        <v>45777</v>
      </c>
      <c r="B55" s="8">
        <v>50</v>
      </c>
      <c r="C55" s="2" t="s">
        <v>41</v>
      </c>
      <c r="D55" s="7">
        <v>45777</v>
      </c>
      <c r="E55" s="2" t="s">
        <v>23</v>
      </c>
      <c r="F55" s="2" t="s">
        <v>24</v>
      </c>
      <c r="G55" s="2">
        <v>48</v>
      </c>
      <c r="H55" s="2">
        <v>33973</v>
      </c>
      <c r="I55" s="2"/>
      <c r="J55" s="2">
        <v>47641</v>
      </c>
      <c r="K55" s="2"/>
      <c r="L55" s="2" t="s">
        <v>72</v>
      </c>
      <c r="M55" s="2">
        <v>3.7</v>
      </c>
      <c r="N55" s="2"/>
    </row>
    <row r="56" spans="1:14" ht="30.75">
      <c r="A56" s="7">
        <v>45810</v>
      </c>
      <c r="B56" s="8">
        <v>50</v>
      </c>
      <c r="C56" s="2" t="s">
        <v>44</v>
      </c>
      <c r="D56" s="7">
        <v>45808</v>
      </c>
      <c r="E56" s="2" t="s">
        <v>23</v>
      </c>
      <c r="F56" s="2" t="s">
        <v>24</v>
      </c>
      <c r="G56" s="545">
        <v>49</v>
      </c>
      <c r="H56" s="2">
        <v>34867</v>
      </c>
      <c r="I56" s="2"/>
      <c r="J56" s="2">
        <v>50042</v>
      </c>
      <c r="K56" s="2"/>
      <c r="L56" s="2" t="s">
        <v>72</v>
      </c>
      <c r="M56" s="2">
        <v>4.0999999999999996</v>
      </c>
      <c r="N56" s="2"/>
    </row>
    <row r="57" spans="1:14" ht="30.75">
      <c r="A57" s="7">
        <v>45836</v>
      </c>
      <c r="B57" s="8">
        <v>50</v>
      </c>
      <c r="C57" s="2" t="s">
        <v>57</v>
      </c>
      <c r="D57" s="7">
        <v>45835</v>
      </c>
      <c r="E57" s="2" t="s">
        <v>23</v>
      </c>
      <c r="F57" s="2" t="s">
        <v>24</v>
      </c>
      <c r="G57" s="2">
        <v>50</v>
      </c>
      <c r="H57" s="2">
        <v>35497</v>
      </c>
      <c r="I57" s="2"/>
      <c r="J57" s="2">
        <v>50043</v>
      </c>
      <c r="K57" s="2"/>
      <c r="L57" s="2" t="s">
        <v>72</v>
      </c>
      <c r="M57" s="2">
        <v>4.5</v>
      </c>
      <c r="N57" s="2"/>
    </row>
    <row r="58" spans="1:14" ht="30.75">
      <c r="A58" s="7">
        <v>45868</v>
      </c>
      <c r="B58" s="8">
        <v>50</v>
      </c>
      <c r="C58" s="2" t="s">
        <v>47</v>
      </c>
      <c r="D58" s="7">
        <v>45868</v>
      </c>
      <c r="E58" s="2" t="s">
        <v>23</v>
      </c>
      <c r="F58" s="2" t="s">
        <v>24</v>
      </c>
      <c r="G58" s="545">
        <v>51</v>
      </c>
      <c r="H58" s="2">
        <v>36447</v>
      </c>
      <c r="I58" s="2"/>
      <c r="J58" s="2">
        <v>50044</v>
      </c>
      <c r="K58" s="2"/>
      <c r="L58" s="2" t="s">
        <v>72</v>
      </c>
      <c r="M58" s="2">
        <v>5.5</v>
      </c>
      <c r="N58" s="2"/>
    </row>
    <row r="59" spans="1:14" ht="30.75">
      <c r="A59" s="7">
        <v>45898</v>
      </c>
      <c r="B59" s="8">
        <v>50</v>
      </c>
      <c r="C59" s="2" t="s">
        <v>50</v>
      </c>
      <c r="D59" s="7">
        <v>45898</v>
      </c>
      <c r="E59" s="2" t="s">
        <v>23</v>
      </c>
      <c r="F59" s="2" t="s">
        <v>24</v>
      </c>
      <c r="G59" s="2">
        <v>52</v>
      </c>
      <c r="H59" s="2">
        <v>37247</v>
      </c>
      <c r="I59" s="2"/>
      <c r="J59" s="2">
        <v>51308</v>
      </c>
      <c r="K59" s="2"/>
      <c r="L59" s="2" t="s">
        <v>72</v>
      </c>
      <c r="M59" s="2">
        <v>3.5</v>
      </c>
      <c r="N59" s="2"/>
    </row>
    <row r="60" spans="1:14" ht="30.75">
      <c r="A60" s="7">
        <v>45930</v>
      </c>
      <c r="B60" s="8">
        <v>50</v>
      </c>
      <c r="C60" s="2" t="s">
        <v>22</v>
      </c>
      <c r="D60" s="7">
        <v>45930</v>
      </c>
      <c r="E60" s="2" t="s">
        <v>23</v>
      </c>
      <c r="F60" s="2" t="s">
        <v>24</v>
      </c>
      <c r="G60" s="545">
        <v>53</v>
      </c>
      <c r="H60" s="2">
        <v>38107</v>
      </c>
      <c r="I60" s="2"/>
      <c r="J60" s="2">
        <v>52137</v>
      </c>
      <c r="K60" s="2"/>
      <c r="L60" s="2" t="s">
        <v>72</v>
      </c>
      <c r="M60" s="2">
        <v>3</v>
      </c>
      <c r="N60" s="2"/>
    </row>
    <row r="61" spans="1:14" ht="30.75">
      <c r="A61" s="7">
        <v>45978</v>
      </c>
      <c r="B61" s="8">
        <v>50</v>
      </c>
      <c r="C61" s="2" t="s">
        <v>54</v>
      </c>
      <c r="D61" s="7">
        <v>45961</v>
      </c>
      <c r="E61" s="2" t="s">
        <v>23</v>
      </c>
      <c r="F61" s="2" t="s">
        <v>24</v>
      </c>
      <c r="G61" s="2">
        <v>54</v>
      </c>
      <c r="H61" s="2">
        <v>38984</v>
      </c>
      <c r="I61" s="2"/>
      <c r="J61" s="2">
        <v>53338</v>
      </c>
      <c r="K61" s="2"/>
      <c r="L61" s="2" t="s">
        <v>72</v>
      </c>
      <c r="M61" s="2">
        <v>4</v>
      </c>
      <c r="N61" s="2"/>
    </row>
    <row r="62" spans="1:14" ht="30.75">
      <c r="A62" s="7">
        <v>45989</v>
      </c>
      <c r="B62" s="8">
        <v>50</v>
      </c>
      <c r="C62" s="2" t="s">
        <v>27</v>
      </c>
      <c r="D62" s="7">
        <v>45989</v>
      </c>
      <c r="E62" s="2" t="s">
        <v>23</v>
      </c>
      <c r="F62" s="2" t="s">
        <v>24</v>
      </c>
      <c r="G62" s="545">
        <v>55</v>
      </c>
      <c r="H62" s="2">
        <v>39717</v>
      </c>
      <c r="I62" s="2"/>
      <c r="J62" s="2">
        <v>54436</v>
      </c>
      <c r="K62" s="2"/>
      <c r="L62" s="2" t="s">
        <v>72</v>
      </c>
      <c r="M62" s="2">
        <v>4</v>
      </c>
      <c r="N62" s="2"/>
    </row>
    <row r="63" spans="1:14" ht="30.75">
      <c r="A63" s="7">
        <v>46020</v>
      </c>
      <c r="B63" s="8">
        <v>50</v>
      </c>
      <c r="C63" s="2" t="s">
        <v>30</v>
      </c>
      <c r="D63" s="7">
        <v>46020</v>
      </c>
      <c r="E63" s="2" t="s">
        <v>23</v>
      </c>
      <c r="F63" s="2" t="s">
        <v>24</v>
      </c>
      <c r="G63" s="2">
        <v>56</v>
      </c>
      <c r="H63" s="2">
        <v>40555</v>
      </c>
      <c r="I63" s="2"/>
      <c r="J63" s="2">
        <v>55704</v>
      </c>
      <c r="K63" s="2"/>
      <c r="L63" s="2" t="s">
        <v>72</v>
      </c>
      <c r="M63" s="2">
        <v>4</v>
      </c>
      <c r="N63" s="2"/>
    </row>
    <row r="64" spans="1:14" ht="30.75">
      <c r="A64" s="7">
        <v>46057</v>
      </c>
      <c r="B64" s="8">
        <v>50</v>
      </c>
      <c r="C64" s="2" t="s">
        <v>32</v>
      </c>
      <c r="D64" s="7">
        <v>46053</v>
      </c>
      <c r="E64" s="2" t="s">
        <v>23</v>
      </c>
      <c r="F64" s="2" t="s">
        <v>24</v>
      </c>
      <c r="G64" s="545">
        <v>57</v>
      </c>
      <c r="H64" s="2">
        <v>41557</v>
      </c>
      <c r="I64" s="2"/>
      <c r="J64" s="2">
        <v>56476</v>
      </c>
      <c r="K64" s="2"/>
      <c r="L64" s="2" t="s">
        <v>72</v>
      </c>
      <c r="M64" s="2">
        <v>3.8</v>
      </c>
      <c r="N64" s="2"/>
    </row>
    <row r="65" spans="1:14" ht="30.75">
      <c r="A65" s="7">
        <v>46084</v>
      </c>
      <c r="B65" s="8">
        <v>65</v>
      </c>
      <c r="C65" s="2" t="s">
        <v>34</v>
      </c>
      <c r="D65" s="7">
        <v>46081</v>
      </c>
      <c r="E65" s="2" t="s">
        <v>23</v>
      </c>
      <c r="F65" s="2" t="s">
        <v>24</v>
      </c>
      <c r="G65" s="2">
        <v>58</v>
      </c>
      <c r="H65" s="2">
        <v>42366</v>
      </c>
      <c r="I65" s="100">
        <v>1694</v>
      </c>
      <c r="J65" s="2">
        <v>58396</v>
      </c>
      <c r="K65" s="2"/>
      <c r="L65" s="2" t="s">
        <v>72</v>
      </c>
      <c r="M65" s="2">
        <v>5.5</v>
      </c>
      <c r="N65" s="100" t="s">
        <v>76</v>
      </c>
    </row>
    <row r="66" spans="1:14" ht="45.75">
      <c r="A66" s="7">
        <v>46112</v>
      </c>
      <c r="B66" s="8">
        <v>50</v>
      </c>
      <c r="C66" s="2" t="s">
        <v>38</v>
      </c>
      <c r="D66" s="7">
        <v>46112</v>
      </c>
      <c r="E66" s="2" t="s">
        <v>23</v>
      </c>
      <c r="F66" s="2" t="s">
        <v>28</v>
      </c>
      <c r="G66" s="545">
        <v>59</v>
      </c>
      <c r="H66" s="2">
        <v>43260</v>
      </c>
      <c r="I66" s="2"/>
      <c r="J66" s="2">
        <v>59574</v>
      </c>
      <c r="K66" s="2"/>
      <c r="L66" s="2" t="s">
        <v>1698</v>
      </c>
      <c r="M66" s="2">
        <v>2.1</v>
      </c>
      <c r="N66" s="2"/>
    </row>
    <row r="67" spans="1:14" ht="30.75">
      <c r="A67" s="7">
        <v>46142</v>
      </c>
      <c r="B67" s="8">
        <v>15</v>
      </c>
      <c r="C67" s="2" t="s">
        <v>38</v>
      </c>
      <c r="D67" s="2"/>
      <c r="E67" s="2" t="s">
        <v>23</v>
      </c>
      <c r="F67" s="2" t="s">
        <v>24</v>
      </c>
      <c r="G67" s="2">
        <v>60</v>
      </c>
      <c r="H67" s="2"/>
      <c r="I67" s="2"/>
      <c r="J67" s="2"/>
      <c r="K67" s="2"/>
      <c r="L67" s="2" t="s">
        <v>270</v>
      </c>
      <c r="M67" s="2"/>
      <c r="N67" s="2"/>
    </row>
    <row r="68" spans="1:14" ht="30.75">
      <c r="A68" s="7">
        <v>46142</v>
      </c>
      <c r="B68" s="8">
        <v>65</v>
      </c>
      <c r="C68" s="2" t="s">
        <v>41</v>
      </c>
      <c r="D68" s="7">
        <v>46141</v>
      </c>
      <c r="E68" s="2" t="s">
        <v>23</v>
      </c>
      <c r="F68" s="2" t="s">
        <v>24</v>
      </c>
      <c r="G68" s="545">
        <v>61</v>
      </c>
      <c r="H68" s="2">
        <v>44091</v>
      </c>
      <c r="I68" s="2"/>
      <c r="J68" s="2">
        <v>60987</v>
      </c>
      <c r="K68" s="2"/>
      <c r="L68" s="2" t="s">
        <v>72</v>
      </c>
      <c r="M68" s="2">
        <v>4</v>
      </c>
      <c r="N68" s="2"/>
    </row>
    <row r="69" spans="1:14" ht="30.75">
      <c r="A69" s="7">
        <v>46171</v>
      </c>
      <c r="B69" s="8">
        <v>65</v>
      </c>
      <c r="C69" s="2" t="s">
        <v>44</v>
      </c>
      <c r="D69" s="2"/>
      <c r="E69" s="2" t="s">
        <v>23</v>
      </c>
      <c r="F69" s="2" t="s">
        <v>24</v>
      </c>
      <c r="G69" s="2">
        <v>62</v>
      </c>
      <c r="H69" s="2">
        <v>44969</v>
      </c>
      <c r="I69" s="2"/>
      <c r="J69" s="2"/>
      <c r="K69" s="2"/>
      <c r="L69" s="2" t="s">
        <v>72</v>
      </c>
      <c r="M69" s="2"/>
      <c r="N69" s="2"/>
    </row>
    <row r="70" spans="1:14" ht="30.75">
      <c r="A70" s="2"/>
      <c r="B70" s="2"/>
      <c r="C70" s="2"/>
      <c r="D70" s="2"/>
      <c r="E70" s="2" t="s">
        <v>23</v>
      </c>
      <c r="F70" s="2"/>
      <c r="G70" s="545">
        <v>63</v>
      </c>
      <c r="H70" s="2"/>
      <c r="I70" s="2"/>
      <c r="J70" s="2"/>
      <c r="K70" s="2"/>
      <c r="L70" s="2"/>
      <c r="M70" s="2"/>
      <c r="N70" s="2"/>
    </row>
    <row r="71" spans="1:14" ht="30.75">
      <c r="A71" s="2"/>
      <c r="B71" s="2"/>
      <c r="C71" s="2"/>
      <c r="D71" s="2"/>
      <c r="E71" s="2" t="s">
        <v>23</v>
      </c>
      <c r="F71" s="2"/>
      <c r="G71" s="2">
        <v>64</v>
      </c>
      <c r="H71" s="2"/>
      <c r="I71" s="2"/>
      <c r="J71" s="2"/>
      <c r="K71" s="2"/>
      <c r="L71" s="2"/>
      <c r="M71" s="2"/>
      <c r="N71" s="2"/>
    </row>
    <row r="72" spans="1:14" ht="30.75">
      <c r="A72" s="2"/>
      <c r="B72" s="2"/>
      <c r="C72" s="2"/>
      <c r="D72" s="2"/>
      <c r="E72" s="2" t="s">
        <v>23</v>
      </c>
      <c r="F72" s="2"/>
      <c r="G72" s="545">
        <v>65</v>
      </c>
      <c r="H72" s="2"/>
      <c r="I72" s="2"/>
      <c r="J72" s="2"/>
      <c r="K72" s="2"/>
      <c r="L72" s="2"/>
      <c r="M72" s="2"/>
      <c r="N72" s="2"/>
    </row>
  </sheetData>
  <mergeCells count="5">
    <mergeCell ref="A1:E1"/>
    <mergeCell ref="B2:C2"/>
    <mergeCell ref="F4:G4"/>
    <mergeCell ref="I4:L4"/>
    <mergeCell ref="F2:J2"/>
  </mergeCells>
  <dataValidations count="2">
    <dataValidation type="list" allowBlank="1" showInputMessage="1" showErrorMessage="1" sqref="F7:F24 F26:F40" xr:uid="{00000000-0002-0000-0F00-000001000000}">
      <formula1>"EFECTIVO, CHEQUE, TRANSFERENCIA,DEPOSITO"</formula1>
    </dataValidation>
    <dataValidation type="list" allowBlank="1" showInputMessage="1" showErrorMessage="1" sqref="C7:C72" xr:uid="{00000000-0002-0000-0F00-000000000000}">
      <formula1>"ENERO,FEBRERO,MARZO,ABRIL,MAYO,JUNIO,JULIO,AGOSTO,SEPTIEMBRE,OCTUBRE,NOVIEMBRE,DICIEMBRE"</formula1>
    </dataValidation>
  </dataValidations>
  <hyperlinks>
    <hyperlink ref="F2" r:id="rId1" xr:uid="{00000000-0004-0000-0F00-000000000000}"/>
    <hyperlink ref="F2:J2" r:id="rId2" display="cd.lsaravia@outlook.es" xr:uid="{3F2BAB8D-3B73-4763-9987-377DF165E71B}"/>
  </hyperlinks>
  <pageMargins left="0.7" right="0.7" top="0.75" bottom="0.75" header="0.3" footer="0.3"/>
  <pageSetup orientation="portrait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F949-CE50-42A1-8050-DE5E4D3413AD}">
  <sheetPr>
    <tabColor rgb="FFFF0000"/>
  </sheetPr>
  <dimension ref="A1:K25"/>
  <sheetViews>
    <sheetView workbookViewId="0">
      <selection activeCell="K8" sqref="K8"/>
    </sheetView>
  </sheetViews>
  <sheetFormatPr defaultColWidth="11.42578125" defaultRowHeight="15"/>
  <cols>
    <col min="2" max="2" width="18.7109375" customWidth="1"/>
    <col min="6" max="6" width="18.28515625" customWidth="1"/>
  </cols>
  <sheetData>
    <row r="1" spans="1:11" ht="21">
      <c r="A1" s="725" t="s">
        <v>1699</v>
      </c>
      <c r="B1" s="725"/>
      <c r="C1" s="725"/>
      <c r="D1" s="725"/>
      <c r="E1" s="725"/>
    </row>
    <row r="2" spans="1:11" ht="30">
      <c r="A2" s="2" t="s">
        <v>93</v>
      </c>
      <c r="B2" s="638"/>
      <c r="C2" s="638"/>
      <c r="G2" s="702" t="s">
        <v>74</v>
      </c>
      <c r="H2" s="702"/>
      <c r="I2" s="702"/>
    </row>
    <row r="3" spans="1:11">
      <c r="A3" s="2" t="s">
        <v>1670</v>
      </c>
      <c r="B3" s="3">
        <v>10456242125</v>
      </c>
    </row>
    <row r="4" spans="1:11" ht="39.75">
      <c r="A4" s="143" t="s">
        <v>4</v>
      </c>
      <c r="B4" s="144">
        <v>44156</v>
      </c>
      <c r="F4" s="726" t="s">
        <v>224</v>
      </c>
      <c r="G4" s="726"/>
      <c r="I4" s="727" t="s">
        <v>1700</v>
      </c>
      <c r="J4" s="727"/>
      <c r="K4" s="727"/>
    </row>
    <row r="6" spans="1:11" ht="75.75" thickBot="1">
      <c r="A6" s="145" t="s">
        <v>7</v>
      </c>
      <c r="B6" s="145" t="s">
        <v>8</v>
      </c>
      <c r="C6" s="145" t="s">
        <v>9</v>
      </c>
      <c r="D6" s="145" t="s">
        <v>10</v>
      </c>
      <c r="E6" s="145" t="s">
        <v>11</v>
      </c>
      <c r="F6" s="145" t="s">
        <v>12</v>
      </c>
      <c r="G6" s="145" t="s">
        <v>13</v>
      </c>
      <c r="H6" s="145" t="s">
        <v>14</v>
      </c>
      <c r="I6" s="145" t="s">
        <v>15</v>
      </c>
      <c r="J6" s="145" t="s">
        <v>16</v>
      </c>
      <c r="K6" s="145" t="s">
        <v>18</v>
      </c>
    </row>
    <row r="7" spans="1:11" ht="30">
      <c r="A7" s="7">
        <v>44155</v>
      </c>
      <c r="B7" s="8">
        <v>118</v>
      </c>
      <c r="C7" s="2" t="s">
        <v>22</v>
      </c>
      <c r="D7" s="7">
        <v>44188</v>
      </c>
      <c r="E7" s="2" t="s">
        <v>23</v>
      </c>
      <c r="F7" s="2" t="s">
        <v>24</v>
      </c>
      <c r="G7" s="2">
        <v>1</v>
      </c>
      <c r="H7" s="2">
        <v>1339</v>
      </c>
      <c r="I7" s="9" t="s">
        <v>1701</v>
      </c>
      <c r="J7" s="9" t="s">
        <v>1702</v>
      </c>
      <c r="K7" s="2" t="s">
        <v>26</v>
      </c>
    </row>
    <row r="8" spans="1:11" ht="30">
      <c r="A8" s="7"/>
      <c r="B8" s="8">
        <v>118</v>
      </c>
      <c r="C8" s="2" t="s">
        <v>32</v>
      </c>
      <c r="D8" s="7">
        <v>44225</v>
      </c>
      <c r="E8" s="2" t="s">
        <v>23</v>
      </c>
      <c r="F8" s="2" t="s">
        <v>24</v>
      </c>
      <c r="G8" s="2">
        <v>2</v>
      </c>
      <c r="H8" s="2">
        <v>1834</v>
      </c>
      <c r="I8" s="9" t="s">
        <v>1701</v>
      </c>
      <c r="J8" s="9" t="s">
        <v>1703</v>
      </c>
      <c r="K8" s="2" t="s">
        <v>1590</v>
      </c>
    </row>
    <row r="9" spans="1:11" ht="30">
      <c r="A9" s="7"/>
      <c r="B9" s="8"/>
      <c r="C9" s="2"/>
      <c r="D9" s="7"/>
      <c r="E9" s="2" t="s">
        <v>23</v>
      </c>
      <c r="F9" s="2"/>
      <c r="G9" s="2"/>
      <c r="H9" s="2"/>
      <c r="I9" s="9" t="s">
        <v>1701</v>
      </c>
      <c r="J9" s="9"/>
      <c r="K9" s="2"/>
    </row>
    <row r="10" spans="1:11" ht="30">
      <c r="A10" s="7"/>
      <c r="B10" s="8"/>
      <c r="C10" s="2"/>
      <c r="D10" s="2"/>
      <c r="E10" s="2" t="s">
        <v>23</v>
      </c>
      <c r="F10" s="2"/>
      <c r="G10" s="2"/>
      <c r="H10" s="2"/>
      <c r="I10" s="9" t="s">
        <v>1701</v>
      </c>
      <c r="J10" s="9"/>
      <c r="K10" s="2"/>
    </row>
    <row r="11" spans="1:11" ht="30">
      <c r="A11" s="2"/>
      <c r="B11" s="8"/>
      <c r="C11" s="2"/>
      <c r="D11" s="2"/>
      <c r="E11" s="2" t="s">
        <v>23</v>
      </c>
      <c r="F11" s="2"/>
      <c r="G11" s="2"/>
      <c r="H11" s="2"/>
      <c r="I11" s="9" t="s">
        <v>1701</v>
      </c>
      <c r="J11" s="9"/>
      <c r="K11" s="2"/>
    </row>
    <row r="12" spans="1:11" ht="30">
      <c r="A12" s="2"/>
      <c r="B12" s="8"/>
      <c r="C12" s="2"/>
      <c r="D12" s="2"/>
      <c r="E12" s="2" t="s">
        <v>23</v>
      </c>
      <c r="F12" s="2"/>
      <c r="G12" s="2"/>
      <c r="H12" s="2"/>
      <c r="I12" s="9" t="s">
        <v>1701</v>
      </c>
      <c r="J12" s="9"/>
      <c r="K12" s="2"/>
    </row>
    <row r="13" spans="1:11" ht="30">
      <c r="A13" s="2"/>
      <c r="B13" s="8"/>
      <c r="C13" s="2"/>
      <c r="D13" s="2"/>
      <c r="E13" s="2" t="s">
        <v>23</v>
      </c>
      <c r="F13" s="2"/>
      <c r="G13" s="2"/>
      <c r="H13" s="2"/>
      <c r="I13" s="9" t="s">
        <v>1701</v>
      </c>
      <c r="J13" s="9"/>
      <c r="K13" s="2"/>
    </row>
    <row r="14" spans="1:11" ht="30">
      <c r="A14" s="2"/>
      <c r="B14" s="8"/>
      <c r="C14" s="2"/>
      <c r="D14" s="2"/>
      <c r="E14" s="2" t="s">
        <v>23</v>
      </c>
      <c r="F14" s="2"/>
      <c r="G14" s="2"/>
      <c r="H14" s="2"/>
      <c r="I14" s="9" t="s">
        <v>1701</v>
      </c>
      <c r="J14" s="9"/>
      <c r="K14" s="2"/>
    </row>
    <row r="15" spans="1:11" ht="30">
      <c r="A15" s="2"/>
      <c r="B15" s="8"/>
      <c r="C15" s="2"/>
      <c r="D15" s="2"/>
      <c r="E15" s="2" t="s">
        <v>23</v>
      </c>
      <c r="F15" s="2"/>
      <c r="G15" s="2"/>
      <c r="H15" s="2"/>
      <c r="I15" s="9" t="s">
        <v>1701</v>
      </c>
      <c r="J15" s="9"/>
      <c r="K15" s="2"/>
    </row>
    <row r="16" spans="1:11" ht="30">
      <c r="A16" s="2"/>
      <c r="B16" s="8"/>
      <c r="C16" s="2"/>
      <c r="D16" s="2"/>
      <c r="E16" s="2" t="s">
        <v>23</v>
      </c>
      <c r="F16" s="2"/>
      <c r="G16" s="2"/>
      <c r="H16" s="2"/>
      <c r="I16" s="9" t="s">
        <v>1701</v>
      </c>
      <c r="J16" s="9"/>
      <c r="K16" s="2"/>
    </row>
    <row r="17" spans="1:11" ht="30">
      <c r="A17" s="2"/>
      <c r="B17" s="8"/>
      <c r="C17" s="2"/>
      <c r="D17" s="2"/>
      <c r="E17" s="2" t="s">
        <v>23</v>
      </c>
      <c r="F17" s="2"/>
      <c r="G17" s="2"/>
      <c r="H17" s="2"/>
      <c r="I17" s="9" t="s">
        <v>1701</v>
      </c>
      <c r="J17" s="9"/>
      <c r="K17" s="2"/>
    </row>
    <row r="18" spans="1:11" ht="30">
      <c r="A18" s="2"/>
      <c r="B18" s="8"/>
      <c r="C18" s="2"/>
      <c r="D18" s="2"/>
      <c r="E18" s="2" t="s">
        <v>23</v>
      </c>
      <c r="F18" s="2"/>
      <c r="G18" s="2"/>
      <c r="H18" s="2"/>
      <c r="I18" s="9" t="s">
        <v>1701</v>
      </c>
      <c r="J18" s="9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9" t="s">
        <v>1701</v>
      </c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9" t="s">
        <v>1701</v>
      </c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9" t="s">
        <v>1701</v>
      </c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9" t="s">
        <v>1701</v>
      </c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9" t="s">
        <v>1701</v>
      </c>
      <c r="J23" s="2"/>
      <c r="K23" s="2"/>
    </row>
    <row r="24" spans="1:11">
      <c r="B24" s="728"/>
      <c r="C24" s="728"/>
    </row>
    <row r="25" spans="1:11">
      <c r="A25" s="2"/>
      <c r="B25" s="728"/>
      <c r="C25" s="728"/>
    </row>
  </sheetData>
  <mergeCells count="6">
    <mergeCell ref="A1:E1"/>
    <mergeCell ref="B2:C2"/>
    <mergeCell ref="F4:G4"/>
    <mergeCell ref="I4:K4"/>
    <mergeCell ref="B24:C25"/>
    <mergeCell ref="G2:I2"/>
  </mergeCells>
  <dataValidations count="2">
    <dataValidation type="list" allowBlank="1" showInputMessage="1" showErrorMessage="1" sqref="F7:F23" xr:uid="{00000000-0002-0000-1000-000000000000}">
      <formula1>"EFECTIVO, CHEQUE, TRANSFERENCIA,DEPOSITO"</formula1>
    </dataValidation>
    <dataValidation type="list" allowBlank="1" showInputMessage="1" showErrorMessage="1" sqref="C7:C23" xr:uid="{00000000-0002-0000-1000-000001000000}">
      <formula1>"ENERO,FEBRERO,MARZO,ABRIL,MAYO,JUNIO,JULIO,AGOSTO,SEPTIEMBRE,OCTUBRE,NOVIEMBRE,DICIEMBRE"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4801-FFDE-4F8B-8A9A-325F220BD92D}">
  <sheetPr>
    <tabColor rgb="FFFFC000"/>
  </sheetPr>
  <dimension ref="A1:L8"/>
  <sheetViews>
    <sheetView workbookViewId="0"/>
  </sheetViews>
  <sheetFormatPr defaultColWidth="11.42578125" defaultRowHeight="15"/>
  <cols>
    <col min="2" max="2" width="15.28515625" bestFit="1" customWidth="1"/>
  </cols>
  <sheetData>
    <row r="1" spans="1:12" ht="23.25">
      <c r="A1" s="687" t="s">
        <v>1704</v>
      </c>
      <c r="B1" s="687"/>
      <c r="C1" s="687"/>
      <c r="D1" s="687"/>
      <c r="E1" s="687"/>
      <c r="F1" s="687"/>
      <c r="G1" s="687"/>
      <c r="H1" s="687"/>
      <c r="I1" s="687"/>
      <c r="J1" s="631"/>
    </row>
    <row r="2" spans="1:12" ht="45" customHeight="1">
      <c r="A2" s="2" t="s">
        <v>247</v>
      </c>
      <c r="B2" s="638"/>
      <c r="C2" s="638"/>
    </row>
    <row r="3" spans="1:12" ht="30.75" customHeight="1">
      <c r="A3" s="2" t="s">
        <v>1</v>
      </c>
      <c r="B3" s="3">
        <v>20452578949</v>
      </c>
    </row>
    <row r="4" spans="1:12" ht="38.25" customHeight="1">
      <c r="A4" s="4" t="s">
        <v>2</v>
      </c>
      <c r="B4" s="5"/>
      <c r="C4" s="639"/>
      <c r="D4" s="639"/>
      <c r="E4" s="639"/>
      <c r="H4" s="691" t="s">
        <v>1095</v>
      </c>
      <c r="I4" s="691"/>
      <c r="J4" s="691"/>
      <c r="K4" s="691"/>
    </row>
    <row r="5" spans="1:12" ht="46.5">
      <c r="A5" s="224" t="s">
        <v>4</v>
      </c>
      <c r="B5" s="225">
        <v>44378</v>
      </c>
      <c r="C5" s="35"/>
      <c r="D5" s="689" t="s">
        <v>341</v>
      </c>
      <c r="E5" s="689"/>
      <c r="F5" s="226"/>
      <c r="G5" s="226"/>
      <c r="H5" s="35"/>
      <c r="I5" s="35"/>
      <c r="J5" s="35"/>
      <c r="K5" s="35"/>
      <c r="L5" s="35"/>
    </row>
    <row r="6" spans="1:12" ht="75">
      <c r="A6" s="227" t="s">
        <v>7</v>
      </c>
      <c r="B6" s="227" t="s">
        <v>8</v>
      </c>
      <c r="C6" s="227" t="s">
        <v>9</v>
      </c>
      <c r="D6" s="227" t="s">
        <v>10</v>
      </c>
      <c r="E6" s="227" t="s">
        <v>11</v>
      </c>
      <c r="F6" s="227" t="s">
        <v>12</v>
      </c>
      <c r="G6" s="227" t="s">
        <v>13</v>
      </c>
      <c r="H6" s="227" t="s">
        <v>14</v>
      </c>
      <c r="I6" s="227" t="s">
        <v>15</v>
      </c>
      <c r="J6" s="227" t="s">
        <v>252</v>
      </c>
      <c r="K6" s="227" t="s">
        <v>16</v>
      </c>
      <c r="L6" s="227" t="s">
        <v>18</v>
      </c>
    </row>
    <row r="7" spans="1:12" ht="30">
      <c r="A7" s="7"/>
      <c r="B7" s="8"/>
      <c r="C7" s="2" t="s">
        <v>50</v>
      </c>
      <c r="D7" s="7">
        <v>44439</v>
      </c>
      <c r="E7" s="2" t="s">
        <v>23</v>
      </c>
      <c r="F7" s="2"/>
      <c r="G7" s="2">
        <v>1</v>
      </c>
      <c r="H7" s="2"/>
      <c r="I7" s="9"/>
      <c r="J7" s="9" t="s">
        <v>1705</v>
      </c>
      <c r="K7" s="9" t="s">
        <v>1706</v>
      </c>
      <c r="L7" s="2" t="s">
        <v>26</v>
      </c>
    </row>
    <row r="8" spans="1:12" ht="30.75">
      <c r="A8" s="2"/>
      <c r="B8" s="2"/>
      <c r="C8" s="2" t="s">
        <v>32</v>
      </c>
      <c r="D8" s="7">
        <v>44582</v>
      </c>
      <c r="E8" s="2"/>
      <c r="F8" s="2"/>
      <c r="G8" s="2"/>
      <c r="H8" s="9"/>
      <c r="I8" s="2"/>
      <c r="J8" s="9" t="s">
        <v>1707</v>
      </c>
      <c r="K8" s="2">
        <v>9685</v>
      </c>
      <c r="L8" s="2" t="s">
        <v>26</v>
      </c>
    </row>
  </sheetData>
  <mergeCells count="5">
    <mergeCell ref="A1:I1"/>
    <mergeCell ref="B2:C2"/>
    <mergeCell ref="C4:E4"/>
    <mergeCell ref="H4:K4"/>
    <mergeCell ref="D5:E5"/>
  </mergeCells>
  <dataValidations count="2">
    <dataValidation type="list" allowBlank="1" showInputMessage="1" showErrorMessage="1" sqref="C7:C8" xr:uid="{C76CBF81-1D9E-4598-AA20-A679CB8A50B4}">
      <formula1>"ENERO,FEBRERO,MARZO,ABRIL,MAYO,JUNIO,JULIO,AGOSTO,SEPTIEMBRE,OCTUBRE,NOVIEMBRE,DICIEMBRE"</formula1>
    </dataValidation>
    <dataValidation type="list" allowBlank="1" showInputMessage="1" showErrorMessage="1" sqref="F7:F8" xr:uid="{67C9889C-3423-4A26-904C-27A42BCB32F0}">
      <formula1>"EFECTIVO, CHEQUE, TRANSFERENCIA,DEPOSITO"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810B-91E9-48B0-BDC0-2436DBC919BA}">
  <dimension ref="A1:M55"/>
  <sheetViews>
    <sheetView topLeftCell="A53" workbookViewId="0">
      <selection activeCell="Q73" sqref="Q73"/>
    </sheetView>
  </sheetViews>
  <sheetFormatPr defaultColWidth="11.42578125" defaultRowHeight="15"/>
  <cols>
    <col min="2" max="2" width="18.7109375" customWidth="1"/>
    <col min="3" max="3" width="16.28515625" customWidth="1"/>
    <col min="6" max="6" width="18.28515625" customWidth="1"/>
  </cols>
  <sheetData>
    <row r="1" spans="1:13" ht="21">
      <c r="A1" s="729" t="s">
        <v>1708</v>
      </c>
      <c r="B1" s="729"/>
      <c r="C1" s="729"/>
      <c r="D1" s="729"/>
      <c r="E1" s="729"/>
    </row>
    <row r="2" spans="1:13" ht="30.75">
      <c r="A2" s="2" t="s">
        <v>93</v>
      </c>
      <c r="B2" s="638" t="s">
        <v>1709</v>
      </c>
      <c r="C2" s="638"/>
      <c r="E2" s="732">
        <v>10478360041</v>
      </c>
      <c r="F2" s="651"/>
      <c r="G2" s="651"/>
      <c r="H2" s="651"/>
    </row>
    <row r="3" spans="1:13" ht="30.75">
      <c r="A3" s="2" t="s">
        <v>1670</v>
      </c>
      <c r="B3" s="3" t="s">
        <v>1710</v>
      </c>
    </row>
    <row r="4" spans="1:13" ht="37.5">
      <c r="A4" s="146" t="s">
        <v>4</v>
      </c>
      <c r="B4" s="147">
        <v>44376</v>
      </c>
      <c r="F4" s="730" t="s">
        <v>341</v>
      </c>
      <c r="G4" s="730"/>
      <c r="I4" s="731" t="s">
        <v>1711</v>
      </c>
      <c r="J4" s="731"/>
      <c r="K4" s="731"/>
      <c r="L4" s="731"/>
    </row>
    <row r="6" spans="1:13" ht="57">
      <c r="A6" s="148" t="s">
        <v>7</v>
      </c>
      <c r="B6" s="148" t="s">
        <v>8</v>
      </c>
      <c r="C6" s="148" t="s">
        <v>9</v>
      </c>
      <c r="D6" s="148" t="s">
        <v>10</v>
      </c>
      <c r="E6" s="148" t="s">
        <v>11</v>
      </c>
      <c r="F6" s="148" t="s">
        <v>12</v>
      </c>
      <c r="G6" s="148" t="s">
        <v>13</v>
      </c>
      <c r="H6" s="148" t="s">
        <v>14</v>
      </c>
      <c r="I6" s="148" t="s">
        <v>15</v>
      </c>
      <c r="J6" s="148" t="s">
        <v>16</v>
      </c>
      <c r="K6" s="148" t="s">
        <v>19</v>
      </c>
      <c r="L6" s="148" t="s">
        <v>18</v>
      </c>
      <c r="M6" s="391" t="s">
        <v>99</v>
      </c>
    </row>
    <row r="7" spans="1:13" ht="30.75">
      <c r="A7" s="7">
        <v>44355</v>
      </c>
      <c r="B7" s="8">
        <v>70</v>
      </c>
      <c r="C7" s="2" t="s">
        <v>57</v>
      </c>
      <c r="D7" s="7">
        <v>44375</v>
      </c>
      <c r="E7" s="2" t="s">
        <v>23</v>
      </c>
      <c r="F7" s="2" t="s">
        <v>24</v>
      </c>
      <c r="G7" s="2">
        <v>1</v>
      </c>
      <c r="H7" s="2">
        <v>1351</v>
      </c>
      <c r="I7" s="9"/>
      <c r="J7" s="9" t="s">
        <v>1712</v>
      </c>
      <c r="K7" s="9"/>
      <c r="L7" s="2" t="s">
        <v>26</v>
      </c>
      <c r="M7" s="2"/>
    </row>
    <row r="8" spans="1:13" ht="30.75">
      <c r="A8" s="7">
        <v>44460</v>
      </c>
      <c r="B8" s="8">
        <v>70</v>
      </c>
      <c r="C8" s="2" t="s">
        <v>47</v>
      </c>
      <c r="D8" s="7">
        <v>44408</v>
      </c>
      <c r="E8" s="2" t="s">
        <v>23</v>
      </c>
      <c r="F8" s="2" t="s">
        <v>24</v>
      </c>
      <c r="G8" s="2">
        <v>2</v>
      </c>
      <c r="H8" s="2">
        <v>1867</v>
      </c>
      <c r="I8" s="9"/>
      <c r="J8" s="9" t="s">
        <v>1713</v>
      </c>
      <c r="K8" s="9"/>
      <c r="L8" s="2" t="s">
        <v>26</v>
      </c>
      <c r="M8" s="2"/>
    </row>
    <row r="9" spans="1:13" ht="30.75">
      <c r="A9" s="7">
        <v>44460</v>
      </c>
      <c r="B9" s="8">
        <v>70</v>
      </c>
      <c r="C9" s="2" t="s">
        <v>50</v>
      </c>
      <c r="D9" s="7">
        <v>44439</v>
      </c>
      <c r="E9" s="2" t="s">
        <v>23</v>
      </c>
      <c r="F9" s="2" t="s">
        <v>24</v>
      </c>
      <c r="G9" s="2">
        <v>3</v>
      </c>
      <c r="H9" s="2">
        <v>2507</v>
      </c>
      <c r="I9" s="9"/>
      <c r="J9" s="9" t="s">
        <v>1714</v>
      </c>
      <c r="K9" s="9"/>
      <c r="L9" s="2" t="s">
        <v>26</v>
      </c>
      <c r="M9" s="2"/>
    </row>
    <row r="10" spans="1:13" ht="30.75">
      <c r="A10" s="7">
        <v>44460</v>
      </c>
      <c r="B10" s="8">
        <v>70</v>
      </c>
      <c r="C10" s="2" t="s">
        <v>22</v>
      </c>
      <c r="D10" s="7">
        <v>44469</v>
      </c>
      <c r="E10" s="2" t="s">
        <v>23</v>
      </c>
      <c r="F10" s="2" t="s">
        <v>24</v>
      </c>
      <c r="G10" s="2">
        <v>4</v>
      </c>
      <c r="H10" s="2">
        <v>2509</v>
      </c>
      <c r="I10" s="9"/>
      <c r="J10" s="9" t="s">
        <v>1715</v>
      </c>
      <c r="K10" s="9"/>
      <c r="L10" s="2" t="s">
        <v>26</v>
      </c>
      <c r="M10" s="2"/>
    </row>
    <row r="11" spans="1:13" ht="30.75">
      <c r="A11" s="7">
        <v>44524</v>
      </c>
      <c r="B11" s="8">
        <v>70</v>
      </c>
      <c r="C11" s="2" t="s">
        <v>54</v>
      </c>
      <c r="D11" s="7">
        <v>44499</v>
      </c>
      <c r="E11" s="2" t="s">
        <v>23</v>
      </c>
      <c r="F11" s="2" t="s">
        <v>24</v>
      </c>
      <c r="G11" s="2">
        <v>5</v>
      </c>
      <c r="H11" s="2">
        <v>7175</v>
      </c>
      <c r="I11" s="9"/>
      <c r="J11" s="9" t="s">
        <v>1716</v>
      </c>
      <c r="K11" s="9"/>
      <c r="L11" s="2" t="s">
        <v>56</v>
      </c>
      <c r="M11" s="2"/>
    </row>
    <row r="12" spans="1:13" ht="30.75">
      <c r="A12" s="7">
        <v>44524</v>
      </c>
      <c r="B12" s="8">
        <v>70</v>
      </c>
      <c r="C12" s="2" t="s">
        <v>27</v>
      </c>
      <c r="D12" s="7">
        <v>44530</v>
      </c>
      <c r="E12" s="2" t="s">
        <v>23</v>
      </c>
      <c r="F12" s="2" t="s">
        <v>24</v>
      </c>
      <c r="G12" s="2">
        <v>6</v>
      </c>
      <c r="H12" s="2">
        <v>3887</v>
      </c>
      <c r="I12" s="9"/>
      <c r="J12" s="9" t="s">
        <v>1717</v>
      </c>
      <c r="K12" s="9"/>
      <c r="L12" s="2" t="s">
        <v>56</v>
      </c>
      <c r="M12" s="2"/>
    </row>
    <row r="13" spans="1:13" ht="30.75">
      <c r="A13" s="7">
        <v>44630</v>
      </c>
      <c r="B13" s="8">
        <v>70</v>
      </c>
      <c r="C13" s="2" t="s">
        <v>30</v>
      </c>
      <c r="D13" s="7">
        <v>44558</v>
      </c>
      <c r="E13" s="2" t="s">
        <v>23</v>
      </c>
      <c r="F13" s="2" t="s">
        <v>24</v>
      </c>
      <c r="G13" s="2">
        <v>7</v>
      </c>
      <c r="H13" s="2">
        <v>4615</v>
      </c>
      <c r="I13" s="9"/>
      <c r="J13" s="9" t="s">
        <v>1718</v>
      </c>
      <c r="K13" s="9"/>
      <c r="L13" s="2" t="s">
        <v>56</v>
      </c>
      <c r="M13" s="2"/>
    </row>
    <row r="14" spans="1:13" ht="30.75">
      <c r="A14" s="7">
        <v>44630</v>
      </c>
      <c r="B14" s="8">
        <v>70</v>
      </c>
      <c r="C14" s="2" t="s">
        <v>32</v>
      </c>
      <c r="D14" s="7">
        <v>44592</v>
      </c>
      <c r="E14" s="2" t="s">
        <v>23</v>
      </c>
      <c r="F14" s="2" t="s">
        <v>24</v>
      </c>
      <c r="G14" s="2">
        <v>8</v>
      </c>
      <c r="H14" s="2">
        <v>5373</v>
      </c>
      <c r="I14" s="9"/>
      <c r="J14" s="9" t="s">
        <v>1719</v>
      </c>
      <c r="K14" s="9"/>
      <c r="L14" s="2" t="s">
        <v>56</v>
      </c>
      <c r="M14" s="2"/>
    </row>
    <row r="15" spans="1:13" ht="30.75">
      <c r="A15" s="7">
        <v>44630</v>
      </c>
      <c r="B15" s="8">
        <v>70</v>
      </c>
      <c r="C15" s="2" t="s">
        <v>34</v>
      </c>
      <c r="D15" s="7">
        <v>44620</v>
      </c>
      <c r="E15" s="2" t="s">
        <v>23</v>
      </c>
      <c r="F15" s="2" t="s">
        <v>24</v>
      </c>
      <c r="G15" s="2">
        <v>9</v>
      </c>
      <c r="H15" s="2">
        <v>5784</v>
      </c>
      <c r="I15" s="9"/>
      <c r="J15" s="9" t="s">
        <v>1720</v>
      </c>
      <c r="K15" s="9"/>
      <c r="L15" s="2" t="s">
        <v>56</v>
      </c>
      <c r="M15" s="2"/>
    </row>
    <row r="16" spans="1:13" ht="30.75">
      <c r="A16" s="7">
        <v>44706</v>
      </c>
      <c r="B16" s="8">
        <v>70</v>
      </c>
      <c r="C16" s="2" t="s">
        <v>38</v>
      </c>
      <c r="D16" s="7">
        <v>44652</v>
      </c>
      <c r="E16" s="2" t="s">
        <v>23</v>
      </c>
      <c r="F16" s="2" t="s">
        <v>24</v>
      </c>
      <c r="G16" s="2">
        <v>10</v>
      </c>
      <c r="H16" s="2">
        <v>6781</v>
      </c>
      <c r="I16" s="9"/>
      <c r="J16" s="9" t="s">
        <v>1721</v>
      </c>
      <c r="K16" s="9"/>
      <c r="L16" s="2" t="s">
        <v>56</v>
      </c>
      <c r="M16" s="2"/>
    </row>
    <row r="17" spans="1:13" ht="30.75">
      <c r="A17" s="7">
        <v>44706</v>
      </c>
      <c r="B17" s="8">
        <v>70</v>
      </c>
      <c r="C17" s="2" t="s">
        <v>41</v>
      </c>
      <c r="D17" s="7">
        <v>44681</v>
      </c>
      <c r="E17" s="2" t="s">
        <v>23</v>
      </c>
      <c r="F17" s="2" t="s">
        <v>24</v>
      </c>
      <c r="G17" s="2">
        <v>11</v>
      </c>
      <c r="H17" s="2">
        <v>7176</v>
      </c>
      <c r="I17" s="9"/>
      <c r="J17" s="9" t="s">
        <v>1722</v>
      </c>
      <c r="K17" s="9"/>
      <c r="L17" s="2" t="s">
        <v>56</v>
      </c>
      <c r="M17" s="2"/>
    </row>
    <row r="18" spans="1:13" ht="30.75">
      <c r="A18" s="7">
        <v>44747</v>
      </c>
      <c r="B18" s="8">
        <v>70</v>
      </c>
      <c r="C18" s="2" t="s">
        <v>44</v>
      </c>
      <c r="D18" s="7">
        <v>44709</v>
      </c>
      <c r="E18" s="2" t="s">
        <v>23</v>
      </c>
      <c r="F18" s="2" t="s">
        <v>24</v>
      </c>
      <c r="G18" s="2">
        <v>12</v>
      </c>
      <c r="H18" s="2">
        <v>8623</v>
      </c>
      <c r="I18" s="9"/>
      <c r="J18" s="9" t="s">
        <v>1723</v>
      </c>
      <c r="K18" s="9"/>
      <c r="L18" s="2" t="s">
        <v>56</v>
      </c>
      <c r="M18" s="2" t="s">
        <v>170</v>
      </c>
    </row>
    <row r="19" spans="1:13" ht="30.75">
      <c r="A19" s="7">
        <v>44747</v>
      </c>
      <c r="B19" s="8">
        <v>70</v>
      </c>
      <c r="C19" s="2" t="s">
        <v>57</v>
      </c>
      <c r="D19" s="7">
        <v>44737</v>
      </c>
      <c r="E19" s="2" t="s">
        <v>23</v>
      </c>
      <c r="F19" s="2" t="s">
        <v>24</v>
      </c>
      <c r="G19" s="2">
        <v>13</v>
      </c>
      <c r="H19" s="2">
        <v>8623</v>
      </c>
      <c r="I19" s="9"/>
      <c r="J19" s="2">
        <v>14627</v>
      </c>
      <c r="K19" s="2"/>
      <c r="L19" s="2" t="s">
        <v>56</v>
      </c>
      <c r="M19" s="2" t="s">
        <v>170</v>
      </c>
    </row>
    <row r="20" spans="1:13" ht="30.75">
      <c r="A20" s="7">
        <v>44817</v>
      </c>
      <c r="B20" s="8">
        <v>70</v>
      </c>
      <c r="C20" s="2" t="s">
        <v>47</v>
      </c>
      <c r="D20" s="7">
        <v>44772</v>
      </c>
      <c r="E20" s="2" t="s">
        <v>23</v>
      </c>
      <c r="F20" s="2" t="s">
        <v>24</v>
      </c>
      <c r="G20" s="2">
        <v>14</v>
      </c>
      <c r="H20" s="2">
        <v>9626</v>
      </c>
      <c r="I20" s="9"/>
      <c r="J20" s="2">
        <v>15839</v>
      </c>
      <c r="K20" s="2"/>
      <c r="L20" s="2" t="s">
        <v>26</v>
      </c>
      <c r="M20" s="2" t="s">
        <v>270</v>
      </c>
    </row>
    <row r="21" spans="1:13" ht="30.75">
      <c r="A21" s="7">
        <v>44817</v>
      </c>
      <c r="B21" s="8">
        <v>70</v>
      </c>
      <c r="C21" s="2" t="s">
        <v>50</v>
      </c>
      <c r="D21" s="7">
        <v>44802</v>
      </c>
      <c r="E21" s="2" t="s">
        <v>23</v>
      </c>
      <c r="F21" s="2" t="s">
        <v>24</v>
      </c>
      <c r="G21" s="2">
        <v>15</v>
      </c>
      <c r="H21" s="2">
        <v>10380</v>
      </c>
      <c r="I21" s="9"/>
      <c r="J21" s="2">
        <v>16729</v>
      </c>
      <c r="K21" s="2"/>
      <c r="L21" s="2" t="s">
        <v>26</v>
      </c>
      <c r="M21" s="2" t="s">
        <v>270</v>
      </c>
    </row>
    <row r="22" spans="1:13" ht="30.75">
      <c r="A22" s="2" t="s">
        <v>751</v>
      </c>
      <c r="B22" s="8">
        <v>70</v>
      </c>
      <c r="C22" s="2" t="s">
        <v>22</v>
      </c>
      <c r="D22" s="7">
        <v>44837</v>
      </c>
      <c r="E22" s="2" t="s">
        <v>23</v>
      </c>
      <c r="F22" s="2" t="s">
        <v>24</v>
      </c>
      <c r="G22" s="2">
        <v>16</v>
      </c>
      <c r="H22" s="2">
        <v>11203</v>
      </c>
      <c r="I22" s="9"/>
      <c r="J22" s="2">
        <v>17944</v>
      </c>
      <c r="K22" s="2"/>
      <c r="L22" s="2" t="s">
        <v>26</v>
      </c>
      <c r="M22" s="2" t="s">
        <v>1696</v>
      </c>
    </row>
    <row r="23" spans="1:13" ht="30.75">
      <c r="A23" s="2" t="s">
        <v>751</v>
      </c>
      <c r="B23" s="8">
        <v>70</v>
      </c>
      <c r="C23" s="2" t="s">
        <v>54</v>
      </c>
      <c r="D23" s="2" t="s">
        <v>60</v>
      </c>
      <c r="E23" s="2" t="s">
        <v>23</v>
      </c>
      <c r="F23" s="2" t="s">
        <v>24</v>
      </c>
      <c r="G23" s="2">
        <v>17</v>
      </c>
      <c r="H23" s="2">
        <v>11778</v>
      </c>
      <c r="I23" s="9"/>
      <c r="J23" s="2">
        <v>18582</v>
      </c>
      <c r="K23" s="2"/>
      <c r="L23" s="2" t="s">
        <v>26</v>
      </c>
      <c r="M23" s="2" t="s">
        <v>1696</v>
      </c>
    </row>
    <row r="24" spans="1:13" ht="15" customHeight="1">
      <c r="A24" s="2" t="s">
        <v>1414</v>
      </c>
      <c r="B24" s="8">
        <v>70</v>
      </c>
      <c r="C24" s="278" t="s">
        <v>27</v>
      </c>
      <c r="D24" s="278" t="s">
        <v>61</v>
      </c>
      <c r="E24" s="2" t="s">
        <v>23</v>
      </c>
      <c r="F24" s="2" t="s">
        <v>24</v>
      </c>
      <c r="G24" s="2">
        <v>18</v>
      </c>
      <c r="H24" s="2">
        <v>12380</v>
      </c>
      <c r="I24" s="2"/>
      <c r="J24" s="2">
        <v>19623</v>
      </c>
      <c r="K24" s="2"/>
      <c r="L24" s="2" t="s">
        <v>26</v>
      </c>
      <c r="M24" s="2" t="s">
        <v>270</v>
      </c>
    </row>
    <row r="25" spans="1:13" ht="15" customHeight="1">
      <c r="A25" s="2" t="s">
        <v>1311</v>
      </c>
      <c r="B25" s="8">
        <v>70</v>
      </c>
      <c r="C25" s="278" t="s">
        <v>34</v>
      </c>
      <c r="D25" s="345">
        <v>45232</v>
      </c>
      <c r="E25" s="2" t="s">
        <v>23</v>
      </c>
      <c r="F25" s="2" t="s">
        <v>24</v>
      </c>
      <c r="G25" s="2">
        <v>19</v>
      </c>
      <c r="H25" s="2">
        <v>14263</v>
      </c>
      <c r="I25" s="2"/>
      <c r="J25" s="2">
        <v>21612</v>
      </c>
      <c r="K25" s="2"/>
      <c r="L25" s="2" t="s">
        <v>26</v>
      </c>
      <c r="M25" s="2" t="s">
        <v>170</v>
      </c>
    </row>
    <row r="26" spans="1:13" ht="30.75">
      <c r="A26" s="7">
        <v>45051</v>
      </c>
      <c r="B26" s="8">
        <v>70</v>
      </c>
      <c r="C26" s="2" t="s">
        <v>38</v>
      </c>
      <c r="D26" s="2" t="s">
        <v>1179</v>
      </c>
      <c r="E26" s="2" t="s">
        <v>23</v>
      </c>
      <c r="F26" s="2" t="s">
        <v>24</v>
      </c>
      <c r="G26" s="2">
        <v>20</v>
      </c>
      <c r="H26" s="2">
        <v>15710</v>
      </c>
      <c r="I26" s="2"/>
      <c r="J26" s="2">
        <v>22616</v>
      </c>
      <c r="K26" s="2"/>
      <c r="L26" s="2" t="s">
        <v>26</v>
      </c>
      <c r="M26" s="2" t="s">
        <v>73</v>
      </c>
    </row>
    <row r="27" spans="1:13" ht="30.75">
      <c r="A27" s="7">
        <v>45100</v>
      </c>
      <c r="B27" s="8">
        <v>70</v>
      </c>
      <c r="C27" s="2" t="s">
        <v>41</v>
      </c>
      <c r="D27" s="2" t="s">
        <v>1182</v>
      </c>
      <c r="E27" s="2" t="s">
        <v>23</v>
      </c>
      <c r="F27" s="2" t="s">
        <v>24</v>
      </c>
      <c r="G27" s="2">
        <v>21</v>
      </c>
      <c r="H27" s="2">
        <v>15890</v>
      </c>
      <c r="I27" s="2"/>
      <c r="J27" s="2">
        <v>20690</v>
      </c>
      <c r="K27" s="2"/>
      <c r="L27" s="2" t="s">
        <v>1724</v>
      </c>
      <c r="M27" s="2"/>
    </row>
    <row r="28" spans="1:13" ht="30.75">
      <c r="A28" s="7">
        <v>45266</v>
      </c>
      <c r="B28" s="8">
        <v>70</v>
      </c>
      <c r="C28" s="2" t="s">
        <v>44</v>
      </c>
      <c r="D28" s="2" t="s">
        <v>1185</v>
      </c>
      <c r="E28" s="2" t="s">
        <v>23</v>
      </c>
      <c r="F28" s="2" t="s">
        <v>24</v>
      </c>
      <c r="G28" s="2">
        <v>21</v>
      </c>
      <c r="H28" s="2">
        <v>16564</v>
      </c>
      <c r="I28" s="2"/>
      <c r="J28" s="2">
        <v>24589</v>
      </c>
      <c r="K28" s="2"/>
      <c r="L28" s="2" t="s">
        <v>1724</v>
      </c>
      <c r="M28" s="2"/>
    </row>
    <row r="29" spans="1:13" ht="30.75">
      <c r="A29" s="7">
        <v>45103</v>
      </c>
      <c r="B29" s="8">
        <v>70</v>
      </c>
      <c r="C29" s="2" t="s">
        <v>57</v>
      </c>
      <c r="D29" s="7">
        <v>45103</v>
      </c>
      <c r="E29" s="2" t="s">
        <v>23</v>
      </c>
      <c r="F29" s="2" t="s">
        <v>24</v>
      </c>
      <c r="G29" s="2">
        <v>22</v>
      </c>
      <c r="H29" s="2">
        <v>17141</v>
      </c>
      <c r="I29" s="2"/>
      <c r="J29" s="2">
        <v>25655</v>
      </c>
      <c r="K29" s="2"/>
      <c r="L29" s="2" t="s">
        <v>1724</v>
      </c>
      <c r="M29" s="2">
        <v>2</v>
      </c>
    </row>
    <row r="30" spans="1:13" ht="30.75">
      <c r="A30" s="7">
        <v>45133</v>
      </c>
      <c r="B30" s="8">
        <v>70</v>
      </c>
      <c r="C30" s="2" t="s">
        <v>47</v>
      </c>
      <c r="D30" s="7">
        <v>45133</v>
      </c>
      <c r="E30" s="2" t="s">
        <v>23</v>
      </c>
      <c r="F30" s="2" t="s">
        <v>24</v>
      </c>
      <c r="G30" s="2">
        <v>23</v>
      </c>
      <c r="H30" s="2">
        <v>17890</v>
      </c>
      <c r="I30" s="2"/>
      <c r="J30" s="2">
        <v>26582</v>
      </c>
      <c r="K30" s="2"/>
      <c r="L30" s="2" t="s">
        <v>1724</v>
      </c>
      <c r="M30" s="2">
        <v>2</v>
      </c>
    </row>
    <row r="31" spans="1:13" ht="30.75">
      <c r="A31" s="7">
        <v>45167</v>
      </c>
      <c r="B31" s="8">
        <v>70</v>
      </c>
      <c r="C31" s="2" t="s">
        <v>50</v>
      </c>
      <c r="D31" s="7">
        <v>45167</v>
      </c>
      <c r="E31" s="2" t="s">
        <v>23</v>
      </c>
      <c r="F31" s="2" t="s">
        <v>24</v>
      </c>
      <c r="G31" s="2">
        <v>24</v>
      </c>
      <c r="H31" s="2" t="s">
        <v>1725</v>
      </c>
      <c r="I31" s="2"/>
      <c r="J31" s="2">
        <v>27933</v>
      </c>
      <c r="K31" s="2"/>
      <c r="L31" s="2" t="s">
        <v>1724</v>
      </c>
      <c r="M31" s="2">
        <v>2.2000000000000002</v>
      </c>
    </row>
    <row r="32" spans="1:13" ht="30.75">
      <c r="A32" s="7">
        <v>45197</v>
      </c>
      <c r="B32" s="8">
        <v>70</v>
      </c>
      <c r="C32" s="2" t="s">
        <v>22</v>
      </c>
      <c r="D32" s="7">
        <v>45197</v>
      </c>
      <c r="E32" s="2" t="s">
        <v>23</v>
      </c>
      <c r="F32" s="2" t="s">
        <v>24</v>
      </c>
      <c r="G32" s="2">
        <v>25</v>
      </c>
      <c r="H32" s="2">
        <v>19407</v>
      </c>
      <c r="I32" s="2"/>
      <c r="J32" s="2">
        <v>28892</v>
      </c>
      <c r="K32" s="2"/>
      <c r="L32" s="2" t="s">
        <v>1724</v>
      </c>
      <c r="M32" s="2">
        <v>2.2000000000000002</v>
      </c>
    </row>
    <row r="33" spans="1:13" ht="30.75">
      <c r="A33" s="7">
        <v>45229</v>
      </c>
      <c r="B33" s="8">
        <v>70</v>
      </c>
      <c r="C33" s="2" t="s">
        <v>54</v>
      </c>
      <c r="D33" s="7">
        <v>45229</v>
      </c>
      <c r="E33" s="2" t="s">
        <v>23</v>
      </c>
      <c r="F33" s="2" t="s">
        <v>24</v>
      </c>
      <c r="G33" s="2">
        <v>26</v>
      </c>
      <c r="H33" s="2">
        <v>19984</v>
      </c>
      <c r="I33" s="2"/>
      <c r="J33" s="2">
        <v>29746</v>
      </c>
      <c r="K33" s="2"/>
      <c r="L33" s="2" t="s">
        <v>1726</v>
      </c>
      <c r="M33" s="2">
        <v>1.2</v>
      </c>
    </row>
    <row r="34" spans="1:13" ht="30.75">
      <c r="A34" s="7">
        <v>45259</v>
      </c>
      <c r="B34" s="8">
        <v>70</v>
      </c>
      <c r="C34" s="2" t="s">
        <v>27</v>
      </c>
      <c r="D34" s="7">
        <v>45259</v>
      </c>
      <c r="E34" s="2" t="s">
        <v>23</v>
      </c>
      <c r="F34" s="2" t="s">
        <v>24</v>
      </c>
      <c r="G34" s="2">
        <v>27</v>
      </c>
      <c r="H34" s="2">
        <v>20848</v>
      </c>
      <c r="I34" s="2"/>
      <c r="J34" s="2">
        <v>30677</v>
      </c>
      <c r="K34" s="2">
        <v>32795</v>
      </c>
      <c r="L34" s="2" t="s">
        <v>273</v>
      </c>
      <c r="M34" s="2">
        <v>2.2000000000000002</v>
      </c>
    </row>
    <row r="35" spans="1:13" ht="30.75">
      <c r="A35" s="7">
        <v>45288</v>
      </c>
      <c r="B35" s="8">
        <v>70</v>
      </c>
      <c r="C35" s="2" t="s">
        <v>30</v>
      </c>
      <c r="D35" s="7">
        <v>45288</v>
      </c>
      <c r="E35" s="2" t="s">
        <v>23</v>
      </c>
      <c r="F35" s="2" t="s">
        <v>24</v>
      </c>
      <c r="G35" s="2">
        <v>28</v>
      </c>
      <c r="H35" s="2">
        <v>21474</v>
      </c>
      <c r="I35" s="2"/>
      <c r="J35" s="2">
        <v>31509</v>
      </c>
      <c r="K35" s="2">
        <v>33682</v>
      </c>
      <c r="L35" s="2" t="s">
        <v>1724</v>
      </c>
      <c r="M35" s="2">
        <v>1.2</v>
      </c>
    </row>
    <row r="36" spans="1:13" ht="30.75">
      <c r="A36" s="7">
        <v>45321</v>
      </c>
      <c r="B36" s="8">
        <v>70</v>
      </c>
      <c r="C36" s="2" t="s">
        <v>32</v>
      </c>
      <c r="D36" s="7">
        <v>45321</v>
      </c>
      <c r="E36" s="2" t="s">
        <v>23</v>
      </c>
      <c r="F36" s="2" t="s">
        <v>24</v>
      </c>
      <c r="G36" s="2">
        <v>29</v>
      </c>
      <c r="H36" s="2">
        <v>22186</v>
      </c>
      <c r="I36" s="2"/>
      <c r="J36" s="2">
        <v>32500</v>
      </c>
      <c r="K36" s="2">
        <v>34555</v>
      </c>
      <c r="L36" s="2" t="s">
        <v>72</v>
      </c>
      <c r="M36" s="2">
        <v>1.2</v>
      </c>
    </row>
    <row r="37" spans="1:13" ht="30.75">
      <c r="A37" s="7">
        <v>45351</v>
      </c>
      <c r="B37" s="8">
        <v>70</v>
      </c>
      <c r="C37" s="2" t="s">
        <v>34</v>
      </c>
      <c r="D37" s="7">
        <v>45351</v>
      </c>
      <c r="E37" s="2" t="s">
        <v>23</v>
      </c>
      <c r="F37" s="2" t="s">
        <v>24</v>
      </c>
      <c r="G37" s="2">
        <v>30</v>
      </c>
      <c r="H37" s="2">
        <v>22869</v>
      </c>
      <c r="I37" s="2"/>
      <c r="J37" s="2">
        <v>33388</v>
      </c>
      <c r="K37" s="2">
        <v>35472</v>
      </c>
      <c r="L37" s="2" t="s">
        <v>72</v>
      </c>
      <c r="M37" s="2">
        <v>1.8</v>
      </c>
    </row>
    <row r="38" spans="1:13" ht="30.75">
      <c r="A38" s="7">
        <v>45378</v>
      </c>
      <c r="B38" s="8">
        <v>70</v>
      </c>
      <c r="C38" s="2" t="s">
        <v>38</v>
      </c>
      <c r="D38" s="7">
        <v>45378</v>
      </c>
      <c r="E38" s="2" t="s">
        <v>23</v>
      </c>
      <c r="F38" s="2" t="s">
        <v>28</v>
      </c>
      <c r="G38" s="2">
        <v>31</v>
      </c>
      <c r="H38" s="2">
        <v>23450</v>
      </c>
      <c r="I38" s="2"/>
      <c r="J38" s="2">
        <v>34235</v>
      </c>
      <c r="K38" s="2">
        <v>36283</v>
      </c>
      <c r="L38" s="2" t="s">
        <v>26</v>
      </c>
      <c r="M38" s="2">
        <v>2.2000000000000002</v>
      </c>
    </row>
    <row r="39" spans="1:13" ht="30.75">
      <c r="A39" s="7">
        <v>45411</v>
      </c>
      <c r="B39" s="8">
        <v>70</v>
      </c>
      <c r="C39" s="2" t="s">
        <v>41</v>
      </c>
      <c r="D39" s="7">
        <v>45411</v>
      </c>
      <c r="E39" s="2" t="s">
        <v>23</v>
      </c>
      <c r="F39" s="2" t="s">
        <v>24</v>
      </c>
      <c r="G39" s="2">
        <v>32</v>
      </c>
      <c r="H39" s="2">
        <v>24214</v>
      </c>
      <c r="I39" s="2"/>
      <c r="J39" s="2">
        <v>35351</v>
      </c>
      <c r="K39" s="2">
        <v>37354</v>
      </c>
      <c r="L39" s="2" t="s">
        <v>72</v>
      </c>
      <c r="M39" s="2">
        <v>1.8</v>
      </c>
    </row>
    <row r="40" spans="1:13" ht="30.75">
      <c r="A40" s="7">
        <v>45442</v>
      </c>
      <c r="B40" s="8">
        <v>70</v>
      </c>
      <c r="C40" s="2" t="s">
        <v>44</v>
      </c>
      <c r="D40" s="7">
        <v>45442</v>
      </c>
      <c r="E40" s="2" t="s">
        <v>23</v>
      </c>
      <c r="F40" s="2" t="s">
        <v>24</v>
      </c>
      <c r="G40" s="2">
        <v>33</v>
      </c>
      <c r="H40" s="2">
        <v>24907</v>
      </c>
      <c r="I40" s="2"/>
      <c r="J40" s="2">
        <v>36256</v>
      </c>
      <c r="K40" s="2">
        <v>38292</v>
      </c>
      <c r="L40" s="2" t="s">
        <v>72</v>
      </c>
      <c r="M40" s="2">
        <v>1.8</v>
      </c>
    </row>
    <row r="41" spans="1:13" ht="30.75">
      <c r="A41" s="7">
        <v>45470</v>
      </c>
      <c r="B41" s="8">
        <v>70</v>
      </c>
      <c r="C41" s="2" t="s">
        <v>57</v>
      </c>
      <c r="D41" s="7">
        <v>45470</v>
      </c>
      <c r="E41" s="2" t="s">
        <v>23</v>
      </c>
      <c r="F41" s="2" t="s">
        <v>24</v>
      </c>
      <c r="G41" s="2">
        <v>34</v>
      </c>
      <c r="H41" s="2">
        <v>25754</v>
      </c>
      <c r="I41" s="2"/>
      <c r="J41" s="2">
        <v>37173</v>
      </c>
      <c r="K41" s="2">
        <v>39221</v>
      </c>
      <c r="L41" s="2" t="s">
        <v>72</v>
      </c>
      <c r="M41" s="2">
        <v>1.8</v>
      </c>
    </row>
    <row r="42" spans="1:13" ht="30.75">
      <c r="A42" s="7">
        <v>45535</v>
      </c>
      <c r="B42" s="8">
        <v>70</v>
      </c>
      <c r="C42" s="2" t="s">
        <v>50</v>
      </c>
      <c r="D42" s="7">
        <v>45535</v>
      </c>
      <c r="E42" s="2" t="s">
        <v>23</v>
      </c>
      <c r="F42" s="2" t="s">
        <v>28</v>
      </c>
      <c r="G42" s="2">
        <v>35</v>
      </c>
      <c r="H42" s="2">
        <v>27474</v>
      </c>
      <c r="I42" s="2"/>
      <c r="J42" s="2">
        <v>39189</v>
      </c>
      <c r="K42" s="2">
        <v>41331</v>
      </c>
      <c r="L42" s="2" t="s">
        <v>26</v>
      </c>
      <c r="M42" s="2">
        <v>7</v>
      </c>
    </row>
    <row r="43" spans="1:13" ht="30.75">
      <c r="A43" s="7">
        <v>45565</v>
      </c>
      <c r="B43" s="8">
        <v>70</v>
      </c>
      <c r="C43" s="2" t="s">
        <v>22</v>
      </c>
      <c r="D43" s="7">
        <v>45565</v>
      </c>
      <c r="E43" s="2" t="s">
        <v>23</v>
      </c>
      <c r="F43" s="2" t="s">
        <v>24</v>
      </c>
      <c r="G43" s="2">
        <v>36</v>
      </c>
      <c r="H43" s="2">
        <v>28263</v>
      </c>
      <c r="I43" s="2"/>
      <c r="J43" s="2">
        <v>40235</v>
      </c>
      <c r="K43" s="2">
        <v>42388</v>
      </c>
      <c r="L43" s="2" t="s">
        <v>72</v>
      </c>
      <c r="M43" s="2">
        <v>4.5</v>
      </c>
    </row>
    <row r="44" spans="1:13" ht="30.75">
      <c r="A44" s="7">
        <v>45596</v>
      </c>
      <c r="B44" s="8">
        <v>70</v>
      </c>
      <c r="C44" s="2" t="s">
        <v>54</v>
      </c>
      <c r="D44" s="7">
        <v>45596</v>
      </c>
      <c r="E44" s="2" t="s">
        <v>23</v>
      </c>
      <c r="F44" s="2" t="s">
        <v>24</v>
      </c>
      <c r="G44" s="2">
        <v>37</v>
      </c>
      <c r="H44" s="310">
        <v>29103</v>
      </c>
      <c r="I44" s="2"/>
      <c r="J44" s="2">
        <v>41287</v>
      </c>
      <c r="K44" s="2">
        <v>43470</v>
      </c>
      <c r="L44" s="2" t="s">
        <v>72</v>
      </c>
      <c r="M44" s="2">
        <v>4.5</v>
      </c>
    </row>
    <row r="45" spans="1:13" ht="30.75">
      <c r="A45" s="7">
        <v>45656</v>
      </c>
      <c r="B45" s="8">
        <v>70</v>
      </c>
      <c r="C45" s="2" t="s">
        <v>30</v>
      </c>
      <c r="D45" s="7">
        <v>45656</v>
      </c>
      <c r="E45" s="2" t="s">
        <v>23</v>
      </c>
      <c r="F45" s="2" t="s">
        <v>24</v>
      </c>
      <c r="G45" s="2">
        <v>38</v>
      </c>
      <c r="H45" s="2">
        <v>30715</v>
      </c>
      <c r="I45" s="2"/>
      <c r="J45" s="2">
        <v>43228</v>
      </c>
      <c r="K45" s="2">
        <v>45422</v>
      </c>
      <c r="L45" s="2" t="s">
        <v>72</v>
      </c>
      <c r="M45" s="2">
        <v>3.2</v>
      </c>
    </row>
    <row r="46" spans="1:13" ht="30.75">
      <c r="A46" s="7">
        <v>45716</v>
      </c>
      <c r="B46" s="8">
        <v>70</v>
      </c>
      <c r="C46" s="2" t="s">
        <v>34</v>
      </c>
      <c r="D46" s="7">
        <v>45716</v>
      </c>
      <c r="E46" s="2" t="s">
        <v>23</v>
      </c>
      <c r="F46" s="2" t="s">
        <v>24</v>
      </c>
      <c r="G46" s="2">
        <v>39</v>
      </c>
      <c r="H46" s="2">
        <v>32384</v>
      </c>
      <c r="I46" s="2"/>
      <c r="J46" s="2">
        <v>45437</v>
      </c>
      <c r="K46" s="2"/>
      <c r="L46" s="2" t="s">
        <v>26</v>
      </c>
      <c r="M46" s="2">
        <v>2.2999999999999998</v>
      </c>
    </row>
    <row r="47" spans="1:13" ht="30.75">
      <c r="A47" s="7">
        <v>45747</v>
      </c>
      <c r="B47" s="8">
        <v>70</v>
      </c>
      <c r="C47" s="2" t="s">
        <v>38</v>
      </c>
      <c r="D47" s="7">
        <v>45747</v>
      </c>
      <c r="E47" s="2" t="s">
        <v>23</v>
      </c>
      <c r="F47" s="2" t="s">
        <v>24</v>
      </c>
      <c r="G47" s="2">
        <v>40</v>
      </c>
      <c r="H47" s="2">
        <v>33160</v>
      </c>
      <c r="I47" s="2"/>
      <c r="J47" s="2">
        <v>46553</v>
      </c>
      <c r="K47" s="2"/>
      <c r="L47" s="2" t="s">
        <v>72</v>
      </c>
      <c r="M47" s="2">
        <v>2.5</v>
      </c>
    </row>
    <row r="48" spans="1:13" ht="30.75">
      <c r="A48" s="7">
        <v>45777</v>
      </c>
      <c r="B48" s="8">
        <v>70</v>
      </c>
      <c r="C48" s="2" t="s">
        <v>41</v>
      </c>
      <c r="D48" s="7">
        <v>45777</v>
      </c>
      <c r="E48" s="2" t="s">
        <v>23</v>
      </c>
      <c r="F48" s="2" t="s">
        <v>24</v>
      </c>
      <c r="G48" s="2">
        <v>41</v>
      </c>
      <c r="H48" s="2">
        <v>33971</v>
      </c>
      <c r="I48" s="2"/>
      <c r="J48" s="2">
        <v>47636</v>
      </c>
      <c r="K48" s="2"/>
      <c r="L48" s="2" t="s">
        <v>72</v>
      </c>
      <c r="M48" s="2">
        <v>1.7</v>
      </c>
    </row>
    <row r="49" spans="1:13" ht="30.75">
      <c r="A49" s="7">
        <v>45810</v>
      </c>
      <c r="B49" s="8">
        <v>70</v>
      </c>
      <c r="C49" s="2" t="s">
        <v>44</v>
      </c>
      <c r="D49" s="7">
        <v>45808</v>
      </c>
      <c r="E49" s="2" t="s">
        <v>23</v>
      </c>
      <c r="F49" s="2" t="s">
        <v>24</v>
      </c>
      <c r="G49" s="2">
        <v>42</v>
      </c>
      <c r="H49" s="2">
        <v>34853</v>
      </c>
      <c r="I49" s="2"/>
      <c r="J49" s="2">
        <v>222</v>
      </c>
      <c r="K49" s="2"/>
      <c r="L49" s="2" t="s">
        <v>72</v>
      </c>
      <c r="M49" s="2">
        <v>1.7</v>
      </c>
    </row>
    <row r="50" spans="1:13" ht="30.75">
      <c r="A50" s="7">
        <v>45930</v>
      </c>
      <c r="B50" s="8">
        <v>70</v>
      </c>
      <c r="C50" s="2" t="s">
        <v>22</v>
      </c>
      <c r="D50" s="7">
        <v>45930</v>
      </c>
      <c r="E50" s="2" t="s">
        <v>23</v>
      </c>
      <c r="F50" s="2" t="s">
        <v>24</v>
      </c>
      <c r="G50" s="2">
        <v>43</v>
      </c>
      <c r="H50" s="2">
        <v>38113</v>
      </c>
      <c r="I50" s="2"/>
      <c r="J50" s="2">
        <v>52134</v>
      </c>
      <c r="K50" s="2"/>
      <c r="L50" s="2" t="s">
        <v>72</v>
      </c>
      <c r="M50" s="2">
        <v>2</v>
      </c>
    </row>
    <row r="51" spans="1:13" ht="30.75">
      <c r="A51" s="7">
        <v>45989</v>
      </c>
      <c r="B51" s="8">
        <v>70</v>
      </c>
      <c r="C51" s="2" t="s">
        <v>27</v>
      </c>
      <c r="D51" s="7">
        <v>45989</v>
      </c>
      <c r="E51" s="2" t="s">
        <v>23</v>
      </c>
      <c r="F51" s="2" t="s">
        <v>24</v>
      </c>
      <c r="G51" s="2">
        <v>44</v>
      </c>
      <c r="H51" s="2">
        <v>39719</v>
      </c>
      <c r="I51" s="2"/>
      <c r="J51" s="2">
        <v>54433</v>
      </c>
      <c r="K51" s="2"/>
      <c r="L51" s="2" t="s">
        <v>72</v>
      </c>
      <c r="M51" s="2">
        <v>1</v>
      </c>
    </row>
    <row r="52" spans="1:13" ht="30.75">
      <c r="A52" s="7">
        <v>46057</v>
      </c>
      <c r="B52" s="8">
        <v>70</v>
      </c>
      <c r="C52" s="2" t="s">
        <v>32</v>
      </c>
      <c r="D52" s="7">
        <v>46053</v>
      </c>
      <c r="E52" s="2" t="s">
        <v>23</v>
      </c>
      <c r="F52" s="2" t="s">
        <v>24</v>
      </c>
      <c r="G52" s="2">
        <v>45</v>
      </c>
      <c r="H52" s="2">
        <v>41556</v>
      </c>
      <c r="I52" s="2"/>
      <c r="J52" s="2">
        <v>56473</v>
      </c>
      <c r="K52" s="2"/>
      <c r="L52" s="2" t="s">
        <v>72</v>
      </c>
      <c r="M52" s="2" t="s">
        <v>1727</v>
      </c>
    </row>
    <row r="53" spans="1:13" ht="30.75">
      <c r="A53" s="7">
        <v>46112</v>
      </c>
      <c r="B53" s="8">
        <v>70</v>
      </c>
      <c r="C53" s="2" t="s">
        <v>34</v>
      </c>
      <c r="D53" s="7">
        <v>46081</v>
      </c>
      <c r="E53" s="2" t="s">
        <v>23</v>
      </c>
      <c r="F53" s="2" t="s">
        <v>28</v>
      </c>
      <c r="G53" s="2">
        <v>46</v>
      </c>
      <c r="H53" s="2">
        <v>42419</v>
      </c>
      <c r="I53" s="2"/>
      <c r="J53" s="2">
        <v>58393</v>
      </c>
      <c r="K53" s="2"/>
      <c r="L53" s="2" t="s">
        <v>26</v>
      </c>
      <c r="M53" s="2">
        <v>1.1000000000000001</v>
      </c>
    </row>
    <row r="54" spans="1:13" ht="30.75">
      <c r="A54" s="7">
        <v>46112</v>
      </c>
      <c r="B54" s="8">
        <v>70</v>
      </c>
      <c r="C54" s="2" t="s">
        <v>38</v>
      </c>
      <c r="D54" s="7">
        <v>46112</v>
      </c>
      <c r="E54" s="2" t="s">
        <v>23</v>
      </c>
      <c r="F54" s="2" t="s">
        <v>28</v>
      </c>
      <c r="G54" s="2"/>
      <c r="H54" s="2">
        <v>43258</v>
      </c>
      <c r="I54" s="2"/>
      <c r="J54" s="2">
        <v>59571</v>
      </c>
      <c r="K54" s="2"/>
      <c r="L54" s="2" t="s">
        <v>26</v>
      </c>
      <c r="M54" s="2">
        <v>1.1000000000000001</v>
      </c>
    </row>
    <row r="55" spans="1:13" ht="30.75">
      <c r="A55" s="7">
        <v>46142</v>
      </c>
      <c r="B55" s="8">
        <v>70</v>
      </c>
      <c r="C55" s="2" t="s">
        <v>41</v>
      </c>
      <c r="D55" s="7">
        <v>46141</v>
      </c>
      <c r="E55" s="2" t="s">
        <v>23</v>
      </c>
      <c r="F55" s="2" t="s">
        <v>24</v>
      </c>
      <c r="G55" s="2"/>
      <c r="H55" s="2">
        <v>44090</v>
      </c>
      <c r="I55" s="2"/>
      <c r="J55" s="2">
        <v>60984</v>
      </c>
      <c r="K55" s="2"/>
      <c r="L55" s="2" t="s">
        <v>72</v>
      </c>
      <c r="M55" s="2">
        <v>1.2</v>
      </c>
    </row>
  </sheetData>
  <mergeCells count="5">
    <mergeCell ref="A1:E1"/>
    <mergeCell ref="B2:C2"/>
    <mergeCell ref="F4:G4"/>
    <mergeCell ref="I4:L4"/>
    <mergeCell ref="E2:H2"/>
  </mergeCells>
  <dataValidations count="2">
    <dataValidation type="list" allowBlank="1" showInputMessage="1" showErrorMessage="1" sqref="F7:F55" xr:uid="{00000000-0002-0000-1100-000001000000}">
      <formula1>"EFECTIVO, CHEQUE, TRANSFERENCIA,DEPOSITO"</formula1>
    </dataValidation>
    <dataValidation type="list" allowBlank="1" showInputMessage="1" showErrorMessage="1" sqref="C7:C55" xr:uid="{00000000-0002-0000-1100-000000000000}">
      <formula1>"ENERO,FEBRERO,MARZO,ABRIL,MAYO,JUNIO,JULIO,AGOSTO,SEPTIEMBRE,OCTUBRE,NOVIEMBRE,DICIEMBRE"</formula1>
    </dataValidation>
  </dataValidations>
  <hyperlinks>
    <hyperlink ref="B3" r:id="rId1" xr:uid="{00000000-0004-0000-1100-000000000000}"/>
  </hyperlinks>
  <pageMargins left="0.7" right="0.7" top="0.75" bottom="0.75" header="0.3" footer="0.3"/>
  <pageSetup orientation="portrait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1265-51FB-41B6-9997-5D34D54F4866}">
  <sheetPr>
    <tabColor rgb="FFFF0000"/>
  </sheetPr>
  <dimension ref="A1:K108"/>
  <sheetViews>
    <sheetView zoomScale="80" zoomScaleNormal="80" workbookViewId="0">
      <selection activeCell="B2" sqref="B2"/>
    </sheetView>
  </sheetViews>
  <sheetFormatPr defaultColWidth="11.42578125" defaultRowHeight="15"/>
  <cols>
    <col min="1" max="1" width="17.85546875" customWidth="1"/>
    <col min="2" max="2" width="23.7109375" customWidth="1"/>
    <col min="3" max="3" width="23.85546875" customWidth="1"/>
    <col min="4" max="4" width="25.140625" customWidth="1"/>
    <col min="5" max="5" width="18.42578125" customWidth="1"/>
    <col min="6" max="6" width="22.85546875" customWidth="1"/>
    <col min="7" max="7" width="17" customWidth="1"/>
    <col min="8" max="8" width="17.28515625" customWidth="1"/>
    <col min="9" max="9" width="20" customWidth="1"/>
    <col min="10" max="10" width="21" customWidth="1"/>
    <col min="11" max="11" width="19.85546875" customWidth="1"/>
  </cols>
  <sheetData>
    <row r="1" spans="1:11" ht="21">
      <c r="A1" s="733" t="s">
        <v>1728</v>
      </c>
      <c r="B1" s="733"/>
      <c r="C1" s="733"/>
      <c r="D1" s="733"/>
      <c r="E1" s="733"/>
      <c r="F1" s="733"/>
      <c r="G1" s="733"/>
    </row>
    <row r="2" spans="1:11" ht="30">
      <c r="A2" s="2" t="s">
        <v>1729</v>
      </c>
      <c r="B2" s="2" t="s">
        <v>1730</v>
      </c>
    </row>
    <row r="3" spans="1:11">
      <c r="A3" s="2" t="s">
        <v>1</v>
      </c>
      <c r="B3" s="2">
        <v>10447468561</v>
      </c>
    </row>
    <row r="4" spans="1:11" ht="48.75">
      <c r="A4" s="2" t="s">
        <v>2</v>
      </c>
      <c r="B4" s="2" t="s">
        <v>1731</v>
      </c>
      <c r="D4" s="149" t="s">
        <v>341</v>
      </c>
      <c r="F4" s="735" t="s">
        <v>74</v>
      </c>
      <c r="G4" s="735"/>
      <c r="I4" s="651"/>
      <c r="J4" s="651"/>
    </row>
    <row r="5" spans="1:11" ht="15.75">
      <c r="A5" s="150" t="s">
        <v>1732</v>
      </c>
      <c r="B5" s="151">
        <v>44070</v>
      </c>
    </row>
    <row r="7" spans="1:11" ht="19.5" thickBot="1">
      <c r="A7" s="152" t="s">
        <v>7</v>
      </c>
      <c r="B7" s="152" t="s">
        <v>8</v>
      </c>
      <c r="C7" s="152" t="s">
        <v>9</v>
      </c>
      <c r="D7" s="152" t="s">
        <v>10</v>
      </c>
      <c r="E7" s="152" t="s">
        <v>11</v>
      </c>
      <c r="F7" s="152" t="s">
        <v>12</v>
      </c>
      <c r="G7" s="152" t="s">
        <v>13</v>
      </c>
      <c r="H7" s="152" t="s">
        <v>14</v>
      </c>
      <c r="I7" s="152" t="s">
        <v>15</v>
      </c>
      <c r="J7" s="152" t="s">
        <v>16</v>
      </c>
      <c r="K7" s="152" t="s">
        <v>18</v>
      </c>
    </row>
    <row r="8" spans="1:11">
      <c r="A8" s="153">
        <v>44076</v>
      </c>
      <c r="B8" s="154">
        <v>94.4</v>
      </c>
      <c r="C8" t="s">
        <v>50</v>
      </c>
      <c r="D8" s="153">
        <v>44070</v>
      </c>
      <c r="E8" s="2" t="s">
        <v>23</v>
      </c>
      <c r="F8" t="s">
        <v>24</v>
      </c>
      <c r="G8">
        <v>1</v>
      </c>
      <c r="H8">
        <v>744</v>
      </c>
      <c r="I8" s="76" t="s">
        <v>1733</v>
      </c>
      <c r="J8" s="76" t="s">
        <v>1734</v>
      </c>
      <c r="K8" t="s">
        <v>26</v>
      </c>
    </row>
    <row r="9" spans="1:11">
      <c r="A9" s="153">
        <v>44134</v>
      </c>
      <c r="B9" s="154">
        <v>94.4</v>
      </c>
      <c r="C9" t="s">
        <v>22</v>
      </c>
      <c r="D9" s="153">
        <v>44104</v>
      </c>
      <c r="E9" s="2" t="s">
        <v>23</v>
      </c>
      <c r="F9" t="s">
        <v>24</v>
      </c>
      <c r="G9">
        <v>2</v>
      </c>
      <c r="H9">
        <v>931</v>
      </c>
      <c r="I9" s="76" t="s">
        <v>1733</v>
      </c>
      <c r="J9" s="76" t="s">
        <v>1735</v>
      </c>
      <c r="K9" t="s">
        <v>26</v>
      </c>
    </row>
    <row r="10" spans="1:11">
      <c r="A10" s="153">
        <v>44134</v>
      </c>
      <c r="B10" s="154">
        <v>94.4</v>
      </c>
      <c r="C10" t="s">
        <v>54</v>
      </c>
      <c r="D10" s="153">
        <v>44133</v>
      </c>
      <c r="E10" s="2" t="s">
        <v>23</v>
      </c>
      <c r="F10" t="s">
        <v>24</v>
      </c>
      <c r="G10">
        <v>3</v>
      </c>
      <c r="H10">
        <v>1108</v>
      </c>
      <c r="I10" s="76" t="s">
        <v>1733</v>
      </c>
      <c r="J10" s="76" t="s">
        <v>1736</v>
      </c>
      <c r="K10" t="s">
        <v>26</v>
      </c>
    </row>
    <row r="11" spans="1:11" ht="30">
      <c r="A11" s="153">
        <v>44163</v>
      </c>
      <c r="B11" s="154">
        <v>101.4</v>
      </c>
      <c r="C11" t="s">
        <v>27</v>
      </c>
      <c r="D11" s="153">
        <v>44161</v>
      </c>
      <c r="E11" s="2" t="s">
        <v>23</v>
      </c>
      <c r="F11" t="s">
        <v>24</v>
      </c>
      <c r="G11">
        <v>4</v>
      </c>
      <c r="H11">
        <v>1314</v>
      </c>
      <c r="I11" s="76" t="s">
        <v>1733</v>
      </c>
      <c r="J11" s="76" t="s">
        <v>1737</v>
      </c>
      <c r="K11" s="2" t="s">
        <v>1738</v>
      </c>
    </row>
    <row r="12" spans="1:11" ht="30">
      <c r="A12" s="153">
        <v>44225</v>
      </c>
      <c r="B12" s="154">
        <v>101.4</v>
      </c>
      <c r="C12" t="s">
        <v>30</v>
      </c>
      <c r="D12" s="153">
        <v>44532</v>
      </c>
      <c r="E12" s="2" t="s">
        <v>23</v>
      </c>
      <c r="F12" t="s">
        <v>24</v>
      </c>
      <c r="G12">
        <v>5</v>
      </c>
      <c r="H12">
        <v>1598</v>
      </c>
      <c r="I12" s="76" t="s">
        <v>1733</v>
      </c>
      <c r="J12" s="76" t="s">
        <v>1739</v>
      </c>
      <c r="K12" s="2" t="s">
        <v>1738</v>
      </c>
    </row>
    <row r="13" spans="1:11" ht="30">
      <c r="A13" s="153">
        <v>44319</v>
      </c>
      <c r="B13" s="154">
        <v>101.4</v>
      </c>
      <c r="C13" t="s">
        <v>32</v>
      </c>
      <c r="D13" s="153">
        <v>44226</v>
      </c>
      <c r="E13" s="2" t="s">
        <v>23</v>
      </c>
      <c r="F13" t="s">
        <v>24</v>
      </c>
      <c r="G13">
        <v>6</v>
      </c>
      <c r="H13">
        <v>1868</v>
      </c>
      <c r="I13" s="76" t="s">
        <v>1733</v>
      </c>
      <c r="J13" s="76" t="s">
        <v>1740</v>
      </c>
      <c r="K13" s="2" t="s">
        <v>1738</v>
      </c>
    </row>
    <row r="14" spans="1:11">
      <c r="A14" s="153"/>
      <c r="B14" s="154"/>
      <c r="D14" s="153"/>
      <c r="E14" s="2" t="s">
        <v>23</v>
      </c>
      <c r="I14" s="76" t="s">
        <v>1733</v>
      </c>
      <c r="J14" s="76"/>
    </row>
    <row r="15" spans="1:11">
      <c r="A15" s="153"/>
      <c r="B15" s="154"/>
      <c r="D15" s="153"/>
      <c r="E15" s="2" t="s">
        <v>23</v>
      </c>
      <c r="I15" s="76" t="s">
        <v>1733</v>
      </c>
      <c r="J15" s="76"/>
    </row>
    <row r="16" spans="1:11">
      <c r="A16" s="153"/>
      <c r="B16" s="154"/>
      <c r="D16" s="153"/>
      <c r="E16" s="2" t="s">
        <v>23</v>
      </c>
      <c r="I16" s="76" t="s">
        <v>1733</v>
      </c>
      <c r="J16" s="76"/>
    </row>
    <row r="17" spans="1:11">
      <c r="A17" s="153"/>
      <c r="B17" s="154"/>
      <c r="D17" s="153"/>
      <c r="E17" s="2" t="s">
        <v>23</v>
      </c>
      <c r="I17" s="76" t="s">
        <v>1733</v>
      </c>
      <c r="J17" s="76"/>
    </row>
    <row r="18" spans="1:11">
      <c r="A18" s="153"/>
      <c r="B18" s="154"/>
      <c r="D18" s="153"/>
      <c r="E18" s="2" t="s">
        <v>23</v>
      </c>
      <c r="I18" s="76" t="s">
        <v>1733</v>
      </c>
      <c r="J18" s="76"/>
    </row>
    <row r="19" spans="1:11">
      <c r="B19" s="154"/>
      <c r="E19" s="2" t="s">
        <v>23</v>
      </c>
      <c r="I19" s="76" t="s">
        <v>1733</v>
      </c>
      <c r="J19" s="76"/>
    </row>
    <row r="20" spans="1:11">
      <c r="I20" s="76" t="s">
        <v>1733</v>
      </c>
    </row>
    <row r="21" spans="1:11">
      <c r="I21" s="76" t="s">
        <v>1733</v>
      </c>
    </row>
    <row r="25" spans="1:11" ht="18.75">
      <c r="B25" s="155"/>
      <c r="C25" s="155"/>
      <c r="D25" s="156"/>
      <c r="E25" s="156"/>
      <c r="F25" s="156"/>
      <c r="G25" s="155"/>
      <c r="H25" s="156"/>
      <c r="I25" s="156"/>
      <c r="J25" s="156"/>
      <c r="K25" s="156"/>
    </row>
    <row r="26" spans="1:11">
      <c r="B26" s="153"/>
      <c r="C26" s="154"/>
      <c r="F26" s="153"/>
      <c r="G26" s="2"/>
      <c r="K26" s="2"/>
    </row>
    <row r="27" spans="1:11">
      <c r="C27" s="154"/>
    </row>
    <row r="28" spans="1:11">
      <c r="C28" s="154"/>
    </row>
    <row r="29" spans="1:11">
      <c r="C29" s="154"/>
    </row>
    <row r="30" spans="1:11">
      <c r="C30" s="154"/>
    </row>
    <row r="31" spans="1:11">
      <c r="C31" s="154"/>
    </row>
    <row r="32" spans="1:11">
      <c r="C32" s="154"/>
    </row>
    <row r="33" spans="3:3">
      <c r="C33" s="154"/>
    </row>
    <row r="34" spans="3:3">
      <c r="C34" s="154"/>
    </row>
    <row r="35" spans="3:3">
      <c r="C35" s="154"/>
    </row>
    <row r="36" spans="3:3">
      <c r="C36" s="154"/>
    </row>
    <row r="37" spans="3:3">
      <c r="C37" s="154"/>
    </row>
    <row r="72" spans="1:11" ht="21">
      <c r="A72" s="734" t="s">
        <v>1728</v>
      </c>
      <c r="B72" s="734"/>
      <c r="C72" s="734"/>
      <c r="D72" s="734"/>
      <c r="E72" s="734"/>
      <c r="F72" s="734"/>
      <c r="G72" s="734"/>
    </row>
    <row r="73" spans="1:11" ht="30">
      <c r="A73" s="2" t="s">
        <v>1729</v>
      </c>
      <c r="B73" s="2" t="s">
        <v>1730</v>
      </c>
    </row>
    <row r="74" spans="1:11">
      <c r="A74" s="2" t="s">
        <v>1</v>
      </c>
      <c r="B74" s="2">
        <v>10447468561</v>
      </c>
    </row>
    <row r="75" spans="1:11" ht="48.75">
      <c r="A75" s="2" t="s">
        <v>2</v>
      </c>
      <c r="B75" s="2" t="s">
        <v>1731</v>
      </c>
      <c r="D75" s="157" t="s">
        <v>341</v>
      </c>
      <c r="G75" t="s">
        <v>1741</v>
      </c>
    </row>
    <row r="76" spans="1:11" ht="15.75">
      <c r="A76" s="158" t="s">
        <v>1732</v>
      </c>
      <c r="B76" s="159">
        <v>43661</v>
      </c>
    </row>
    <row r="78" spans="1:11" ht="19.5" thickBot="1">
      <c r="A78" s="160" t="s">
        <v>7</v>
      </c>
      <c r="B78" s="160" t="s">
        <v>8</v>
      </c>
      <c r="C78" s="160" t="s">
        <v>9</v>
      </c>
      <c r="D78" s="160" t="s">
        <v>10</v>
      </c>
      <c r="E78" s="160" t="s">
        <v>11</v>
      </c>
      <c r="F78" s="160" t="s">
        <v>12</v>
      </c>
      <c r="G78" s="160" t="s">
        <v>13</v>
      </c>
      <c r="H78" s="160" t="s">
        <v>14</v>
      </c>
      <c r="I78" s="160" t="s">
        <v>15</v>
      </c>
      <c r="J78" s="160" t="s">
        <v>16</v>
      </c>
      <c r="K78" s="160" t="s">
        <v>18</v>
      </c>
    </row>
    <row r="79" spans="1:11">
      <c r="A79" s="153">
        <v>43664</v>
      </c>
      <c r="B79" s="154">
        <v>80</v>
      </c>
      <c r="C79" t="s">
        <v>47</v>
      </c>
      <c r="D79" s="153">
        <v>43708</v>
      </c>
      <c r="E79" s="2" t="s">
        <v>23</v>
      </c>
      <c r="F79" t="s">
        <v>1742</v>
      </c>
      <c r="G79">
        <v>1</v>
      </c>
      <c r="H79">
        <v>1</v>
      </c>
      <c r="I79" s="76" t="s">
        <v>1743</v>
      </c>
      <c r="J79" s="76" t="s">
        <v>1744</v>
      </c>
      <c r="K79" t="s">
        <v>1745</v>
      </c>
    </row>
    <row r="80" spans="1:11">
      <c r="A80" s="153">
        <v>43704</v>
      </c>
      <c r="B80" s="154">
        <v>94.4</v>
      </c>
      <c r="C80" t="s">
        <v>50</v>
      </c>
      <c r="D80" s="153">
        <v>43736</v>
      </c>
      <c r="E80" s="2" t="s">
        <v>23</v>
      </c>
      <c r="F80" t="s">
        <v>24</v>
      </c>
      <c r="G80">
        <v>2</v>
      </c>
      <c r="H80">
        <v>17</v>
      </c>
      <c r="I80" s="76" t="s">
        <v>1743</v>
      </c>
      <c r="J80" s="76" t="s">
        <v>1746</v>
      </c>
      <c r="K80" t="s">
        <v>26</v>
      </c>
    </row>
    <row r="81" spans="1:11">
      <c r="A81" s="153">
        <v>43738</v>
      </c>
      <c r="B81" s="154">
        <v>94.4</v>
      </c>
      <c r="C81" t="s">
        <v>22</v>
      </c>
      <c r="D81" s="153">
        <v>43761</v>
      </c>
      <c r="E81" s="2" t="s">
        <v>23</v>
      </c>
      <c r="F81" t="s">
        <v>24</v>
      </c>
      <c r="G81">
        <v>3</v>
      </c>
      <c r="H81">
        <v>42</v>
      </c>
      <c r="I81" s="76" t="s">
        <v>1743</v>
      </c>
      <c r="J81" s="76" t="s">
        <v>1747</v>
      </c>
      <c r="K81" t="s">
        <v>26</v>
      </c>
    </row>
    <row r="82" spans="1:11">
      <c r="A82" s="153">
        <v>43761</v>
      </c>
      <c r="B82" s="154">
        <v>94.4</v>
      </c>
      <c r="C82" t="s">
        <v>54</v>
      </c>
      <c r="D82" s="153">
        <v>43798</v>
      </c>
      <c r="E82" s="2" t="s">
        <v>23</v>
      </c>
      <c r="F82" t="s">
        <v>1742</v>
      </c>
      <c r="G82">
        <v>4</v>
      </c>
      <c r="H82">
        <v>65</v>
      </c>
      <c r="I82" s="76" t="s">
        <v>1743</v>
      </c>
      <c r="J82" s="76" t="s">
        <v>1673</v>
      </c>
      <c r="K82" t="s">
        <v>26</v>
      </c>
    </row>
    <row r="83" spans="1:11">
      <c r="A83" s="153">
        <v>43798</v>
      </c>
      <c r="B83" s="154">
        <v>94.4</v>
      </c>
      <c r="C83" t="s">
        <v>27</v>
      </c>
      <c r="D83" s="153">
        <v>43827</v>
      </c>
      <c r="E83" s="2" t="s">
        <v>23</v>
      </c>
      <c r="F83" t="s">
        <v>28</v>
      </c>
      <c r="G83">
        <v>5</v>
      </c>
      <c r="H83">
        <v>115</v>
      </c>
      <c r="I83" s="76" t="s">
        <v>1743</v>
      </c>
      <c r="J83" s="76" t="s">
        <v>1748</v>
      </c>
      <c r="K83" t="s">
        <v>26</v>
      </c>
    </row>
    <row r="84" spans="1:11">
      <c r="A84" s="153">
        <v>43829</v>
      </c>
      <c r="B84" s="154">
        <v>94.4</v>
      </c>
      <c r="C84" t="s">
        <v>30</v>
      </c>
      <c r="D84" s="153">
        <v>43860</v>
      </c>
      <c r="E84" s="2" t="s">
        <v>23</v>
      </c>
      <c r="F84" t="s">
        <v>1742</v>
      </c>
      <c r="G84">
        <v>6</v>
      </c>
      <c r="H84">
        <v>164</v>
      </c>
      <c r="I84" s="76" t="s">
        <v>1743</v>
      </c>
      <c r="J84" s="76" t="s">
        <v>1749</v>
      </c>
      <c r="K84" t="s">
        <v>26</v>
      </c>
    </row>
    <row r="85" spans="1:11">
      <c r="A85" s="153">
        <v>43892</v>
      </c>
      <c r="B85" s="154">
        <v>94.4</v>
      </c>
      <c r="C85" t="s">
        <v>32</v>
      </c>
      <c r="D85" s="153">
        <v>43888</v>
      </c>
      <c r="E85" s="2" t="s">
        <v>23</v>
      </c>
      <c r="F85" t="s">
        <v>1742</v>
      </c>
      <c r="G85">
        <v>7</v>
      </c>
      <c r="H85">
        <v>251</v>
      </c>
      <c r="I85" s="76" t="s">
        <v>1743</v>
      </c>
      <c r="J85" s="76" t="s">
        <v>1750</v>
      </c>
      <c r="K85" t="s">
        <v>26</v>
      </c>
    </row>
    <row r="86" spans="1:11">
      <c r="A86" s="153">
        <v>43979</v>
      </c>
      <c r="B86" s="154">
        <v>94.4</v>
      </c>
      <c r="C86" t="s">
        <v>34</v>
      </c>
      <c r="D86" s="153">
        <v>43953</v>
      </c>
      <c r="E86" s="2" t="s">
        <v>23</v>
      </c>
      <c r="F86" t="s">
        <v>28</v>
      </c>
      <c r="G86">
        <v>8</v>
      </c>
      <c r="H86">
        <v>344</v>
      </c>
      <c r="I86" s="76" t="s">
        <v>1743</v>
      </c>
      <c r="J86" s="76" t="s">
        <v>1751</v>
      </c>
      <c r="K86" t="s">
        <v>26</v>
      </c>
    </row>
    <row r="87" spans="1:11">
      <c r="A87" s="153">
        <v>44016</v>
      </c>
      <c r="B87" s="154">
        <v>94.4</v>
      </c>
      <c r="C87" t="s">
        <v>38</v>
      </c>
      <c r="D87" s="153">
        <v>43981</v>
      </c>
      <c r="E87" s="2" t="s">
        <v>23</v>
      </c>
      <c r="F87" t="s">
        <v>24</v>
      </c>
      <c r="G87">
        <v>9</v>
      </c>
      <c r="H87">
        <v>406</v>
      </c>
      <c r="I87" s="76" t="s">
        <v>1743</v>
      </c>
      <c r="J87" s="76" t="s">
        <v>1752</v>
      </c>
      <c r="K87" t="s">
        <v>26</v>
      </c>
    </row>
    <row r="88" spans="1:11">
      <c r="A88" s="153">
        <v>44016</v>
      </c>
      <c r="B88" s="154">
        <v>94.4</v>
      </c>
      <c r="C88" t="s">
        <v>41</v>
      </c>
      <c r="D88" s="153">
        <v>44016</v>
      </c>
      <c r="E88" s="2" t="s">
        <v>23</v>
      </c>
      <c r="F88" t="s">
        <v>24</v>
      </c>
      <c r="G88">
        <v>10</v>
      </c>
      <c r="H88">
        <v>511</v>
      </c>
      <c r="I88" s="76" t="s">
        <v>1743</v>
      </c>
      <c r="J88" s="76" t="s">
        <v>1753</v>
      </c>
      <c r="K88" t="s">
        <v>26</v>
      </c>
    </row>
    <row r="89" spans="1:11">
      <c r="A89" s="153">
        <v>44055</v>
      </c>
      <c r="B89" s="154">
        <v>94.4</v>
      </c>
      <c r="C89" t="s">
        <v>44</v>
      </c>
      <c r="D89" s="153">
        <v>44042</v>
      </c>
      <c r="E89" s="2" t="s">
        <v>23</v>
      </c>
      <c r="G89">
        <v>11</v>
      </c>
      <c r="H89">
        <v>635</v>
      </c>
      <c r="I89" s="76" t="s">
        <v>1743</v>
      </c>
      <c r="J89" s="76" t="s">
        <v>1754</v>
      </c>
      <c r="K89" t="s">
        <v>26</v>
      </c>
    </row>
    <row r="90" spans="1:11">
      <c r="B90" s="154"/>
      <c r="E90" s="2" t="s">
        <v>23</v>
      </c>
      <c r="I90" s="76" t="s">
        <v>1743</v>
      </c>
      <c r="J90" s="76"/>
    </row>
    <row r="96" spans="1:11" ht="37.5">
      <c r="B96" s="161" t="s">
        <v>7</v>
      </c>
      <c r="C96" s="161" t="s">
        <v>8</v>
      </c>
      <c r="D96" s="162" t="s">
        <v>9</v>
      </c>
      <c r="E96" s="162" t="s">
        <v>1755</v>
      </c>
      <c r="F96" s="162" t="s">
        <v>10</v>
      </c>
      <c r="G96" s="161" t="s">
        <v>11</v>
      </c>
      <c r="H96" s="162" t="s">
        <v>12</v>
      </c>
      <c r="I96" s="162" t="s">
        <v>1756</v>
      </c>
      <c r="J96" s="162" t="s">
        <v>13</v>
      </c>
      <c r="K96" s="162" t="s">
        <v>1757</v>
      </c>
    </row>
    <row r="97" spans="2:11" ht="30">
      <c r="B97" s="153">
        <v>43860</v>
      </c>
      <c r="C97" s="154">
        <v>7.08</v>
      </c>
      <c r="D97" t="s">
        <v>30</v>
      </c>
      <c r="E97">
        <v>1</v>
      </c>
      <c r="F97" s="153">
        <v>43860</v>
      </c>
      <c r="G97" s="2" t="s">
        <v>1758</v>
      </c>
      <c r="H97" t="s">
        <v>28</v>
      </c>
      <c r="I97">
        <v>207</v>
      </c>
      <c r="J97">
        <v>6</v>
      </c>
      <c r="K97" s="2" t="s">
        <v>26</v>
      </c>
    </row>
    <row r="98" spans="2:11">
      <c r="C98" s="154"/>
    </row>
    <row r="99" spans="2:11">
      <c r="C99" s="154"/>
    </row>
    <row r="100" spans="2:11">
      <c r="C100" s="154"/>
    </row>
    <row r="101" spans="2:11">
      <c r="C101" s="154"/>
    </row>
    <row r="102" spans="2:11">
      <c r="C102" s="154"/>
    </row>
    <row r="103" spans="2:11">
      <c r="C103" s="154"/>
    </row>
    <row r="104" spans="2:11">
      <c r="C104" s="154"/>
    </row>
    <row r="105" spans="2:11">
      <c r="C105" s="154"/>
    </row>
    <row r="106" spans="2:11">
      <c r="C106" s="154"/>
    </row>
    <row r="107" spans="2:11">
      <c r="C107" s="154"/>
    </row>
    <row r="108" spans="2:11">
      <c r="C108" s="154"/>
    </row>
  </sheetData>
  <mergeCells count="4">
    <mergeCell ref="A1:G1"/>
    <mergeCell ref="A72:G72"/>
    <mergeCell ref="F4:G4"/>
    <mergeCell ref="I4:J4"/>
  </mergeCells>
  <dataValidations count="2">
    <dataValidation type="list" allowBlank="1" showInputMessage="1" showErrorMessage="1" sqref="C8:C21 D26:D37 C79:C90 D97:D108" xr:uid="{00000000-0002-0000-1200-000000000000}">
      <formula1>"ENERO,FEBRERO,MARZO,ABRIL,MAYO,JUNIO,JULIO,AGOSTO,SEPTIEMBRE,OCTUBRE,NOVIEMBRE,DICIEMBRE"</formula1>
    </dataValidation>
    <dataValidation type="list" allowBlank="1" showInputMessage="1" showErrorMessage="1" sqref="F8:F21 H26:H37 F79:F90 H97:H108" xr:uid="{00000000-0002-0000-1200-000001000000}">
      <formula1>"EFECTIVO, CHEQUE, TRANSFERENCIA,DEPOSITO"</formula1>
    </dataValidation>
  </dataValidation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E0CC-8735-4E25-88BD-B405548BB69D}">
  <sheetPr>
    <tabColor rgb="FFFF0000"/>
  </sheetPr>
  <dimension ref="A1:N68"/>
  <sheetViews>
    <sheetView topLeftCell="A22" workbookViewId="0">
      <selection activeCell="E53" sqref="E53"/>
    </sheetView>
  </sheetViews>
  <sheetFormatPr defaultColWidth="11.42578125" defaultRowHeight="15"/>
  <cols>
    <col min="1" max="1" width="17.85546875" customWidth="1"/>
    <col min="2" max="2" width="26.28515625" customWidth="1"/>
    <col min="3" max="3" width="23.85546875" customWidth="1"/>
    <col min="4" max="4" width="25.140625" customWidth="1"/>
    <col min="5" max="5" width="18.42578125" customWidth="1"/>
    <col min="6" max="6" width="22.85546875" customWidth="1"/>
    <col min="7" max="7" width="17" customWidth="1"/>
    <col min="8" max="8" width="17.28515625" customWidth="1"/>
    <col min="9" max="9" width="20" customWidth="1"/>
    <col min="10" max="10" width="21" customWidth="1"/>
    <col min="11" max="11" width="19.85546875" customWidth="1"/>
  </cols>
  <sheetData>
    <row r="1" spans="1:11" ht="23.25">
      <c r="A1" s="736" t="s">
        <v>1759</v>
      </c>
      <c r="B1" s="736"/>
      <c r="C1" s="736"/>
      <c r="D1" s="736"/>
      <c r="E1" s="736"/>
      <c r="F1" s="736"/>
    </row>
    <row r="2" spans="1:11" ht="30">
      <c r="A2" s="2" t="s">
        <v>1729</v>
      </c>
      <c r="B2" s="2" t="s">
        <v>1760</v>
      </c>
    </row>
    <row r="3" spans="1:11">
      <c r="A3" s="2" t="s">
        <v>1</v>
      </c>
      <c r="B3" s="2">
        <v>10454497550</v>
      </c>
    </row>
    <row r="4" spans="1:11" ht="30">
      <c r="A4" s="2" t="s">
        <v>2</v>
      </c>
      <c r="B4" s="2" t="s">
        <v>1731</v>
      </c>
      <c r="E4" s="738" t="s">
        <v>74</v>
      </c>
      <c r="F4" s="738"/>
    </row>
    <row r="5" spans="1:11" ht="43.5">
      <c r="A5" s="163" t="s">
        <v>4</v>
      </c>
      <c r="B5" s="164">
        <v>44070</v>
      </c>
      <c r="D5" s="165" t="s">
        <v>341</v>
      </c>
    </row>
    <row r="8" spans="1:11" ht="19.5" thickBot="1">
      <c r="A8" s="166" t="s">
        <v>7</v>
      </c>
      <c r="B8" s="166" t="s">
        <v>8</v>
      </c>
      <c r="C8" s="166" t="s">
        <v>9</v>
      </c>
      <c r="D8" s="166" t="s">
        <v>10</v>
      </c>
      <c r="E8" s="166" t="s">
        <v>11</v>
      </c>
      <c r="F8" s="166" t="s">
        <v>12</v>
      </c>
      <c r="G8" s="166" t="s">
        <v>13</v>
      </c>
      <c r="H8" s="166" t="s">
        <v>14</v>
      </c>
      <c r="I8" s="166" t="s">
        <v>15</v>
      </c>
      <c r="J8" s="166" t="s">
        <v>16</v>
      </c>
      <c r="K8" s="166" t="s">
        <v>18</v>
      </c>
    </row>
    <row r="9" spans="1:11">
      <c r="A9" s="153">
        <v>44076</v>
      </c>
      <c r="B9" s="154">
        <v>94.4</v>
      </c>
      <c r="C9" t="s">
        <v>50</v>
      </c>
      <c r="D9" s="153">
        <v>44070</v>
      </c>
      <c r="E9" s="2" t="s">
        <v>23</v>
      </c>
      <c r="F9" t="s">
        <v>24</v>
      </c>
      <c r="G9">
        <v>1</v>
      </c>
      <c r="H9">
        <v>745</v>
      </c>
      <c r="I9" s="76" t="s">
        <v>1761</v>
      </c>
      <c r="J9" s="76" t="s">
        <v>1762</v>
      </c>
      <c r="K9" t="s">
        <v>26</v>
      </c>
    </row>
    <row r="10" spans="1:11">
      <c r="A10" s="153">
        <v>44134</v>
      </c>
      <c r="B10" s="154">
        <v>94.4</v>
      </c>
      <c r="C10" t="s">
        <v>22</v>
      </c>
      <c r="D10" s="153">
        <v>44104</v>
      </c>
      <c r="E10" s="2" t="s">
        <v>23</v>
      </c>
      <c r="F10" t="s">
        <v>24</v>
      </c>
      <c r="G10">
        <v>2</v>
      </c>
      <c r="H10">
        <v>932</v>
      </c>
      <c r="I10" s="76" t="s">
        <v>1761</v>
      </c>
      <c r="J10" s="76" t="s">
        <v>1763</v>
      </c>
      <c r="K10" t="s">
        <v>26</v>
      </c>
    </row>
    <row r="11" spans="1:11">
      <c r="A11" s="153">
        <v>44134</v>
      </c>
      <c r="B11" s="154">
        <v>94.4</v>
      </c>
      <c r="C11" t="s">
        <v>54</v>
      </c>
      <c r="D11" s="153">
        <v>44133</v>
      </c>
      <c r="E11" s="2" t="s">
        <v>23</v>
      </c>
      <c r="F11" t="s">
        <v>24</v>
      </c>
      <c r="G11">
        <v>3</v>
      </c>
      <c r="H11">
        <v>1107</v>
      </c>
      <c r="I11" s="76" t="s">
        <v>1761</v>
      </c>
      <c r="J11" s="76" t="s">
        <v>1764</v>
      </c>
      <c r="K11" t="s">
        <v>26</v>
      </c>
    </row>
    <row r="12" spans="1:11">
      <c r="A12" s="153">
        <v>44163</v>
      </c>
      <c r="B12" s="154">
        <v>94.4</v>
      </c>
      <c r="C12" t="s">
        <v>27</v>
      </c>
      <c r="D12" s="153">
        <v>44161</v>
      </c>
      <c r="E12" s="2" t="s">
        <v>23</v>
      </c>
      <c r="F12" t="s">
        <v>24</v>
      </c>
      <c r="G12">
        <v>4</v>
      </c>
      <c r="H12">
        <v>1315</v>
      </c>
      <c r="I12" s="76" t="s">
        <v>1761</v>
      </c>
      <c r="J12" s="76" t="s">
        <v>1765</v>
      </c>
      <c r="K12" t="s">
        <v>26</v>
      </c>
    </row>
    <row r="13" spans="1:11">
      <c r="A13" s="153">
        <v>44225</v>
      </c>
      <c r="B13" s="154">
        <v>94.4</v>
      </c>
      <c r="C13" t="s">
        <v>30</v>
      </c>
      <c r="D13" s="153">
        <v>44198</v>
      </c>
      <c r="E13" s="2" t="s">
        <v>23</v>
      </c>
      <c r="F13" t="s">
        <v>24</v>
      </c>
      <c r="G13">
        <v>5</v>
      </c>
      <c r="H13">
        <v>1599</v>
      </c>
      <c r="I13" s="76" t="s">
        <v>1761</v>
      </c>
      <c r="J13" s="76" t="s">
        <v>1766</v>
      </c>
      <c r="K13" t="s">
        <v>26</v>
      </c>
    </row>
    <row r="14" spans="1:11">
      <c r="A14" s="153">
        <v>44319</v>
      </c>
      <c r="B14" s="154">
        <v>94.4</v>
      </c>
      <c r="C14" t="s">
        <v>32</v>
      </c>
      <c r="D14" s="153">
        <v>44226</v>
      </c>
      <c r="E14" s="2" t="s">
        <v>23</v>
      </c>
      <c r="F14" t="s">
        <v>24</v>
      </c>
      <c r="G14">
        <v>6</v>
      </c>
      <c r="H14">
        <v>1867</v>
      </c>
      <c r="I14" s="76" t="s">
        <v>1761</v>
      </c>
      <c r="J14" s="76" t="s">
        <v>1767</v>
      </c>
      <c r="K14" t="s">
        <v>26</v>
      </c>
    </row>
    <row r="15" spans="1:11">
      <c r="A15" s="153"/>
      <c r="B15" s="154"/>
      <c r="D15" s="153"/>
      <c r="E15" s="2" t="s">
        <v>23</v>
      </c>
      <c r="I15" s="76" t="s">
        <v>1761</v>
      </c>
      <c r="J15" s="76"/>
    </row>
    <row r="16" spans="1:11">
      <c r="A16" s="153"/>
      <c r="B16" s="154"/>
      <c r="D16" s="153"/>
      <c r="E16" s="2" t="s">
        <v>23</v>
      </c>
      <c r="I16" s="76" t="s">
        <v>1761</v>
      </c>
      <c r="J16" s="76"/>
    </row>
    <row r="17" spans="1:10">
      <c r="A17" s="153"/>
      <c r="B17" s="154"/>
      <c r="D17" s="153"/>
      <c r="E17" s="2" t="s">
        <v>23</v>
      </c>
      <c r="I17" s="76" t="s">
        <v>1761</v>
      </c>
      <c r="J17" s="76"/>
    </row>
    <row r="18" spans="1:10">
      <c r="B18" s="154"/>
      <c r="E18" s="2" t="s">
        <v>23</v>
      </c>
      <c r="I18" s="76" t="s">
        <v>1761</v>
      </c>
      <c r="J18" s="76"/>
    </row>
    <row r="19" spans="1:10">
      <c r="B19" s="154"/>
      <c r="E19" s="2" t="s">
        <v>23</v>
      </c>
      <c r="I19" s="76" t="s">
        <v>1761</v>
      </c>
      <c r="J19" s="76"/>
    </row>
    <row r="20" spans="1:10">
      <c r="B20" s="154"/>
      <c r="E20" s="2" t="s">
        <v>23</v>
      </c>
      <c r="I20" s="76" t="s">
        <v>1761</v>
      </c>
      <c r="J20" s="76"/>
    </row>
    <row r="52" spans="4:14" ht="23.25">
      <c r="D52" s="737" t="s">
        <v>1759</v>
      </c>
      <c r="E52" s="737"/>
      <c r="F52" s="737"/>
      <c r="G52" s="737"/>
      <c r="H52" s="737"/>
      <c r="I52" s="737"/>
    </row>
    <row r="53" spans="4:14" ht="45">
      <c r="D53" s="2" t="s">
        <v>1729</v>
      </c>
      <c r="E53" s="2" t="s">
        <v>1760</v>
      </c>
    </row>
    <row r="54" spans="4:14">
      <c r="D54" s="2" t="s">
        <v>1</v>
      </c>
      <c r="E54" s="2">
        <v>10454497550</v>
      </c>
    </row>
    <row r="55" spans="4:14" ht="60">
      <c r="D55" s="2" t="s">
        <v>2</v>
      </c>
      <c r="E55" s="2" t="s">
        <v>1731</v>
      </c>
    </row>
    <row r="56" spans="4:14" ht="28.5">
      <c r="D56" s="167" t="s">
        <v>4</v>
      </c>
      <c r="E56" s="168">
        <v>43661</v>
      </c>
      <c r="G56" s="169" t="s">
        <v>341</v>
      </c>
    </row>
    <row r="59" spans="4:14" ht="57" thickBot="1">
      <c r="D59" s="170" t="s">
        <v>7</v>
      </c>
      <c r="E59" s="170" t="s">
        <v>8</v>
      </c>
      <c r="F59" s="170" t="s">
        <v>9</v>
      </c>
      <c r="G59" s="170" t="s">
        <v>10</v>
      </c>
      <c r="H59" s="170" t="s">
        <v>11</v>
      </c>
      <c r="I59" s="170" t="s">
        <v>12</v>
      </c>
      <c r="J59" s="170" t="s">
        <v>13</v>
      </c>
      <c r="K59" s="170" t="s">
        <v>14</v>
      </c>
      <c r="L59" s="170" t="s">
        <v>15</v>
      </c>
      <c r="M59" s="170" t="s">
        <v>16</v>
      </c>
      <c r="N59" s="170" t="s">
        <v>18</v>
      </c>
    </row>
    <row r="60" spans="4:14">
      <c r="D60" s="153">
        <v>43664</v>
      </c>
      <c r="E60" s="154">
        <v>80</v>
      </c>
      <c r="F60" t="s">
        <v>47</v>
      </c>
      <c r="G60" s="153">
        <v>43708</v>
      </c>
      <c r="H60" s="2" t="s">
        <v>23</v>
      </c>
      <c r="I60" t="s">
        <v>1742</v>
      </c>
      <c r="J60">
        <v>1</v>
      </c>
      <c r="K60">
        <v>2</v>
      </c>
      <c r="L60" s="76" t="s">
        <v>1768</v>
      </c>
      <c r="M60" s="76" t="s">
        <v>1769</v>
      </c>
      <c r="N60" t="s">
        <v>1770</v>
      </c>
    </row>
    <row r="61" spans="4:14">
      <c r="D61" s="153">
        <v>43704</v>
      </c>
      <c r="E61" s="154">
        <v>94.4</v>
      </c>
      <c r="F61" t="s">
        <v>50</v>
      </c>
      <c r="G61" s="153">
        <v>43736</v>
      </c>
      <c r="H61" s="2" t="s">
        <v>23</v>
      </c>
      <c r="I61" t="s">
        <v>24</v>
      </c>
      <c r="J61">
        <v>2</v>
      </c>
      <c r="K61">
        <v>16</v>
      </c>
      <c r="L61" s="76" t="s">
        <v>1768</v>
      </c>
      <c r="M61" s="76" t="s">
        <v>1771</v>
      </c>
      <c r="N61" t="s">
        <v>26</v>
      </c>
    </row>
    <row r="62" spans="4:14">
      <c r="D62" s="153">
        <v>43738</v>
      </c>
      <c r="E62" s="154">
        <v>94.4</v>
      </c>
      <c r="F62" t="s">
        <v>22</v>
      </c>
      <c r="G62" s="153">
        <v>43761</v>
      </c>
      <c r="H62" s="2" t="s">
        <v>23</v>
      </c>
      <c r="I62" t="s">
        <v>24</v>
      </c>
      <c r="J62">
        <v>3</v>
      </c>
      <c r="K62">
        <v>43</v>
      </c>
      <c r="L62" s="76" t="s">
        <v>1768</v>
      </c>
      <c r="M62" s="76" t="s">
        <v>1772</v>
      </c>
      <c r="N62" t="s">
        <v>26</v>
      </c>
    </row>
    <row r="63" spans="4:14">
      <c r="D63" s="153">
        <v>43761</v>
      </c>
      <c r="E63" s="154">
        <v>94.4</v>
      </c>
      <c r="F63" t="s">
        <v>54</v>
      </c>
      <c r="G63" s="153">
        <v>43798</v>
      </c>
      <c r="H63" s="2" t="s">
        <v>23</v>
      </c>
      <c r="I63" t="s">
        <v>1742</v>
      </c>
      <c r="J63">
        <v>4</v>
      </c>
      <c r="K63">
        <v>64</v>
      </c>
      <c r="L63" s="76" t="s">
        <v>1768</v>
      </c>
      <c r="M63" s="76" t="s">
        <v>1773</v>
      </c>
      <c r="N63" t="s">
        <v>26</v>
      </c>
    </row>
    <row r="64" spans="4:14">
      <c r="D64" s="153">
        <v>43798</v>
      </c>
      <c r="E64" s="154">
        <v>94.4</v>
      </c>
      <c r="F64" t="s">
        <v>27</v>
      </c>
      <c r="G64" s="153">
        <v>43827</v>
      </c>
      <c r="H64" s="2" t="s">
        <v>23</v>
      </c>
      <c r="I64" t="s">
        <v>28</v>
      </c>
      <c r="J64">
        <v>5</v>
      </c>
      <c r="K64">
        <v>116</v>
      </c>
      <c r="L64" s="76" t="s">
        <v>1768</v>
      </c>
      <c r="M64" s="76" t="s">
        <v>1774</v>
      </c>
      <c r="N64" t="s">
        <v>26</v>
      </c>
    </row>
    <row r="65" spans="4:14">
      <c r="D65" s="153">
        <v>43829</v>
      </c>
      <c r="E65" s="154">
        <v>94.4</v>
      </c>
      <c r="F65" t="s">
        <v>30</v>
      </c>
      <c r="G65" s="153">
        <v>43860</v>
      </c>
      <c r="H65" s="2" t="s">
        <v>23</v>
      </c>
      <c r="I65" t="s">
        <v>1742</v>
      </c>
      <c r="J65">
        <v>6</v>
      </c>
      <c r="K65">
        <v>165</v>
      </c>
      <c r="L65" s="76" t="s">
        <v>1768</v>
      </c>
      <c r="M65" s="76" t="s">
        <v>1775</v>
      </c>
      <c r="N65" t="s">
        <v>26</v>
      </c>
    </row>
    <row r="66" spans="4:14">
      <c r="D66" s="153">
        <v>43892</v>
      </c>
      <c r="E66" s="154">
        <v>94.4</v>
      </c>
      <c r="F66" t="s">
        <v>32</v>
      </c>
      <c r="G66" s="153">
        <v>43888</v>
      </c>
      <c r="H66" s="2" t="s">
        <v>23</v>
      </c>
      <c r="I66" t="s">
        <v>1742</v>
      </c>
      <c r="J66">
        <v>7</v>
      </c>
      <c r="K66">
        <v>250</v>
      </c>
      <c r="L66" s="76" t="s">
        <v>1768</v>
      </c>
      <c r="M66" s="76" t="s">
        <v>1776</v>
      </c>
      <c r="N66" t="s">
        <v>26</v>
      </c>
    </row>
    <row r="67" spans="4:14">
      <c r="D67" s="153">
        <v>44016</v>
      </c>
      <c r="E67" s="154">
        <v>94.4</v>
      </c>
      <c r="F67" t="s">
        <v>34</v>
      </c>
      <c r="G67" s="153">
        <v>44016</v>
      </c>
      <c r="H67" s="2" t="s">
        <v>23</v>
      </c>
      <c r="I67" t="s">
        <v>24</v>
      </c>
      <c r="J67">
        <v>8</v>
      </c>
      <c r="K67">
        <v>509</v>
      </c>
      <c r="L67" s="76" t="s">
        <v>1768</v>
      </c>
      <c r="M67" s="76" t="s">
        <v>1777</v>
      </c>
      <c r="N67" t="s">
        <v>26</v>
      </c>
    </row>
    <row r="68" spans="4:14">
      <c r="D68" s="153">
        <v>44055</v>
      </c>
      <c r="E68" s="154">
        <v>94.4</v>
      </c>
      <c r="F68" t="s">
        <v>38</v>
      </c>
      <c r="G68" s="153">
        <v>44042</v>
      </c>
      <c r="H68" s="2" t="s">
        <v>23</v>
      </c>
      <c r="I68" t="s">
        <v>24</v>
      </c>
      <c r="J68">
        <v>9</v>
      </c>
      <c r="K68">
        <v>637</v>
      </c>
      <c r="L68" s="76" t="s">
        <v>1768</v>
      </c>
      <c r="M68" s="76" t="s">
        <v>1778</v>
      </c>
      <c r="N68" t="s">
        <v>26</v>
      </c>
    </row>
  </sheetData>
  <mergeCells count="3">
    <mergeCell ref="A1:F1"/>
    <mergeCell ref="D52:I52"/>
    <mergeCell ref="E4:F4"/>
  </mergeCells>
  <dataValidations count="2">
    <dataValidation type="list" allowBlank="1" showInputMessage="1" showErrorMessage="1" sqref="C9:C20 F60:F68" xr:uid="{00000000-0002-0000-1300-000000000000}">
      <formula1>"ENERO,FEBRERO,MARZO,ABRIL,MAYO,JUNIO,JULIO,AGOSTO,SEPTIEMBRE,OCTUBRE,NOVIEMBRE,DICIEMBRE"</formula1>
    </dataValidation>
    <dataValidation type="list" allowBlank="1" showInputMessage="1" showErrorMessage="1" sqref="F9:F20 I60:I68" xr:uid="{00000000-0002-0000-1300-000001000000}">
      <formula1>"EFECTIVO, CHEQUE, TRANSFERENCIA,DEPOSITO"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F519-2CA9-4F99-9036-CCD1A4874450}">
  <sheetPr>
    <tabColor rgb="FFFF0000"/>
  </sheetPr>
  <dimension ref="A1:K22"/>
  <sheetViews>
    <sheetView workbookViewId="0">
      <selection activeCell="B3" sqref="B3"/>
    </sheetView>
  </sheetViews>
  <sheetFormatPr defaultColWidth="11.42578125" defaultRowHeight="15"/>
  <cols>
    <col min="1" max="1" width="17.85546875" customWidth="1"/>
    <col min="2" max="2" width="26.28515625" customWidth="1"/>
    <col min="3" max="3" width="23.85546875" customWidth="1"/>
    <col min="4" max="4" width="25.140625" customWidth="1"/>
    <col min="5" max="5" width="18.42578125" customWidth="1"/>
    <col min="6" max="6" width="22.85546875" customWidth="1"/>
    <col min="7" max="7" width="17" customWidth="1"/>
    <col min="8" max="8" width="17.28515625" customWidth="1"/>
    <col min="9" max="9" width="20" customWidth="1"/>
    <col min="10" max="10" width="21" customWidth="1"/>
    <col min="11" max="11" width="19.85546875" customWidth="1"/>
  </cols>
  <sheetData>
    <row r="1" spans="1:11" ht="21">
      <c r="A1" s="739" t="s">
        <v>1779</v>
      </c>
      <c r="B1" s="739"/>
      <c r="C1" s="739"/>
      <c r="D1" s="739"/>
      <c r="E1" s="739"/>
      <c r="F1" s="739"/>
    </row>
    <row r="2" spans="1:11" ht="63">
      <c r="A2" s="2" t="s">
        <v>1729</v>
      </c>
      <c r="B2" s="2" t="s">
        <v>1780</v>
      </c>
      <c r="C2" s="171" t="s">
        <v>1781</v>
      </c>
      <c r="D2" s="2"/>
      <c r="E2" s="742" t="s">
        <v>1782</v>
      </c>
      <c r="F2" s="742"/>
    </row>
    <row r="3" spans="1:11">
      <c r="A3" s="2" t="s">
        <v>1</v>
      </c>
      <c r="B3" s="2">
        <v>10443843723</v>
      </c>
    </row>
    <row r="4" spans="1:11">
      <c r="A4" s="2" t="s">
        <v>2</v>
      </c>
      <c r="B4" s="3" t="s">
        <v>1783</v>
      </c>
    </row>
    <row r="5" spans="1:11" ht="43.5">
      <c r="A5" s="171" t="s">
        <v>4</v>
      </c>
      <c r="B5" s="172">
        <v>43661</v>
      </c>
      <c r="D5" s="740" t="s">
        <v>341</v>
      </c>
      <c r="E5" s="741"/>
    </row>
    <row r="7" spans="1:11" ht="19.5" thickBot="1">
      <c r="A7" s="173" t="s">
        <v>7</v>
      </c>
      <c r="B7" s="173" t="s">
        <v>8</v>
      </c>
      <c r="C7" s="173" t="s">
        <v>9</v>
      </c>
      <c r="D7" s="173" t="s">
        <v>10</v>
      </c>
      <c r="E7" s="173" t="s">
        <v>11</v>
      </c>
      <c r="F7" s="173" t="s">
        <v>12</v>
      </c>
      <c r="G7" s="173" t="s">
        <v>13</v>
      </c>
      <c r="H7" s="173" t="s">
        <v>14</v>
      </c>
      <c r="I7" s="173" t="s">
        <v>15</v>
      </c>
      <c r="J7" s="173" t="s">
        <v>16</v>
      </c>
      <c r="K7" s="173" t="s">
        <v>18</v>
      </c>
    </row>
    <row r="8" spans="1:11">
      <c r="A8" s="153">
        <v>43664</v>
      </c>
      <c r="B8" s="154">
        <v>80</v>
      </c>
      <c r="C8" t="s">
        <v>47</v>
      </c>
      <c r="D8" s="153">
        <v>43708</v>
      </c>
      <c r="E8" s="2" t="s">
        <v>23</v>
      </c>
      <c r="F8" t="s">
        <v>28</v>
      </c>
      <c r="G8">
        <v>1</v>
      </c>
      <c r="H8">
        <v>4</v>
      </c>
      <c r="I8" s="76" t="s">
        <v>1784</v>
      </c>
      <c r="J8" s="76" t="s">
        <v>1785</v>
      </c>
      <c r="K8" t="s">
        <v>1770</v>
      </c>
    </row>
    <row r="9" spans="1:11">
      <c r="A9" s="153">
        <v>43708</v>
      </c>
      <c r="B9" s="154">
        <v>94.4</v>
      </c>
      <c r="C9" t="s">
        <v>50</v>
      </c>
      <c r="D9" s="153">
        <v>43736</v>
      </c>
      <c r="E9" s="2" t="s">
        <v>23</v>
      </c>
      <c r="F9" t="s">
        <v>1742</v>
      </c>
      <c r="G9">
        <v>2</v>
      </c>
      <c r="H9">
        <v>19</v>
      </c>
      <c r="I9" s="76" t="s">
        <v>1784</v>
      </c>
      <c r="J9" s="76" t="s">
        <v>1786</v>
      </c>
      <c r="K9" t="s">
        <v>26</v>
      </c>
    </row>
    <row r="10" spans="1:11">
      <c r="A10" s="153">
        <v>43738</v>
      </c>
      <c r="B10" s="154">
        <v>94.4</v>
      </c>
      <c r="C10" t="s">
        <v>22</v>
      </c>
      <c r="D10" s="153">
        <v>43761</v>
      </c>
      <c r="E10" s="2" t="s">
        <v>23</v>
      </c>
      <c r="F10" t="s">
        <v>1742</v>
      </c>
      <c r="G10">
        <v>3</v>
      </c>
      <c r="H10">
        <v>45</v>
      </c>
      <c r="I10" s="76" t="s">
        <v>1784</v>
      </c>
      <c r="J10" s="76" t="s">
        <v>80</v>
      </c>
      <c r="K10" t="s">
        <v>26</v>
      </c>
    </row>
    <row r="11" spans="1:11">
      <c r="A11" s="153">
        <v>43798</v>
      </c>
      <c r="B11" s="154">
        <v>94.4</v>
      </c>
      <c r="C11" t="s">
        <v>54</v>
      </c>
      <c r="D11" s="153">
        <v>43798</v>
      </c>
      <c r="E11" s="2" t="s">
        <v>23</v>
      </c>
      <c r="F11" t="s">
        <v>28</v>
      </c>
      <c r="G11">
        <v>4</v>
      </c>
      <c r="H11">
        <v>104</v>
      </c>
      <c r="I11" s="76" t="s">
        <v>1784</v>
      </c>
      <c r="J11" s="76" t="s">
        <v>1787</v>
      </c>
      <c r="K11" t="s">
        <v>26</v>
      </c>
    </row>
    <row r="12" spans="1:11">
      <c r="A12" s="153">
        <v>43827</v>
      </c>
      <c r="B12" s="154">
        <v>94.4</v>
      </c>
      <c r="C12" t="s">
        <v>27</v>
      </c>
      <c r="D12" s="153">
        <v>43827</v>
      </c>
      <c r="E12" s="2" t="s">
        <v>23</v>
      </c>
      <c r="F12" t="s">
        <v>28</v>
      </c>
      <c r="G12">
        <v>5</v>
      </c>
      <c r="H12">
        <v>150</v>
      </c>
      <c r="I12" s="76" t="s">
        <v>1784</v>
      </c>
      <c r="J12" s="76" t="s">
        <v>1788</v>
      </c>
      <c r="K12" t="s">
        <v>26</v>
      </c>
    </row>
    <row r="13" spans="1:11">
      <c r="A13" s="153">
        <v>43860</v>
      </c>
      <c r="B13" s="154">
        <v>94.4</v>
      </c>
      <c r="C13" t="s">
        <v>30</v>
      </c>
      <c r="D13" s="153">
        <v>43860</v>
      </c>
      <c r="E13" s="2" t="s">
        <v>23</v>
      </c>
      <c r="F13" t="s">
        <v>28</v>
      </c>
      <c r="G13">
        <v>6</v>
      </c>
      <c r="H13">
        <v>201</v>
      </c>
      <c r="I13" s="76" t="s">
        <v>1784</v>
      </c>
      <c r="J13" s="76" t="s">
        <v>1789</v>
      </c>
      <c r="K13" t="s">
        <v>26</v>
      </c>
    </row>
    <row r="14" spans="1:11">
      <c r="A14" s="153">
        <v>43888</v>
      </c>
      <c r="B14" s="154">
        <v>94.4</v>
      </c>
      <c r="C14" t="s">
        <v>32</v>
      </c>
      <c r="D14" s="153">
        <v>43888</v>
      </c>
      <c r="E14" s="2" t="s">
        <v>23</v>
      </c>
      <c r="F14" t="s">
        <v>28</v>
      </c>
      <c r="G14">
        <v>7</v>
      </c>
      <c r="H14">
        <v>253</v>
      </c>
      <c r="I14" s="76" t="s">
        <v>1784</v>
      </c>
      <c r="J14" s="76" t="s">
        <v>1790</v>
      </c>
      <c r="K14" t="s">
        <v>26</v>
      </c>
    </row>
    <row r="15" spans="1:11">
      <c r="A15" s="153">
        <v>43923</v>
      </c>
      <c r="B15" s="154">
        <v>94.4</v>
      </c>
      <c r="C15" t="s">
        <v>34</v>
      </c>
      <c r="D15" s="153">
        <v>43923</v>
      </c>
      <c r="E15" s="2" t="s">
        <v>23</v>
      </c>
      <c r="F15" t="s">
        <v>28</v>
      </c>
      <c r="G15">
        <v>8</v>
      </c>
      <c r="H15">
        <v>316</v>
      </c>
      <c r="I15" s="76" t="s">
        <v>1784</v>
      </c>
      <c r="J15" s="76" t="s">
        <v>1791</v>
      </c>
      <c r="K15" t="s">
        <v>26</v>
      </c>
    </row>
    <row r="16" spans="1:11">
      <c r="A16" s="153">
        <v>43953</v>
      </c>
      <c r="B16" s="154">
        <v>94.4</v>
      </c>
      <c r="C16" t="s">
        <v>38</v>
      </c>
      <c r="D16" s="153">
        <v>43953</v>
      </c>
      <c r="E16" s="2" t="s">
        <v>23</v>
      </c>
      <c r="F16" t="s">
        <v>28</v>
      </c>
      <c r="G16">
        <v>9</v>
      </c>
      <c r="H16">
        <v>388</v>
      </c>
      <c r="I16" s="76" t="s">
        <v>1784</v>
      </c>
      <c r="J16" s="174"/>
      <c r="K16" t="s">
        <v>26</v>
      </c>
    </row>
    <row r="17" spans="1:11">
      <c r="A17" s="153">
        <v>43981</v>
      </c>
      <c r="B17" s="154">
        <v>94.4</v>
      </c>
      <c r="C17" t="s">
        <v>41</v>
      </c>
      <c r="D17" s="153">
        <v>43981</v>
      </c>
      <c r="E17" s="2" t="s">
        <v>23</v>
      </c>
      <c r="F17" t="s">
        <v>28</v>
      </c>
      <c r="G17">
        <v>10</v>
      </c>
      <c r="H17">
        <v>389</v>
      </c>
      <c r="I17" s="76" t="s">
        <v>1784</v>
      </c>
      <c r="J17" s="76" t="s">
        <v>1792</v>
      </c>
      <c r="K17" t="s">
        <v>26</v>
      </c>
    </row>
    <row r="18" spans="1:11">
      <c r="A18" t="s">
        <v>333</v>
      </c>
      <c r="B18" s="154"/>
      <c r="D18" s="175">
        <v>44016</v>
      </c>
      <c r="E18" s="2" t="s">
        <v>23</v>
      </c>
      <c r="I18" s="76" t="s">
        <v>1784</v>
      </c>
      <c r="J18" s="76"/>
      <c r="K18" t="s">
        <v>1793</v>
      </c>
    </row>
    <row r="19" spans="1:11">
      <c r="A19" s="153">
        <v>44042</v>
      </c>
      <c r="B19" s="154">
        <v>94.4</v>
      </c>
      <c r="C19" t="s">
        <v>57</v>
      </c>
      <c r="D19" s="153">
        <v>44042</v>
      </c>
      <c r="E19" s="2" t="s">
        <v>23</v>
      </c>
      <c r="F19" t="s">
        <v>28</v>
      </c>
      <c r="G19">
        <v>12</v>
      </c>
      <c r="H19">
        <v>633</v>
      </c>
      <c r="I19" s="76" t="s">
        <v>1784</v>
      </c>
      <c r="J19" s="76" t="s">
        <v>1794</v>
      </c>
      <c r="K19" t="s">
        <v>26</v>
      </c>
    </row>
    <row r="20" spans="1:11">
      <c r="B20" s="154"/>
      <c r="E20" s="2" t="s">
        <v>23</v>
      </c>
      <c r="I20" s="76" t="s">
        <v>1784</v>
      </c>
      <c r="J20" s="76"/>
    </row>
    <row r="21" spans="1:11">
      <c r="B21" s="154"/>
      <c r="E21" s="2" t="s">
        <v>23</v>
      </c>
      <c r="I21" s="76" t="s">
        <v>1784</v>
      </c>
      <c r="J21" s="76"/>
    </row>
    <row r="22" spans="1:11">
      <c r="B22" s="154"/>
      <c r="E22" s="2" t="s">
        <v>23</v>
      </c>
      <c r="I22" s="76" t="s">
        <v>1784</v>
      </c>
      <c r="J22" s="76"/>
    </row>
  </sheetData>
  <mergeCells count="3">
    <mergeCell ref="A1:F1"/>
    <mergeCell ref="D5:E5"/>
    <mergeCell ref="E2:F2"/>
  </mergeCells>
  <dataValidations count="2">
    <dataValidation type="list" allowBlank="1" showInputMessage="1" showErrorMessage="1" sqref="C8:C22" xr:uid="{00000000-0002-0000-1400-000000000000}">
      <formula1>"ENERO,FEBRERO,MARZO,ABRIL,MAYO,JUNIO,JULIO,AGOSTO,SEPTIEMBRE,OCTUBRE,NOVIEMBRE,DICIEMBRE"</formula1>
    </dataValidation>
    <dataValidation type="list" allowBlank="1" showInputMessage="1" showErrorMessage="1" sqref="F8:F22" xr:uid="{00000000-0002-0000-1400-000001000000}">
      <formula1>"EFECTIVO, CHEQUE, TRANSFERENCIA,DEPOSITO"</formula1>
    </dataValidation>
  </dataValidations>
  <hyperlinks>
    <hyperlink ref="B4" r:id="rId1" xr:uid="{00000000-0004-0000-1400-000000000000}"/>
  </hyperlinks>
  <pageMargins left="0.7" right="0.7" top="0.75" bottom="0.75" header="0.3" footer="0.3"/>
  <pageSetup orientation="portrait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D3731-98C7-4C73-A70C-33702C29715C}">
  <sheetPr>
    <tabColor rgb="FFFF0000"/>
  </sheetPr>
  <dimension ref="A1:L70"/>
  <sheetViews>
    <sheetView topLeftCell="A7" workbookViewId="0">
      <selection activeCell="L14" sqref="L14"/>
    </sheetView>
  </sheetViews>
  <sheetFormatPr defaultColWidth="11.42578125" defaultRowHeight="15"/>
  <cols>
    <col min="2" max="2" width="29" customWidth="1"/>
    <col min="11" max="11" width="17" customWidth="1"/>
  </cols>
  <sheetData>
    <row r="1" spans="1:12" ht="23.25">
      <c r="A1" s="743" t="s">
        <v>1795</v>
      </c>
      <c r="B1" s="743"/>
      <c r="C1" s="743"/>
      <c r="D1" s="743"/>
      <c r="E1" s="743"/>
      <c r="F1" s="743"/>
    </row>
    <row r="2" spans="1:12" ht="30">
      <c r="A2" s="2" t="s">
        <v>1729</v>
      </c>
      <c r="B2" s="2" t="s">
        <v>1796</v>
      </c>
    </row>
    <row r="3" spans="1:12">
      <c r="A3" s="2" t="s">
        <v>1</v>
      </c>
      <c r="B3" s="2">
        <v>10441768023</v>
      </c>
    </row>
    <row r="4" spans="1:12" ht="45">
      <c r="A4" s="2" t="s">
        <v>2</v>
      </c>
      <c r="B4" s="2" t="s">
        <v>1797</v>
      </c>
      <c r="G4" s="702" t="s">
        <v>74</v>
      </c>
      <c r="H4" s="702"/>
    </row>
    <row r="5" spans="1:12" ht="42">
      <c r="A5" s="179" t="s">
        <v>4</v>
      </c>
      <c r="B5" s="180">
        <v>44070</v>
      </c>
      <c r="D5" s="744" t="s">
        <v>341</v>
      </c>
      <c r="E5" s="744"/>
    </row>
    <row r="7" spans="1:12" ht="75">
      <c r="A7" s="181" t="s">
        <v>7</v>
      </c>
      <c r="B7" s="181" t="s">
        <v>8</v>
      </c>
      <c r="C7" s="181" t="s">
        <v>9</v>
      </c>
      <c r="D7" s="181" t="s">
        <v>10</v>
      </c>
      <c r="E7" s="181" t="s">
        <v>11</v>
      </c>
      <c r="F7" s="181" t="s">
        <v>12</v>
      </c>
      <c r="G7" s="181" t="s">
        <v>13</v>
      </c>
      <c r="H7" s="181" t="s">
        <v>14</v>
      </c>
      <c r="I7" s="181" t="s">
        <v>15</v>
      </c>
      <c r="J7" s="181" t="s">
        <v>16</v>
      </c>
      <c r="K7" s="181" t="s">
        <v>18</v>
      </c>
      <c r="L7" s="255" t="s">
        <v>99</v>
      </c>
    </row>
    <row r="8" spans="1:12" ht="30">
      <c r="A8" s="7">
        <v>44076</v>
      </c>
      <c r="B8" s="8">
        <v>94.4</v>
      </c>
      <c r="C8" s="2" t="s">
        <v>50</v>
      </c>
      <c r="D8" s="7">
        <v>44070</v>
      </c>
      <c r="E8" s="2" t="s">
        <v>23</v>
      </c>
      <c r="F8" s="2" t="s">
        <v>24</v>
      </c>
      <c r="G8" s="2">
        <v>1</v>
      </c>
      <c r="H8" s="2">
        <v>746</v>
      </c>
      <c r="I8" s="9"/>
      <c r="J8" s="9" t="s">
        <v>1798</v>
      </c>
      <c r="K8" s="2" t="s">
        <v>318</v>
      </c>
      <c r="L8" s="2"/>
    </row>
    <row r="9" spans="1:12" ht="30">
      <c r="A9" s="7">
        <v>44134</v>
      </c>
      <c r="B9" s="8">
        <v>94.4</v>
      </c>
      <c r="C9" s="2" t="s">
        <v>22</v>
      </c>
      <c r="D9" s="7">
        <v>44104</v>
      </c>
      <c r="E9" s="2" t="s">
        <v>23</v>
      </c>
      <c r="F9" s="2" t="s">
        <v>24</v>
      </c>
      <c r="G9" s="2">
        <v>2</v>
      </c>
      <c r="H9" s="2">
        <v>933</v>
      </c>
      <c r="I9" s="9"/>
      <c r="J9" s="9" t="s">
        <v>1799</v>
      </c>
      <c r="K9" s="2" t="s">
        <v>318</v>
      </c>
      <c r="L9" s="2"/>
    </row>
    <row r="10" spans="1:12" ht="30">
      <c r="A10" s="7">
        <v>44134</v>
      </c>
      <c r="B10" s="8">
        <v>94.4</v>
      </c>
      <c r="C10" s="2" t="s">
        <v>54</v>
      </c>
      <c r="D10" s="7">
        <v>44133</v>
      </c>
      <c r="E10" s="2" t="s">
        <v>23</v>
      </c>
      <c r="F10" s="2" t="s">
        <v>24</v>
      </c>
      <c r="G10" s="2">
        <v>3</v>
      </c>
      <c r="H10" s="2">
        <v>1109</v>
      </c>
      <c r="I10" s="9"/>
      <c r="J10" s="9" t="s">
        <v>1800</v>
      </c>
      <c r="K10" s="2" t="s">
        <v>318</v>
      </c>
      <c r="L10" s="2"/>
    </row>
    <row r="11" spans="1:12" ht="30">
      <c r="A11" s="7">
        <v>44163</v>
      </c>
      <c r="B11" s="8">
        <v>94.4</v>
      </c>
      <c r="C11" s="2" t="s">
        <v>27</v>
      </c>
      <c r="D11" s="7">
        <v>44161</v>
      </c>
      <c r="E11" s="2" t="s">
        <v>23</v>
      </c>
      <c r="F11" s="2" t="s">
        <v>24</v>
      </c>
      <c r="G11" s="2">
        <v>4</v>
      </c>
      <c r="H11" s="2">
        <v>1316</v>
      </c>
      <c r="I11" s="9"/>
      <c r="J11" s="9" t="s">
        <v>1801</v>
      </c>
      <c r="K11" s="2" t="s">
        <v>318</v>
      </c>
      <c r="L11" s="2"/>
    </row>
    <row r="12" spans="1:12" ht="30">
      <c r="A12" s="7">
        <v>44225</v>
      </c>
      <c r="B12" s="8">
        <v>94.4</v>
      </c>
      <c r="C12" s="2" t="s">
        <v>30</v>
      </c>
      <c r="D12" s="7">
        <v>44198</v>
      </c>
      <c r="E12" s="2" t="s">
        <v>23</v>
      </c>
      <c r="F12" s="2" t="s">
        <v>24</v>
      </c>
      <c r="G12" s="2">
        <v>5</v>
      </c>
      <c r="H12" s="2">
        <v>1600</v>
      </c>
      <c r="I12" s="9"/>
      <c r="J12" s="9" t="s">
        <v>1802</v>
      </c>
      <c r="K12" s="2" t="s">
        <v>318</v>
      </c>
      <c r="L12" s="2"/>
    </row>
    <row r="13" spans="1:12" ht="30">
      <c r="A13" s="7">
        <v>44319</v>
      </c>
      <c r="B13" s="8">
        <v>94.4</v>
      </c>
      <c r="C13" s="2" t="s">
        <v>32</v>
      </c>
      <c r="D13" s="7">
        <v>44226</v>
      </c>
      <c r="E13" s="2" t="s">
        <v>23</v>
      </c>
      <c r="F13" s="2" t="s">
        <v>24</v>
      </c>
      <c r="G13" s="2">
        <v>6</v>
      </c>
      <c r="H13" s="2">
        <v>1869</v>
      </c>
      <c r="I13" s="9"/>
      <c r="J13" s="9" t="s">
        <v>1803</v>
      </c>
      <c r="K13" s="2" t="s">
        <v>318</v>
      </c>
      <c r="L13" s="2"/>
    </row>
    <row r="14" spans="1:12" ht="30">
      <c r="A14" s="7"/>
      <c r="B14" s="8">
        <v>94.4</v>
      </c>
      <c r="C14" s="2" t="s">
        <v>47</v>
      </c>
      <c r="D14" s="7">
        <v>44408</v>
      </c>
      <c r="E14" s="2" t="s">
        <v>23</v>
      </c>
      <c r="F14" s="2" t="s">
        <v>24</v>
      </c>
      <c r="G14" s="2">
        <v>7</v>
      </c>
      <c r="H14" s="2">
        <v>1862</v>
      </c>
      <c r="I14" s="9"/>
      <c r="J14" s="9" t="s">
        <v>1804</v>
      </c>
      <c r="L14" s="2" t="s">
        <v>1805</v>
      </c>
    </row>
    <row r="15" spans="1:12" ht="30">
      <c r="A15" s="7"/>
      <c r="B15" s="8"/>
      <c r="C15" s="2"/>
      <c r="D15" s="7"/>
      <c r="E15" s="2" t="s">
        <v>23</v>
      </c>
      <c r="F15" s="2"/>
      <c r="G15" s="2"/>
      <c r="H15" s="2"/>
      <c r="I15" s="9"/>
      <c r="J15" s="9"/>
      <c r="L15" s="2"/>
    </row>
    <row r="16" spans="1:12" ht="30">
      <c r="A16" s="7"/>
      <c r="B16" s="8"/>
      <c r="C16" s="2"/>
      <c r="D16" s="7"/>
      <c r="E16" s="2" t="s">
        <v>23</v>
      </c>
      <c r="F16" s="2"/>
      <c r="G16" s="2"/>
      <c r="H16" s="2"/>
      <c r="I16" s="9"/>
      <c r="J16" s="9"/>
      <c r="L16" s="2"/>
    </row>
    <row r="17" spans="1:12" ht="30">
      <c r="A17" s="2"/>
      <c r="B17" s="8"/>
      <c r="C17" s="2"/>
      <c r="D17" s="2"/>
      <c r="E17" s="2" t="s">
        <v>23</v>
      </c>
      <c r="F17" s="2"/>
      <c r="G17" s="2"/>
      <c r="H17" s="2"/>
      <c r="I17" s="9"/>
      <c r="J17" s="9"/>
      <c r="K17" s="2"/>
      <c r="L17" s="2"/>
    </row>
    <row r="18" spans="1:12" ht="30">
      <c r="A18" s="2"/>
      <c r="B18" s="8"/>
      <c r="C18" s="2"/>
      <c r="D18" s="2"/>
      <c r="E18" s="2" t="s">
        <v>23</v>
      </c>
      <c r="F18" s="2"/>
      <c r="G18" s="2"/>
      <c r="H18" s="2"/>
      <c r="I18" s="9"/>
      <c r="J18" s="9"/>
      <c r="K18" s="2"/>
      <c r="L18" s="2"/>
    </row>
    <row r="19" spans="1:12" ht="30">
      <c r="A19" s="2"/>
      <c r="B19" s="8"/>
      <c r="C19" s="2"/>
      <c r="D19" s="2"/>
      <c r="E19" s="2" t="s">
        <v>23</v>
      </c>
      <c r="F19" s="2"/>
      <c r="G19" s="2"/>
      <c r="H19" s="2"/>
      <c r="I19" s="9"/>
      <c r="J19" s="9"/>
      <c r="K19" s="2"/>
      <c r="L19" s="2"/>
    </row>
    <row r="55" spans="1:11" ht="23.25">
      <c r="A55" s="745" t="s">
        <v>1795</v>
      </c>
      <c r="B55" s="745"/>
      <c r="C55" s="745"/>
      <c r="D55" s="745"/>
      <c r="E55" s="745"/>
      <c r="F55" s="745"/>
    </row>
    <row r="56" spans="1:11" ht="30">
      <c r="A56" s="2" t="s">
        <v>1729</v>
      </c>
      <c r="B56" s="2" t="s">
        <v>1796</v>
      </c>
    </row>
    <row r="57" spans="1:11">
      <c r="A57" s="2" t="s">
        <v>1</v>
      </c>
      <c r="B57" s="2">
        <v>10441768023</v>
      </c>
    </row>
    <row r="58" spans="1:11" ht="45">
      <c r="A58" s="2" t="s">
        <v>2</v>
      </c>
      <c r="B58" s="2" t="s">
        <v>1797</v>
      </c>
    </row>
    <row r="59" spans="1:11" ht="42">
      <c r="A59" s="182" t="s">
        <v>4</v>
      </c>
      <c r="B59" s="183">
        <v>43661</v>
      </c>
      <c r="D59" s="690" t="s">
        <v>341</v>
      </c>
      <c r="E59" s="690"/>
    </row>
    <row r="61" spans="1:11" ht="75">
      <c r="A61" s="184" t="s">
        <v>7</v>
      </c>
      <c r="B61" s="184" t="s">
        <v>8</v>
      </c>
      <c r="C61" s="184" t="s">
        <v>9</v>
      </c>
      <c r="D61" s="184" t="s">
        <v>10</v>
      </c>
      <c r="E61" s="184" t="s">
        <v>11</v>
      </c>
      <c r="F61" s="184" t="s">
        <v>12</v>
      </c>
      <c r="G61" s="184" t="s">
        <v>13</v>
      </c>
      <c r="H61" s="184" t="s">
        <v>14</v>
      </c>
      <c r="I61" s="184" t="s">
        <v>15</v>
      </c>
      <c r="J61" s="184" t="s">
        <v>16</v>
      </c>
      <c r="K61" s="184" t="s">
        <v>18</v>
      </c>
    </row>
    <row r="62" spans="1:11" ht="30">
      <c r="A62" s="7">
        <v>43664</v>
      </c>
      <c r="B62" s="8">
        <v>80</v>
      </c>
      <c r="C62" s="2" t="s">
        <v>47</v>
      </c>
      <c r="D62" s="7">
        <v>43708</v>
      </c>
      <c r="E62" s="2" t="s">
        <v>23</v>
      </c>
      <c r="F62" s="2" t="s">
        <v>1742</v>
      </c>
      <c r="G62" s="2">
        <v>1</v>
      </c>
      <c r="H62" s="2">
        <v>3</v>
      </c>
      <c r="I62" s="9" t="s">
        <v>1806</v>
      </c>
      <c r="J62" s="9" t="s">
        <v>1807</v>
      </c>
      <c r="K62" s="2" t="s">
        <v>1770</v>
      </c>
    </row>
    <row r="63" spans="1:11" ht="30">
      <c r="A63" s="7">
        <v>43704</v>
      </c>
      <c r="B63" s="8">
        <v>94.4</v>
      </c>
      <c r="C63" s="2" t="s">
        <v>50</v>
      </c>
      <c r="D63" s="7">
        <v>43736</v>
      </c>
      <c r="E63" s="2" t="s">
        <v>23</v>
      </c>
      <c r="F63" s="2" t="s">
        <v>1742</v>
      </c>
      <c r="G63" s="2">
        <v>2</v>
      </c>
      <c r="H63" s="2">
        <v>15</v>
      </c>
      <c r="I63" s="9" t="s">
        <v>1806</v>
      </c>
      <c r="J63" s="9" t="s">
        <v>1808</v>
      </c>
      <c r="K63" s="2" t="s">
        <v>26</v>
      </c>
    </row>
    <row r="64" spans="1:11" ht="30">
      <c r="A64" s="7">
        <v>43738</v>
      </c>
      <c r="B64" s="8">
        <v>94.4</v>
      </c>
      <c r="C64" s="2" t="s">
        <v>22</v>
      </c>
      <c r="D64" s="7">
        <v>43761</v>
      </c>
      <c r="E64" s="2" t="s">
        <v>23</v>
      </c>
      <c r="F64" s="2" t="s">
        <v>1742</v>
      </c>
      <c r="G64" s="2">
        <v>3</v>
      </c>
      <c r="H64" s="2">
        <v>44</v>
      </c>
      <c r="I64" s="9" t="s">
        <v>1806</v>
      </c>
      <c r="J64" s="9" t="s">
        <v>1809</v>
      </c>
      <c r="K64" s="2" t="s">
        <v>26</v>
      </c>
    </row>
    <row r="65" spans="1:11" ht="30">
      <c r="A65" s="7">
        <v>43761</v>
      </c>
      <c r="B65" s="8">
        <v>94.4</v>
      </c>
      <c r="C65" s="2" t="s">
        <v>54</v>
      </c>
      <c r="D65" s="7">
        <v>43798</v>
      </c>
      <c r="E65" s="2" t="s">
        <v>23</v>
      </c>
      <c r="F65" s="2" t="s">
        <v>1742</v>
      </c>
      <c r="G65" s="2">
        <v>4</v>
      </c>
      <c r="H65" s="2">
        <v>63</v>
      </c>
      <c r="I65" s="9" t="s">
        <v>1806</v>
      </c>
      <c r="J65" s="9" t="s">
        <v>1810</v>
      </c>
      <c r="K65" s="2" t="s">
        <v>26</v>
      </c>
    </row>
    <row r="66" spans="1:11" ht="30">
      <c r="A66" s="7">
        <v>43798</v>
      </c>
      <c r="B66" s="8">
        <v>94.4</v>
      </c>
      <c r="C66" s="2" t="s">
        <v>27</v>
      </c>
      <c r="D66" s="7">
        <v>43827</v>
      </c>
      <c r="E66" s="2" t="s">
        <v>23</v>
      </c>
      <c r="F66" s="2" t="s">
        <v>28</v>
      </c>
      <c r="G66" s="2">
        <v>5</v>
      </c>
      <c r="H66" s="2">
        <v>117</v>
      </c>
      <c r="I66" s="9" t="s">
        <v>1806</v>
      </c>
      <c r="J66" s="9" t="s">
        <v>1811</v>
      </c>
      <c r="K66" s="2" t="s">
        <v>26</v>
      </c>
    </row>
    <row r="67" spans="1:11" ht="30">
      <c r="A67" s="7">
        <v>40177</v>
      </c>
      <c r="B67" s="8">
        <v>94.4</v>
      </c>
      <c r="C67" s="2" t="s">
        <v>30</v>
      </c>
      <c r="D67" s="7">
        <v>43860</v>
      </c>
      <c r="E67" s="2" t="s">
        <v>23</v>
      </c>
      <c r="F67" s="2" t="s">
        <v>1742</v>
      </c>
      <c r="G67" s="2">
        <v>6</v>
      </c>
      <c r="H67" s="2">
        <v>166</v>
      </c>
      <c r="I67" s="9" t="s">
        <v>1806</v>
      </c>
      <c r="J67" s="9" t="s">
        <v>1812</v>
      </c>
      <c r="K67" s="2" t="s">
        <v>26</v>
      </c>
    </row>
    <row r="68" spans="1:11" ht="30">
      <c r="A68" s="7">
        <v>43892</v>
      </c>
      <c r="B68" s="8">
        <v>94.4</v>
      </c>
      <c r="C68" s="2" t="s">
        <v>32</v>
      </c>
      <c r="D68" s="7">
        <v>43888</v>
      </c>
      <c r="E68" s="2" t="s">
        <v>23</v>
      </c>
      <c r="F68" s="2" t="s">
        <v>1742</v>
      </c>
      <c r="G68" s="2">
        <v>7</v>
      </c>
      <c r="H68" s="2">
        <v>252</v>
      </c>
      <c r="I68" s="9" t="s">
        <v>1806</v>
      </c>
      <c r="J68" s="9" t="s">
        <v>1813</v>
      </c>
      <c r="K68" s="2" t="s">
        <v>26</v>
      </c>
    </row>
    <row r="69" spans="1:11" ht="30">
      <c r="A69" s="7">
        <v>44016</v>
      </c>
      <c r="B69" s="8">
        <v>94.4</v>
      </c>
      <c r="C69" s="2" t="s">
        <v>34</v>
      </c>
      <c r="D69" s="7">
        <v>44016</v>
      </c>
      <c r="E69" s="2" t="s">
        <v>23</v>
      </c>
      <c r="F69" s="2" t="s">
        <v>24</v>
      </c>
      <c r="G69" s="2">
        <v>8</v>
      </c>
      <c r="H69" s="2">
        <v>510</v>
      </c>
      <c r="I69" s="9" t="s">
        <v>1806</v>
      </c>
      <c r="J69" s="9" t="s">
        <v>1814</v>
      </c>
      <c r="K69" s="2" t="s">
        <v>26</v>
      </c>
    </row>
    <row r="70" spans="1:11" ht="30">
      <c r="A70" s="7">
        <v>44055</v>
      </c>
      <c r="B70" s="8">
        <v>94.4</v>
      </c>
      <c r="C70" s="2" t="s">
        <v>38</v>
      </c>
      <c r="D70" s="7">
        <v>44042</v>
      </c>
      <c r="E70" s="2" t="s">
        <v>23</v>
      </c>
      <c r="F70" s="2" t="s">
        <v>24</v>
      </c>
      <c r="G70" s="2">
        <v>9</v>
      </c>
      <c r="H70" s="2">
        <v>636</v>
      </c>
      <c r="I70" s="9" t="s">
        <v>1806</v>
      </c>
      <c r="J70" s="9" t="s">
        <v>1815</v>
      </c>
      <c r="K70" s="2" t="s">
        <v>26</v>
      </c>
    </row>
  </sheetData>
  <mergeCells count="5">
    <mergeCell ref="A1:F1"/>
    <mergeCell ref="D5:E5"/>
    <mergeCell ref="A55:F55"/>
    <mergeCell ref="D59:E59"/>
    <mergeCell ref="G4:H4"/>
  </mergeCells>
  <dataValidations count="2">
    <dataValidation type="list" allowBlank="1" showInputMessage="1" showErrorMessage="1" sqref="C8:C19 C62:C70" xr:uid="{00000000-0002-0000-1600-000000000000}">
      <formula1>"ENERO,FEBRERO,MARZO,ABRIL,MAYO,JUNIO,JULIO,AGOSTO,SEPTIEMBRE,OCTUBRE,NOVIEMBRE,DICIEMBRE"</formula1>
    </dataValidation>
    <dataValidation type="list" allowBlank="1" showInputMessage="1" showErrorMessage="1" sqref="F62:F70 F8:F19" xr:uid="{00000000-0002-0000-1600-000001000000}">
      <formula1>"EFECTIVO, CHEQUE, TRANSFERENCIA,DEPOSITO"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2324-5263-4A9D-B768-9CFA53426862}">
  <sheetPr>
    <tabColor rgb="FFFF0000"/>
  </sheetPr>
  <dimension ref="A1:K19"/>
  <sheetViews>
    <sheetView workbookViewId="0">
      <selection activeCell="B3" sqref="B3"/>
    </sheetView>
  </sheetViews>
  <sheetFormatPr defaultColWidth="11.42578125" defaultRowHeight="15"/>
  <cols>
    <col min="2" max="2" width="18.28515625" customWidth="1"/>
    <col min="3" max="3" width="29.28515625" customWidth="1"/>
  </cols>
  <sheetData>
    <row r="1" spans="1:11" ht="23.25">
      <c r="A1" s="687" t="s">
        <v>1779</v>
      </c>
      <c r="B1" s="687"/>
      <c r="C1" s="687"/>
      <c r="D1" s="687"/>
      <c r="E1" s="687"/>
      <c r="F1" s="687"/>
      <c r="G1" s="2"/>
      <c r="H1" s="2"/>
      <c r="I1" s="2"/>
      <c r="J1" s="2"/>
      <c r="K1" s="2"/>
    </row>
    <row r="2" spans="1:11" ht="31.5">
      <c r="A2" s="2" t="s">
        <v>1729</v>
      </c>
      <c r="B2" s="2" t="s">
        <v>1780</v>
      </c>
      <c r="C2" s="176" t="s">
        <v>1816</v>
      </c>
      <c r="D2" s="2"/>
      <c r="E2" s="2"/>
      <c r="F2" s="2"/>
      <c r="G2" s="2"/>
      <c r="H2" s="2"/>
      <c r="I2" s="748" t="s">
        <v>1817</v>
      </c>
      <c r="J2" s="748"/>
      <c r="K2" s="748"/>
    </row>
    <row r="3" spans="1:11">
      <c r="A3" s="2" t="s">
        <v>1</v>
      </c>
      <c r="B3" s="2">
        <v>10443843723</v>
      </c>
      <c r="C3" s="2"/>
      <c r="D3" s="2"/>
      <c r="E3" s="2"/>
      <c r="F3" s="2"/>
      <c r="G3" s="2"/>
      <c r="H3" s="2"/>
      <c r="I3" s="748"/>
      <c r="J3" s="748"/>
      <c r="K3" s="748"/>
    </row>
    <row r="4" spans="1:11" ht="30">
      <c r="A4" s="2" t="s">
        <v>2</v>
      </c>
      <c r="B4" s="3" t="s">
        <v>1783</v>
      </c>
      <c r="C4" s="2"/>
      <c r="D4" s="2"/>
      <c r="E4" s="2"/>
      <c r="F4" s="2"/>
      <c r="G4" s="2"/>
      <c r="H4" s="2"/>
      <c r="I4" s="748"/>
      <c r="J4" s="748"/>
      <c r="K4" s="748"/>
    </row>
    <row r="5" spans="1:11" ht="44.25">
      <c r="A5" s="176" t="s">
        <v>4</v>
      </c>
      <c r="B5" s="177">
        <v>43661</v>
      </c>
      <c r="C5" s="2"/>
      <c r="D5" s="746" t="s">
        <v>341</v>
      </c>
      <c r="E5" s="747"/>
      <c r="F5" s="2"/>
      <c r="G5" s="2"/>
      <c r="H5" s="2"/>
      <c r="I5" s="2"/>
      <c r="J5" s="2"/>
      <c r="K5" s="2"/>
    </row>
    <row r="6" spans="1:11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75.75" thickBot="1">
      <c r="A7" s="178" t="s">
        <v>7</v>
      </c>
      <c r="B7" s="178" t="s">
        <v>8</v>
      </c>
      <c r="C7" s="178" t="s">
        <v>9</v>
      </c>
      <c r="D7" s="178" t="s">
        <v>10</v>
      </c>
      <c r="E7" s="178" t="s">
        <v>11</v>
      </c>
      <c r="F7" s="178" t="s">
        <v>12</v>
      </c>
      <c r="G7" s="178" t="s">
        <v>13</v>
      </c>
      <c r="H7" s="178" t="s">
        <v>14</v>
      </c>
      <c r="I7" s="178" t="s">
        <v>15</v>
      </c>
      <c r="J7" s="178" t="s">
        <v>16</v>
      </c>
      <c r="K7" s="178" t="s">
        <v>18</v>
      </c>
    </row>
    <row r="8" spans="1:11" ht="30">
      <c r="A8" s="7">
        <v>43664</v>
      </c>
      <c r="B8" s="8">
        <v>80</v>
      </c>
      <c r="C8" s="2" t="s">
        <v>47</v>
      </c>
      <c r="D8" s="7">
        <v>43708</v>
      </c>
      <c r="E8" s="2" t="s">
        <v>23</v>
      </c>
      <c r="F8" s="2" t="s">
        <v>28</v>
      </c>
      <c r="G8" s="2">
        <v>1</v>
      </c>
      <c r="H8" s="2">
        <v>5</v>
      </c>
      <c r="I8" s="9" t="s">
        <v>1818</v>
      </c>
      <c r="J8" s="9" t="s">
        <v>1819</v>
      </c>
      <c r="K8" s="2" t="s">
        <v>1770</v>
      </c>
    </row>
    <row r="9" spans="1:11" ht="30">
      <c r="A9" s="7">
        <v>43708</v>
      </c>
      <c r="B9" s="8">
        <v>94.4</v>
      </c>
      <c r="C9" s="2" t="s">
        <v>50</v>
      </c>
      <c r="D9" s="7">
        <v>43736</v>
      </c>
      <c r="E9" s="2" t="s">
        <v>23</v>
      </c>
      <c r="F9" s="2" t="s">
        <v>1742</v>
      </c>
      <c r="G9" s="2">
        <v>2</v>
      </c>
      <c r="H9" s="2">
        <v>18</v>
      </c>
      <c r="I9" s="9" t="s">
        <v>1818</v>
      </c>
      <c r="J9" s="9" t="s">
        <v>1820</v>
      </c>
      <c r="K9" s="2" t="s">
        <v>26</v>
      </c>
    </row>
    <row r="10" spans="1:11" ht="30">
      <c r="A10" s="7">
        <v>43738</v>
      </c>
      <c r="B10" s="8">
        <v>94.4</v>
      </c>
      <c r="C10" s="2" t="s">
        <v>22</v>
      </c>
      <c r="D10" s="7">
        <v>43761</v>
      </c>
      <c r="E10" s="2" t="s">
        <v>23</v>
      </c>
      <c r="F10" s="2" t="s">
        <v>1742</v>
      </c>
      <c r="G10" s="2">
        <v>3</v>
      </c>
      <c r="H10" s="2">
        <v>46</v>
      </c>
      <c r="I10" s="9" t="s">
        <v>1818</v>
      </c>
      <c r="J10" s="9" t="s">
        <v>1821</v>
      </c>
      <c r="K10" s="2" t="s">
        <v>26</v>
      </c>
    </row>
    <row r="11" spans="1:11" ht="30">
      <c r="A11" s="7">
        <v>43798</v>
      </c>
      <c r="B11" s="8">
        <v>94.4</v>
      </c>
      <c r="C11" s="2" t="s">
        <v>54</v>
      </c>
      <c r="D11" s="7">
        <v>43798</v>
      </c>
      <c r="E11" s="2" t="s">
        <v>23</v>
      </c>
      <c r="F11" s="2" t="s">
        <v>28</v>
      </c>
      <c r="G11" s="2">
        <v>4</v>
      </c>
      <c r="H11" s="2">
        <v>105</v>
      </c>
      <c r="I11" s="9" t="s">
        <v>1818</v>
      </c>
      <c r="J11" s="9" t="s">
        <v>1822</v>
      </c>
      <c r="K11" s="2" t="s">
        <v>26</v>
      </c>
    </row>
    <row r="12" spans="1:11" ht="30">
      <c r="A12" s="7">
        <v>43827</v>
      </c>
      <c r="B12" s="8">
        <v>94.4</v>
      </c>
      <c r="C12" s="2" t="s">
        <v>27</v>
      </c>
      <c r="D12" s="7">
        <v>43827</v>
      </c>
      <c r="E12" s="2" t="s">
        <v>23</v>
      </c>
      <c r="F12" s="2" t="s">
        <v>28</v>
      </c>
      <c r="G12" s="2">
        <v>5</v>
      </c>
      <c r="H12" s="2">
        <v>151</v>
      </c>
      <c r="I12" s="9" t="s">
        <v>1818</v>
      </c>
      <c r="J12" s="9" t="s">
        <v>1823</v>
      </c>
      <c r="K12" s="2" t="s">
        <v>26</v>
      </c>
    </row>
    <row r="13" spans="1:11" ht="30">
      <c r="A13" s="7">
        <v>43860</v>
      </c>
      <c r="B13" s="8">
        <v>94.4</v>
      </c>
      <c r="C13" s="2" t="s">
        <v>30</v>
      </c>
      <c r="D13" s="7">
        <v>43860</v>
      </c>
      <c r="E13" s="2" t="s">
        <v>23</v>
      </c>
      <c r="F13" s="2" t="s">
        <v>28</v>
      </c>
      <c r="G13" s="2">
        <v>6</v>
      </c>
      <c r="H13" s="2">
        <v>202</v>
      </c>
      <c r="I13" s="9" t="s">
        <v>1818</v>
      </c>
      <c r="J13" s="9" t="s">
        <v>1824</v>
      </c>
      <c r="K13" s="2" t="s">
        <v>26</v>
      </c>
    </row>
    <row r="14" spans="1:11" ht="30">
      <c r="A14" s="7">
        <v>43888</v>
      </c>
      <c r="B14" s="8">
        <v>94.4</v>
      </c>
      <c r="C14" s="2" t="s">
        <v>32</v>
      </c>
      <c r="D14" s="7">
        <v>43888</v>
      </c>
      <c r="E14" s="2" t="s">
        <v>23</v>
      </c>
      <c r="F14" s="2" t="s">
        <v>28</v>
      </c>
      <c r="G14" s="2">
        <v>7</v>
      </c>
      <c r="H14" s="2">
        <v>254</v>
      </c>
      <c r="I14" s="9" t="s">
        <v>1818</v>
      </c>
      <c r="J14" s="9" t="s">
        <v>1825</v>
      </c>
      <c r="K14" s="2" t="s">
        <v>26</v>
      </c>
    </row>
    <row r="15" spans="1:11" ht="30">
      <c r="A15" s="7">
        <v>43923</v>
      </c>
      <c r="B15" s="8">
        <v>94.4</v>
      </c>
      <c r="C15" s="2" t="s">
        <v>34</v>
      </c>
      <c r="D15" s="7">
        <v>43923</v>
      </c>
      <c r="E15" s="2" t="s">
        <v>23</v>
      </c>
      <c r="F15" s="2" t="s">
        <v>28</v>
      </c>
      <c r="G15" s="2">
        <v>8</v>
      </c>
      <c r="H15" s="2">
        <v>317</v>
      </c>
      <c r="I15" s="9" t="s">
        <v>1818</v>
      </c>
      <c r="J15" s="9" t="s">
        <v>1826</v>
      </c>
      <c r="K15" s="2" t="s">
        <v>26</v>
      </c>
    </row>
    <row r="16" spans="1:11" ht="30">
      <c r="A16" s="2"/>
      <c r="B16" s="8"/>
      <c r="C16" s="2"/>
      <c r="D16" s="2"/>
      <c r="E16" s="2" t="s">
        <v>23</v>
      </c>
      <c r="F16" s="2"/>
      <c r="G16" s="2"/>
      <c r="H16" s="2"/>
      <c r="I16" s="9" t="s">
        <v>1818</v>
      </c>
      <c r="J16" s="9"/>
      <c r="K16" s="2"/>
    </row>
    <row r="17" spans="1:11" ht="30">
      <c r="A17" s="2"/>
      <c r="B17" s="8"/>
      <c r="C17" s="2"/>
      <c r="D17" s="2"/>
      <c r="E17" s="2" t="s">
        <v>23</v>
      </c>
      <c r="F17" s="2"/>
      <c r="G17" s="2"/>
      <c r="H17" s="2"/>
      <c r="I17" s="9" t="s">
        <v>1818</v>
      </c>
      <c r="J17" s="9"/>
      <c r="K17" s="2"/>
    </row>
    <row r="18" spans="1:11" ht="30">
      <c r="A18" s="2"/>
      <c r="B18" s="8"/>
      <c r="C18" s="2"/>
      <c r="D18" s="2"/>
      <c r="E18" s="2" t="s">
        <v>23</v>
      </c>
      <c r="F18" s="2"/>
      <c r="G18" s="2"/>
      <c r="H18" s="2"/>
      <c r="I18" s="9" t="s">
        <v>1818</v>
      </c>
      <c r="J18" s="9"/>
      <c r="K18" s="2"/>
    </row>
    <row r="19" spans="1:11" ht="30">
      <c r="A19" s="2"/>
      <c r="B19" s="8"/>
      <c r="C19" s="2"/>
      <c r="D19" s="2"/>
      <c r="E19" s="2" t="s">
        <v>23</v>
      </c>
      <c r="F19" s="2"/>
      <c r="G19" s="2"/>
      <c r="H19" s="2"/>
      <c r="I19" s="9" t="s">
        <v>1818</v>
      </c>
      <c r="J19" s="9"/>
      <c r="K19" s="2"/>
    </row>
  </sheetData>
  <mergeCells count="3">
    <mergeCell ref="A1:F1"/>
    <mergeCell ref="D5:E5"/>
    <mergeCell ref="I2:K4"/>
  </mergeCells>
  <dataValidations count="2">
    <dataValidation type="list" allowBlank="1" showInputMessage="1" showErrorMessage="1" sqref="F8:F19" xr:uid="{00000000-0002-0000-1500-000000000000}">
      <formula1>"EFECTIVO, CHEQUE, TRANSFERENCIA,DEPOSITO"</formula1>
    </dataValidation>
    <dataValidation type="list" allowBlank="1" showInputMessage="1" showErrorMessage="1" sqref="C8:C19" xr:uid="{00000000-0002-0000-1500-000001000000}">
      <formula1>"ENERO,FEBRERO,MARZO,ABRIL,MAYO,JUNIO,JULIO,AGOSTO,SEPTIEMBRE,OCTUBRE,NOVIEMBRE,DICIEMBRE"</formula1>
    </dataValidation>
  </dataValidations>
  <hyperlinks>
    <hyperlink ref="B4" r:id="rId1" xr:uid="{00000000-0004-0000-1500-000000000000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8959-4F75-4A03-B2F0-2128FE9AB50B}">
  <dimension ref="A1:AY52"/>
  <sheetViews>
    <sheetView topLeftCell="A25" workbookViewId="0">
      <selection activeCell="I45" sqref="I45"/>
    </sheetView>
  </sheetViews>
  <sheetFormatPr defaultColWidth="11.42578125" defaultRowHeight="15"/>
  <cols>
    <col min="2" max="2" width="12.140625" customWidth="1"/>
    <col min="3" max="3" width="18.42578125" customWidth="1"/>
    <col min="5" max="5" width="21.140625" customWidth="1"/>
    <col min="9" max="9" width="20" customWidth="1"/>
  </cols>
  <sheetData>
    <row r="1" spans="1:14" ht="21">
      <c r="A1" s="749" t="s">
        <v>1827</v>
      </c>
      <c r="B1" s="749"/>
      <c r="C1" s="749"/>
      <c r="D1" s="749"/>
      <c r="E1" s="749"/>
    </row>
    <row r="2" spans="1:14">
      <c r="A2" s="2" t="s">
        <v>1</v>
      </c>
      <c r="B2" s="2">
        <v>20602844332</v>
      </c>
    </row>
    <row r="3" spans="1:14" ht="30.75">
      <c r="A3" s="2" t="s">
        <v>2</v>
      </c>
      <c r="B3" s="3" t="s">
        <v>1828</v>
      </c>
    </row>
    <row r="4" spans="1:14" ht="48.75" customHeight="1">
      <c r="A4" s="185" t="s">
        <v>4</v>
      </c>
      <c r="B4" s="186">
        <v>45699</v>
      </c>
      <c r="D4" s="750" t="s">
        <v>341</v>
      </c>
      <c r="E4" s="750"/>
      <c r="H4" s="751" t="s">
        <v>1829</v>
      </c>
      <c r="I4" s="751"/>
    </row>
    <row r="6" spans="1:14" ht="57">
      <c r="A6" s="187" t="s">
        <v>7</v>
      </c>
      <c r="B6" s="187" t="s">
        <v>8</v>
      </c>
      <c r="C6" s="187" t="s">
        <v>9</v>
      </c>
      <c r="D6" s="187" t="s">
        <v>10</v>
      </c>
      <c r="E6" s="187" t="s">
        <v>11</v>
      </c>
      <c r="F6" s="187" t="s">
        <v>12</v>
      </c>
      <c r="G6" s="187" t="s">
        <v>13</v>
      </c>
      <c r="H6" s="187" t="s">
        <v>14</v>
      </c>
      <c r="I6" s="187" t="s">
        <v>15</v>
      </c>
      <c r="J6" s="187" t="s">
        <v>16</v>
      </c>
      <c r="K6" s="187" t="s">
        <v>17</v>
      </c>
      <c r="L6" s="187" t="s">
        <v>18</v>
      </c>
      <c r="M6" s="488" t="s">
        <v>99</v>
      </c>
      <c r="N6" s="488" t="s">
        <v>19</v>
      </c>
    </row>
    <row r="7" spans="1:14" ht="30.75">
      <c r="A7" s="7">
        <v>44166</v>
      </c>
      <c r="B7" s="8">
        <v>80</v>
      </c>
      <c r="C7" s="2" t="s">
        <v>27</v>
      </c>
      <c r="D7" s="7">
        <v>44161</v>
      </c>
      <c r="E7" s="2" t="s">
        <v>23</v>
      </c>
      <c r="F7" s="2" t="s">
        <v>24</v>
      </c>
      <c r="G7" s="2">
        <v>1</v>
      </c>
      <c r="H7" s="2">
        <v>1310</v>
      </c>
      <c r="I7" s="9"/>
      <c r="J7" s="9" t="s">
        <v>1830</v>
      </c>
      <c r="K7" s="9"/>
      <c r="L7" s="2" t="s">
        <v>26</v>
      </c>
      <c r="M7" s="2"/>
      <c r="N7" s="2"/>
    </row>
    <row r="8" spans="1:14" ht="30.75">
      <c r="A8" s="7">
        <v>44244</v>
      </c>
      <c r="B8" s="8">
        <v>80</v>
      </c>
      <c r="C8" s="2" t="s">
        <v>32</v>
      </c>
      <c r="D8" s="7">
        <v>44226</v>
      </c>
      <c r="E8" s="2" t="s">
        <v>23</v>
      </c>
      <c r="F8" s="2" t="s">
        <v>24</v>
      </c>
      <c r="G8" s="2">
        <v>2</v>
      </c>
      <c r="H8" s="2">
        <v>1870</v>
      </c>
      <c r="I8" s="9"/>
      <c r="J8" s="9" t="s">
        <v>1831</v>
      </c>
      <c r="K8" s="9"/>
      <c r="L8" s="2" t="s">
        <v>26</v>
      </c>
      <c r="M8" s="2"/>
      <c r="N8" s="2"/>
    </row>
    <row r="9" spans="1:14" ht="30.75">
      <c r="A9" s="7">
        <v>44389</v>
      </c>
      <c r="B9" s="8">
        <v>80</v>
      </c>
      <c r="C9" s="2" t="s">
        <v>57</v>
      </c>
      <c r="D9" s="7">
        <v>44377</v>
      </c>
      <c r="E9" s="2" t="s">
        <v>23</v>
      </c>
      <c r="F9" s="2" t="s">
        <v>24</v>
      </c>
      <c r="G9" s="2">
        <v>3</v>
      </c>
      <c r="H9" s="2">
        <v>1304</v>
      </c>
      <c r="I9" s="9"/>
      <c r="J9" s="9" t="s">
        <v>1832</v>
      </c>
      <c r="K9" s="9"/>
      <c r="L9" s="2" t="s">
        <v>26</v>
      </c>
      <c r="M9" s="2"/>
      <c r="N9" s="2"/>
    </row>
    <row r="10" spans="1:14" ht="30.75">
      <c r="A10" s="7">
        <v>44439</v>
      </c>
      <c r="B10" s="8">
        <v>80</v>
      </c>
      <c r="C10" s="2" t="s">
        <v>47</v>
      </c>
      <c r="D10" s="7">
        <v>44408</v>
      </c>
      <c r="E10" s="2" t="s">
        <v>23</v>
      </c>
      <c r="F10" s="2" t="s">
        <v>24</v>
      </c>
      <c r="G10" s="2">
        <v>4</v>
      </c>
      <c r="H10" s="2">
        <v>1863</v>
      </c>
      <c r="I10" s="9"/>
      <c r="J10" s="9" t="s">
        <v>1833</v>
      </c>
      <c r="K10" s="9"/>
      <c r="L10" s="2" t="s">
        <v>26</v>
      </c>
      <c r="M10" s="2"/>
      <c r="N10" s="2"/>
    </row>
    <row r="11" spans="1:14" ht="30.75">
      <c r="A11" s="7">
        <v>44501</v>
      </c>
      <c r="B11" s="8">
        <v>80</v>
      </c>
      <c r="C11" s="2" t="s">
        <v>22</v>
      </c>
      <c r="D11" s="7">
        <v>44469</v>
      </c>
      <c r="E11" s="2" t="s">
        <v>23</v>
      </c>
      <c r="F11" s="2" t="s">
        <v>24</v>
      </c>
      <c r="G11" s="2">
        <v>5</v>
      </c>
      <c r="H11" s="2">
        <v>2800</v>
      </c>
      <c r="I11" s="9"/>
      <c r="J11" s="9" t="s">
        <v>1834</v>
      </c>
      <c r="K11" s="9"/>
      <c r="L11" s="2" t="s">
        <v>56</v>
      </c>
      <c r="M11" s="2"/>
      <c r="N11" s="2"/>
    </row>
    <row r="12" spans="1:14" ht="30.75">
      <c r="A12" s="7">
        <v>44553</v>
      </c>
      <c r="B12" s="8">
        <v>80</v>
      </c>
      <c r="C12" s="2" t="s">
        <v>27</v>
      </c>
      <c r="D12" s="7">
        <v>44530</v>
      </c>
      <c r="E12" s="2" t="s">
        <v>23</v>
      </c>
      <c r="F12" s="2" t="s">
        <v>24</v>
      </c>
      <c r="G12" s="2">
        <v>6</v>
      </c>
      <c r="H12" s="2">
        <v>3399</v>
      </c>
      <c r="I12" s="9"/>
      <c r="J12" s="9" t="s">
        <v>1835</v>
      </c>
      <c r="K12" s="9"/>
      <c r="L12" s="2" t="s">
        <v>56</v>
      </c>
      <c r="M12" s="2"/>
      <c r="N12" s="2"/>
    </row>
    <row r="13" spans="1:14" ht="30.75">
      <c r="A13" s="7">
        <v>44592</v>
      </c>
      <c r="B13" s="8">
        <v>80</v>
      </c>
      <c r="C13" s="2" t="s">
        <v>30</v>
      </c>
      <c r="D13" s="7">
        <v>44558</v>
      </c>
      <c r="E13" t="s">
        <v>23</v>
      </c>
      <c r="F13" s="2" t="s">
        <v>24</v>
      </c>
      <c r="G13" s="2">
        <v>7</v>
      </c>
      <c r="H13" s="2">
        <v>4609</v>
      </c>
      <c r="I13" s="9"/>
      <c r="J13" s="9" t="s">
        <v>1836</v>
      </c>
      <c r="K13" s="9"/>
      <c r="L13" s="2" t="s">
        <v>26</v>
      </c>
      <c r="M13" s="2"/>
      <c r="N13" s="2"/>
    </row>
    <row r="14" spans="1:14" ht="30.75">
      <c r="A14" s="7">
        <v>44650</v>
      </c>
      <c r="B14" s="8">
        <v>80</v>
      </c>
      <c r="C14" s="2" t="s">
        <v>34</v>
      </c>
      <c r="D14" s="7"/>
      <c r="E14" s="2" t="s">
        <v>23</v>
      </c>
      <c r="F14" s="2" t="s">
        <v>24</v>
      </c>
      <c r="G14" s="2">
        <v>8</v>
      </c>
      <c r="H14" s="2">
        <v>6010</v>
      </c>
      <c r="I14" s="9"/>
      <c r="J14" s="9"/>
      <c r="K14" s="9"/>
      <c r="L14" s="2" t="s">
        <v>26</v>
      </c>
      <c r="M14" s="2"/>
      <c r="N14" s="2"/>
    </row>
    <row r="15" spans="1:14" ht="30.75">
      <c r="A15" s="7">
        <v>44708</v>
      </c>
      <c r="B15" s="8">
        <v>80</v>
      </c>
      <c r="C15" s="2" t="s">
        <v>41</v>
      </c>
      <c r="D15" s="7">
        <v>44681</v>
      </c>
      <c r="E15" s="2" t="s">
        <v>23</v>
      </c>
      <c r="F15" s="2" t="s">
        <v>24</v>
      </c>
      <c r="G15" s="2">
        <v>9</v>
      </c>
      <c r="H15" s="2">
        <v>7175</v>
      </c>
      <c r="I15" s="9"/>
      <c r="J15" s="9" t="s">
        <v>1837</v>
      </c>
      <c r="K15" s="9"/>
      <c r="L15" s="2" t="s">
        <v>26</v>
      </c>
      <c r="M15" s="2"/>
      <c r="N15" s="2"/>
    </row>
    <row r="16" spans="1:14" ht="30.75">
      <c r="A16" s="7">
        <v>44751</v>
      </c>
      <c r="B16" s="8">
        <v>80</v>
      </c>
      <c r="C16" s="2" t="s">
        <v>57</v>
      </c>
      <c r="D16" s="7">
        <v>44709</v>
      </c>
      <c r="E16" s="2" t="s">
        <v>23</v>
      </c>
      <c r="F16" s="2" t="s">
        <v>24</v>
      </c>
      <c r="G16" s="2">
        <v>10</v>
      </c>
      <c r="H16" s="2">
        <v>8686</v>
      </c>
      <c r="I16" s="9"/>
      <c r="J16" s="9" t="s">
        <v>1838</v>
      </c>
      <c r="K16" s="9"/>
      <c r="L16" s="2" t="s">
        <v>26</v>
      </c>
      <c r="M16" s="2"/>
      <c r="N16" s="2"/>
    </row>
    <row r="17" spans="1:51" s="290" customFormat="1" ht="30.75">
      <c r="A17" s="7">
        <v>44845</v>
      </c>
      <c r="B17" s="8">
        <v>80</v>
      </c>
      <c r="C17" s="2" t="s">
        <v>22</v>
      </c>
      <c r="D17" s="7">
        <v>44630</v>
      </c>
      <c r="E17" s="2" t="s">
        <v>23</v>
      </c>
      <c r="F17" s="2" t="s">
        <v>24</v>
      </c>
      <c r="G17" s="2">
        <v>11</v>
      </c>
      <c r="H17" s="2">
        <v>11207</v>
      </c>
      <c r="I17" s="9"/>
      <c r="J17" s="9" t="s">
        <v>1839</v>
      </c>
      <c r="K17" s="9"/>
      <c r="L17" s="2" t="s">
        <v>26</v>
      </c>
      <c r="M17" s="487"/>
      <c r="N17" s="487"/>
      <c r="O17" s="486"/>
      <c r="P17" s="486"/>
      <c r="Q17" s="486"/>
      <c r="R17" s="486"/>
      <c r="S17" s="486"/>
      <c r="T17" s="486"/>
      <c r="U17" s="486"/>
      <c r="V17" s="486"/>
      <c r="W17" s="486"/>
      <c r="X17" s="486"/>
      <c r="Y17" s="486"/>
      <c r="Z17" s="486"/>
      <c r="AA17" s="486"/>
      <c r="AB17" s="486"/>
      <c r="AC17" s="486"/>
      <c r="AD17" s="486"/>
      <c r="AE17" s="486"/>
      <c r="AF17" s="486"/>
      <c r="AG17" s="486"/>
      <c r="AH17" s="486"/>
      <c r="AI17" s="486"/>
      <c r="AJ17" s="486"/>
      <c r="AK17" s="486"/>
      <c r="AL17" s="486"/>
      <c r="AM17" s="486"/>
      <c r="AN17" s="486"/>
      <c r="AO17" s="486"/>
      <c r="AP17" s="486"/>
      <c r="AQ17" s="486"/>
      <c r="AR17" s="486"/>
      <c r="AS17" s="486"/>
      <c r="AT17" s="486"/>
      <c r="AU17" s="486"/>
      <c r="AV17" s="486"/>
      <c r="AW17" s="486"/>
      <c r="AX17" s="486"/>
      <c r="AY17" s="486"/>
    </row>
    <row r="18" spans="1:51" ht="30.75">
      <c r="A18" s="2" t="s">
        <v>1840</v>
      </c>
      <c r="B18" s="8">
        <v>80</v>
      </c>
      <c r="C18" s="2" t="s">
        <v>27</v>
      </c>
      <c r="D18" s="2" t="s">
        <v>61</v>
      </c>
      <c r="E18" s="2" t="s">
        <v>23</v>
      </c>
      <c r="F18" s="2" t="s">
        <v>24</v>
      </c>
      <c r="G18" s="2">
        <v>12</v>
      </c>
      <c r="H18" s="2">
        <v>12377</v>
      </c>
      <c r="I18" s="9"/>
      <c r="J18" s="9" t="s">
        <v>1841</v>
      </c>
      <c r="K18" s="9"/>
      <c r="L18" s="2" t="s">
        <v>26</v>
      </c>
      <c r="M18" s="2"/>
      <c r="N18" s="2"/>
    </row>
    <row r="19" spans="1:51" ht="30.75">
      <c r="A19" s="7">
        <v>44929</v>
      </c>
      <c r="B19" s="2">
        <v>80</v>
      </c>
      <c r="C19" s="2" t="s">
        <v>32</v>
      </c>
      <c r="D19" s="2" t="s">
        <v>189</v>
      </c>
      <c r="E19" s="2" t="s">
        <v>23</v>
      </c>
      <c r="F19" s="2" t="s">
        <v>24</v>
      </c>
      <c r="G19" s="2">
        <v>13</v>
      </c>
      <c r="H19" s="2">
        <v>14265</v>
      </c>
      <c r="I19" s="2"/>
      <c r="J19" s="2">
        <v>21607</v>
      </c>
      <c r="K19" s="2"/>
      <c r="L19" s="2" t="s">
        <v>26</v>
      </c>
      <c r="M19" s="2"/>
      <c r="N19" s="2"/>
    </row>
    <row r="20" spans="1:51" ht="30.75">
      <c r="A20" s="2" t="s">
        <v>1842</v>
      </c>
      <c r="B20" s="2">
        <v>80</v>
      </c>
      <c r="C20" s="2" t="s">
        <v>38</v>
      </c>
      <c r="D20" s="2" t="s">
        <v>1179</v>
      </c>
      <c r="E20" s="2" t="s">
        <v>23</v>
      </c>
      <c r="F20" s="2" t="s">
        <v>24</v>
      </c>
      <c r="G20" s="2">
        <v>14</v>
      </c>
      <c r="H20" s="2">
        <v>15712</v>
      </c>
      <c r="I20" s="2"/>
      <c r="J20" s="2">
        <v>22617</v>
      </c>
      <c r="K20" s="2"/>
      <c r="L20" s="2" t="s">
        <v>26</v>
      </c>
      <c r="M20" s="2"/>
      <c r="N20" s="2"/>
    </row>
    <row r="21" spans="1:51" ht="30.75">
      <c r="A21" s="7">
        <v>45118</v>
      </c>
      <c r="B21" s="2">
        <v>80</v>
      </c>
      <c r="C21" s="2" t="s">
        <v>57</v>
      </c>
      <c r="D21" s="7">
        <v>45103</v>
      </c>
      <c r="E21" s="2" t="s">
        <v>23</v>
      </c>
      <c r="F21" s="2" t="s">
        <v>24</v>
      </c>
      <c r="G21" s="2">
        <v>15</v>
      </c>
      <c r="H21" s="2">
        <v>17081</v>
      </c>
      <c r="I21" s="2"/>
      <c r="J21" s="2">
        <v>25663</v>
      </c>
      <c r="K21" s="2"/>
      <c r="L21" s="2" t="s">
        <v>26</v>
      </c>
      <c r="M21" s="2">
        <v>2</v>
      </c>
      <c r="N21" s="2"/>
    </row>
    <row r="22" spans="1:51" ht="30.75">
      <c r="A22" s="7">
        <v>45177</v>
      </c>
      <c r="B22" s="2">
        <v>80</v>
      </c>
      <c r="C22" s="2" t="s">
        <v>50</v>
      </c>
      <c r="D22" s="7">
        <v>45167</v>
      </c>
      <c r="E22" s="2" t="s">
        <v>23</v>
      </c>
      <c r="F22" s="2" t="s">
        <v>24</v>
      </c>
      <c r="G22" s="2">
        <v>16</v>
      </c>
      <c r="H22" s="2" t="s">
        <v>1843</v>
      </c>
      <c r="I22" s="2"/>
      <c r="J22" s="2">
        <v>27932</v>
      </c>
      <c r="K22" s="2"/>
      <c r="L22" s="2" t="s">
        <v>26</v>
      </c>
      <c r="M22" s="2">
        <v>3</v>
      </c>
      <c r="N22" s="2"/>
    </row>
    <row r="23" spans="1:51" ht="30.75">
      <c r="A23" s="7">
        <v>45265</v>
      </c>
      <c r="B23" s="2">
        <v>80</v>
      </c>
      <c r="C23" s="2" t="s">
        <v>54</v>
      </c>
      <c r="D23" s="7">
        <v>45229</v>
      </c>
      <c r="E23" s="2" t="s">
        <v>23</v>
      </c>
      <c r="F23" s="2" t="s">
        <v>24</v>
      </c>
      <c r="G23" s="2">
        <v>17</v>
      </c>
      <c r="H23" s="2">
        <v>20141</v>
      </c>
      <c r="I23" s="2"/>
      <c r="J23" s="2">
        <v>29752</v>
      </c>
      <c r="K23" s="2">
        <v>31886</v>
      </c>
      <c r="L23" s="2" t="s">
        <v>26</v>
      </c>
      <c r="M23" s="2">
        <v>4</v>
      </c>
      <c r="N23" s="100" t="s">
        <v>1844</v>
      </c>
    </row>
    <row r="24" spans="1:51" ht="30.75">
      <c r="A24" s="7">
        <v>45288</v>
      </c>
      <c r="B24" s="2">
        <v>80</v>
      </c>
      <c r="C24" s="2" t="s">
        <v>30</v>
      </c>
      <c r="D24" s="7">
        <v>45288</v>
      </c>
      <c r="E24" s="2" t="s">
        <v>23</v>
      </c>
      <c r="F24" s="2" t="s">
        <v>24</v>
      </c>
      <c r="G24" s="2">
        <v>18</v>
      </c>
      <c r="H24" s="2">
        <v>21469</v>
      </c>
      <c r="I24" s="2"/>
      <c r="J24" s="2">
        <v>31503</v>
      </c>
      <c r="K24" s="2">
        <v>33676</v>
      </c>
      <c r="L24" s="2" t="s">
        <v>26</v>
      </c>
      <c r="M24" s="2">
        <v>4</v>
      </c>
      <c r="N24" s="2"/>
    </row>
    <row r="25" spans="1:51" ht="30.75">
      <c r="A25" s="7">
        <v>45367</v>
      </c>
      <c r="B25" s="2">
        <v>80</v>
      </c>
      <c r="C25" s="2" t="s">
        <v>34</v>
      </c>
      <c r="D25" s="7">
        <v>45351</v>
      </c>
      <c r="E25" s="2" t="s">
        <v>23</v>
      </c>
      <c r="F25" s="2" t="s">
        <v>24</v>
      </c>
      <c r="G25" s="2">
        <v>19</v>
      </c>
      <c r="H25" s="2">
        <v>22865</v>
      </c>
      <c r="I25" s="2"/>
      <c r="J25" s="2">
        <v>33397</v>
      </c>
      <c r="K25" s="2">
        <v>35480</v>
      </c>
      <c r="L25" s="2" t="s">
        <v>26</v>
      </c>
      <c r="M25" s="2">
        <v>7</v>
      </c>
      <c r="N25" s="2"/>
    </row>
    <row r="26" spans="1:51" ht="30.75">
      <c r="A26" s="7">
        <v>45479</v>
      </c>
      <c r="B26" s="2">
        <v>80</v>
      </c>
      <c r="C26" s="2" t="s">
        <v>41</v>
      </c>
      <c r="D26" s="7">
        <v>45411</v>
      </c>
      <c r="E26" s="2" t="s">
        <v>23</v>
      </c>
      <c r="F26" s="2" t="s">
        <v>24</v>
      </c>
      <c r="G26" s="2">
        <v>20</v>
      </c>
      <c r="H26" s="2">
        <v>24615</v>
      </c>
      <c r="I26" s="2"/>
      <c r="J26" s="2">
        <v>35358</v>
      </c>
      <c r="K26" s="2">
        <v>37391</v>
      </c>
      <c r="L26" s="2" t="s">
        <v>26</v>
      </c>
      <c r="M26" s="2">
        <v>6</v>
      </c>
      <c r="N26" s="2"/>
    </row>
    <row r="27" spans="1:51" ht="30.75">
      <c r="A27" s="7">
        <v>45505</v>
      </c>
      <c r="B27" s="2">
        <v>80</v>
      </c>
      <c r="C27" s="2" t="s">
        <v>57</v>
      </c>
      <c r="D27" s="7">
        <v>45470</v>
      </c>
      <c r="E27" s="2" t="s">
        <v>23</v>
      </c>
      <c r="F27" s="2" t="s">
        <v>24</v>
      </c>
      <c r="G27" s="2">
        <v>21</v>
      </c>
      <c r="H27" s="2">
        <v>25811</v>
      </c>
      <c r="I27" s="2"/>
      <c r="J27" s="2">
        <v>37167</v>
      </c>
      <c r="K27" s="2">
        <v>39213</v>
      </c>
      <c r="L27" s="2" t="s">
        <v>26</v>
      </c>
      <c r="M27" s="2">
        <v>3</v>
      </c>
      <c r="N27" s="2"/>
    </row>
    <row r="28" spans="1:51" ht="30.75">
      <c r="A28" s="545" t="s">
        <v>1845</v>
      </c>
      <c r="B28" s="545">
        <v>80</v>
      </c>
      <c r="C28" s="545" t="s">
        <v>54</v>
      </c>
      <c r="D28" s="548">
        <v>45596</v>
      </c>
      <c r="E28" s="545" t="s">
        <v>23</v>
      </c>
      <c r="F28" s="545" t="s">
        <v>24</v>
      </c>
      <c r="G28" s="545">
        <v>22</v>
      </c>
      <c r="H28" s="545">
        <v>29115</v>
      </c>
      <c r="I28" s="545"/>
      <c r="J28" s="545">
        <v>41301</v>
      </c>
      <c r="K28" s="545">
        <v>43484</v>
      </c>
      <c r="L28" s="545" t="s">
        <v>72</v>
      </c>
      <c r="M28" s="2">
        <v>8.5</v>
      </c>
      <c r="N28" s="2"/>
    </row>
    <row r="29" spans="1:51" ht="33" customHeight="1">
      <c r="A29" s="545" t="s">
        <v>1845</v>
      </c>
      <c r="B29" s="545">
        <v>80</v>
      </c>
      <c r="C29" s="545" t="s">
        <v>30</v>
      </c>
      <c r="D29" s="548">
        <v>45656</v>
      </c>
      <c r="E29" s="545" t="s">
        <v>23</v>
      </c>
      <c r="F29" s="545" t="s">
        <v>24</v>
      </c>
      <c r="G29" s="545">
        <v>23</v>
      </c>
      <c r="H29" s="545">
        <v>30726</v>
      </c>
      <c r="I29" s="545"/>
      <c r="J29" s="545">
        <v>43242</v>
      </c>
      <c r="K29" s="545">
        <v>45437</v>
      </c>
      <c r="L29" s="545" t="s">
        <v>72</v>
      </c>
      <c r="M29" s="2">
        <v>4.5</v>
      </c>
      <c r="N29" s="2"/>
    </row>
    <row r="30" spans="1:51" ht="33" customHeight="1">
      <c r="A30" s="7">
        <v>45754</v>
      </c>
      <c r="B30" s="545">
        <v>80</v>
      </c>
      <c r="C30" s="2" t="s">
        <v>34</v>
      </c>
      <c r="D30" s="7">
        <v>45716</v>
      </c>
      <c r="E30" s="2" t="s">
        <v>23</v>
      </c>
      <c r="F30" s="2" t="s">
        <v>24</v>
      </c>
      <c r="G30" s="2"/>
      <c r="H30" s="2">
        <v>32398</v>
      </c>
      <c r="I30" s="100">
        <v>944</v>
      </c>
      <c r="J30" s="2">
        <v>45450</v>
      </c>
      <c r="K30" s="2"/>
      <c r="L30" s="545" t="s">
        <v>73</v>
      </c>
      <c r="M30" s="2">
        <v>3.5</v>
      </c>
      <c r="N30" s="100" t="s">
        <v>76</v>
      </c>
    </row>
    <row r="31" spans="1:51" ht="33" customHeight="1">
      <c r="A31" s="2" t="s">
        <v>1846</v>
      </c>
      <c r="B31" s="545">
        <v>80</v>
      </c>
      <c r="C31" s="2" t="s">
        <v>41</v>
      </c>
      <c r="D31" s="7">
        <v>45777</v>
      </c>
      <c r="E31" s="2" t="s">
        <v>23</v>
      </c>
      <c r="F31" s="2" t="s">
        <v>24</v>
      </c>
      <c r="G31" s="2"/>
      <c r="H31" s="2">
        <v>34042</v>
      </c>
      <c r="I31" s="2"/>
      <c r="J31" s="2">
        <v>47651</v>
      </c>
      <c r="K31" s="2"/>
      <c r="L31" s="545" t="s">
        <v>73</v>
      </c>
      <c r="M31" s="2">
        <v>3.3</v>
      </c>
      <c r="N31" s="2"/>
    </row>
    <row r="32" spans="1:51" ht="33" customHeight="1">
      <c r="A32" s="7">
        <v>45902</v>
      </c>
      <c r="B32" s="545">
        <v>80</v>
      </c>
      <c r="C32" s="2" t="s">
        <v>57</v>
      </c>
      <c r="D32" s="7">
        <v>45835</v>
      </c>
      <c r="E32" s="2" t="s">
        <v>23</v>
      </c>
      <c r="F32" s="2" t="s">
        <v>24</v>
      </c>
      <c r="G32" s="2"/>
      <c r="H32" s="2">
        <v>35692</v>
      </c>
      <c r="I32" s="2"/>
      <c r="J32" s="2">
        <v>318</v>
      </c>
      <c r="K32" s="2"/>
      <c r="L32" s="545" t="s">
        <v>192</v>
      </c>
      <c r="M32" s="2">
        <v>3.5</v>
      </c>
      <c r="N32" s="2"/>
    </row>
    <row r="33" spans="1:14" ht="33" customHeight="1">
      <c r="A33" s="7">
        <v>45925</v>
      </c>
      <c r="B33" s="545">
        <v>80</v>
      </c>
      <c r="C33" s="2" t="s">
        <v>50</v>
      </c>
      <c r="D33" s="7">
        <v>45897</v>
      </c>
      <c r="E33" s="2" t="s">
        <v>23</v>
      </c>
      <c r="F33" s="2" t="s">
        <v>24</v>
      </c>
      <c r="G33" s="2"/>
      <c r="H33" s="2">
        <v>37266</v>
      </c>
      <c r="I33" s="2"/>
      <c r="J33" s="2">
        <v>51318</v>
      </c>
      <c r="K33" s="2"/>
      <c r="L33" s="545" t="s">
        <v>72</v>
      </c>
      <c r="M33" s="2">
        <v>1.5</v>
      </c>
      <c r="N33" s="2"/>
    </row>
    <row r="34" spans="1:14" ht="33" customHeight="1">
      <c r="A34" s="7">
        <v>46017</v>
      </c>
      <c r="B34" s="545">
        <v>80</v>
      </c>
      <c r="C34" s="2" t="s">
        <v>54</v>
      </c>
      <c r="D34" s="7">
        <v>45961</v>
      </c>
      <c r="E34" s="2" t="s">
        <v>23</v>
      </c>
      <c r="F34" s="2" t="s">
        <v>24</v>
      </c>
      <c r="G34" s="2"/>
      <c r="H34" s="2">
        <v>38989</v>
      </c>
      <c r="I34" s="2"/>
      <c r="J34" s="2">
        <v>53349</v>
      </c>
      <c r="K34" s="2"/>
      <c r="L34" s="545" t="s">
        <v>72</v>
      </c>
      <c r="M34" s="2">
        <v>9</v>
      </c>
      <c r="N34" s="2"/>
    </row>
    <row r="35" spans="1:14" ht="33" customHeight="1">
      <c r="A35" s="7">
        <v>46042</v>
      </c>
      <c r="B35" s="545">
        <v>80</v>
      </c>
      <c r="C35" s="2" t="s">
        <v>30</v>
      </c>
      <c r="D35" s="7">
        <v>46020</v>
      </c>
      <c r="E35" s="2" t="s">
        <v>23</v>
      </c>
      <c r="F35" s="2" t="s">
        <v>24</v>
      </c>
      <c r="G35" s="2"/>
      <c r="H35" s="2">
        <v>40658</v>
      </c>
      <c r="I35" s="2"/>
      <c r="J35" s="2">
        <v>55714</v>
      </c>
      <c r="K35" s="2"/>
      <c r="L35" s="545" t="s">
        <v>72</v>
      </c>
      <c r="M35" s="2">
        <v>5</v>
      </c>
      <c r="N35" s="2"/>
    </row>
    <row r="36" spans="1:14" ht="33" customHeight="1">
      <c r="A36" s="7">
        <v>46141</v>
      </c>
      <c r="B36" s="2">
        <v>80</v>
      </c>
      <c r="C36" s="2" t="s">
        <v>34</v>
      </c>
      <c r="D36" s="7">
        <v>46081</v>
      </c>
      <c r="E36" s="2" t="s">
        <v>23</v>
      </c>
      <c r="F36" s="2" t="s">
        <v>24</v>
      </c>
      <c r="G36" s="2"/>
      <c r="H36" s="2">
        <v>42428</v>
      </c>
      <c r="I36" s="2"/>
      <c r="J36" s="2">
        <v>58421</v>
      </c>
      <c r="K36" s="2"/>
      <c r="L36" s="545" t="s">
        <v>72</v>
      </c>
      <c r="M36" s="2">
        <v>4.2</v>
      </c>
      <c r="N36" s="2"/>
    </row>
    <row r="37" spans="1:14" ht="33" customHeight="1">
      <c r="A37" s="2"/>
      <c r="B37" s="2">
        <v>80</v>
      </c>
      <c r="C37" s="2" t="s">
        <v>41</v>
      </c>
      <c r="D37" s="7">
        <v>46141</v>
      </c>
      <c r="E37" s="2" t="s">
        <v>23</v>
      </c>
      <c r="F37" s="2" t="s">
        <v>24</v>
      </c>
      <c r="G37" s="2"/>
      <c r="H37" s="2">
        <v>44114</v>
      </c>
      <c r="I37" s="2"/>
      <c r="J37" s="2">
        <v>61000</v>
      </c>
      <c r="K37" s="2"/>
      <c r="L37" s="535" t="s">
        <v>1805</v>
      </c>
      <c r="M37" s="2">
        <v>6.9</v>
      </c>
      <c r="N37" s="2"/>
    </row>
    <row r="38" spans="1:14" ht="33" customHeight="1">
      <c r="A38" s="2"/>
      <c r="B38" s="2"/>
      <c r="C38" s="2"/>
      <c r="D38" s="2"/>
      <c r="E38" s="2" t="s">
        <v>23</v>
      </c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2"/>
      <c r="C39" s="2"/>
      <c r="D39" s="2"/>
      <c r="E39" s="2" t="s">
        <v>23</v>
      </c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2"/>
      <c r="C40" s="2"/>
      <c r="D40" s="2"/>
      <c r="E40" s="2" t="s">
        <v>23</v>
      </c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2"/>
      <c r="C41" s="2"/>
      <c r="D41" s="2"/>
      <c r="E41" s="2" t="s">
        <v>23</v>
      </c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2"/>
      <c r="C42" s="2"/>
      <c r="D42" s="2"/>
      <c r="E42" s="2" t="s">
        <v>23</v>
      </c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2"/>
      <c r="C43" s="2"/>
      <c r="D43" s="2"/>
      <c r="E43" s="2" t="s">
        <v>23</v>
      </c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2"/>
      <c r="C44" s="2"/>
      <c r="D44" s="2"/>
      <c r="E44" s="2" t="s">
        <v>23</v>
      </c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2"/>
      <c r="C45" s="2"/>
      <c r="D45" s="2"/>
      <c r="E45" s="2" t="s">
        <v>23</v>
      </c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2"/>
      <c r="C46" s="2"/>
      <c r="D46" s="2"/>
      <c r="E46" s="2" t="s">
        <v>23</v>
      </c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2"/>
      <c r="C47" s="2"/>
      <c r="D47" s="2"/>
      <c r="E47" s="2" t="s">
        <v>23</v>
      </c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2"/>
      <c r="C48" s="2"/>
      <c r="D48" s="2"/>
      <c r="E48" s="2" t="s">
        <v>23</v>
      </c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2"/>
      <c r="C49" s="2"/>
      <c r="D49" s="2"/>
      <c r="E49" s="2" t="s">
        <v>23</v>
      </c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2"/>
      <c r="C50" s="2"/>
      <c r="D50" s="2"/>
      <c r="E50" s="2" t="s">
        <v>23</v>
      </c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2"/>
      <c r="C51" s="2"/>
      <c r="D51" s="2"/>
      <c r="E51" s="2" t="s">
        <v>23</v>
      </c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2"/>
      <c r="C52" s="2"/>
      <c r="D52" s="2"/>
      <c r="E52" s="2" t="s">
        <v>23</v>
      </c>
      <c r="F52" s="2"/>
      <c r="G52" s="2"/>
      <c r="H52" s="2"/>
      <c r="I52" s="2"/>
      <c r="J52" s="2"/>
      <c r="K52" s="2"/>
      <c r="L52" s="2"/>
      <c r="M52" s="2"/>
      <c r="N52" s="2"/>
    </row>
  </sheetData>
  <mergeCells count="3">
    <mergeCell ref="A1:E1"/>
    <mergeCell ref="D4:E4"/>
    <mergeCell ref="H4:I4"/>
  </mergeCells>
  <dataValidations count="2">
    <dataValidation type="list" allowBlank="1" showInputMessage="1" showErrorMessage="1" sqref="F7:F52" xr:uid="{00000000-0002-0000-1700-000000000000}">
      <formula1>"EFECTIVO, CHEQUE, TRANSFERENCIA,DEPOSITO"</formula1>
    </dataValidation>
    <dataValidation type="list" allowBlank="1" showInputMessage="1" showErrorMessage="1" sqref="C7:C52" xr:uid="{00000000-0002-0000-1700-000001000000}">
      <formula1>"ENERO,FEBRERO,MARZO,ABRIL,MAYO,JUNIO,JULIO,AGOSTO,SEPTIEMBRE,OCTUBRE,NOVIEMBRE,DICIEMBRE"</formula1>
    </dataValidation>
  </dataValidations>
  <hyperlinks>
    <hyperlink ref="B3" r:id="rId1" xr:uid="{00000000-0004-0000-1700-000000000000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516A-396F-4FC0-804B-91297C097768}">
  <dimension ref="A1:N147"/>
  <sheetViews>
    <sheetView topLeftCell="A57" workbookViewId="0">
      <selection activeCell="N64" sqref="N64"/>
    </sheetView>
  </sheetViews>
  <sheetFormatPr defaultColWidth="11.42578125" defaultRowHeight="15"/>
  <cols>
    <col min="1" max="1" width="14.7109375" customWidth="1"/>
    <col min="2" max="2" width="18.7109375" customWidth="1"/>
    <col min="3" max="3" width="13.7109375" bestFit="1" customWidth="1"/>
    <col min="5" max="5" width="11.5703125" customWidth="1"/>
    <col min="8" max="8" width="14" customWidth="1"/>
    <col min="9" max="9" width="13.28515625" customWidth="1"/>
    <col min="11" max="11" width="14.7109375" customWidth="1"/>
  </cols>
  <sheetData>
    <row r="1" spans="1:13" ht="33" customHeight="1">
      <c r="A1" s="752" t="s">
        <v>1847</v>
      </c>
      <c r="B1" s="752"/>
      <c r="C1" s="752"/>
      <c r="D1" s="752"/>
      <c r="E1" s="752"/>
    </row>
    <row r="2" spans="1:13" ht="25.5" customHeight="1">
      <c r="A2" s="2" t="s">
        <v>1</v>
      </c>
      <c r="B2" s="2">
        <v>20534783010</v>
      </c>
    </row>
    <row r="3" spans="1:13" ht="30">
      <c r="A3" s="2" t="s">
        <v>2</v>
      </c>
      <c r="B3" s="3" t="s">
        <v>1848</v>
      </c>
    </row>
    <row r="4" spans="1:13" ht="37.5">
      <c r="A4" s="188" t="s">
        <v>4</v>
      </c>
      <c r="B4" s="189">
        <v>45377</v>
      </c>
      <c r="E4" s="753" t="s">
        <v>341</v>
      </c>
      <c r="F4" s="753"/>
      <c r="I4" s="754" t="s">
        <v>1849</v>
      </c>
      <c r="J4" s="754"/>
      <c r="K4" s="754"/>
    </row>
    <row r="6" spans="1:13" ht="57">
      <c r="A6" s="190" t="s">
        <v>7</v>
      </c>
      <c r="B6" s="190" t="s">
        <v>8</v>
      </c>
      <c r="C6" s="190" t="s">
        <v>9</v>
      </c>
      <c r="D6" s="190" t="s">
        <v>10</v>
      </c>
      <c r="E6" s="190" t="s">
        <v>11</v>
      </c>
      <c r="F6" s="190" t="s">
        <v>12</v>
      </c>
      <c r="G6" s="190" t="s">
        <v>13</v>
      </c>
      <c r="H6" s="190" t="s">
        <v>14</v>
      </c>
      <c r="I6" s="190" t="s">
        <v>1850</v>
      </c>
      <c r="J6" s="190" t="s">
        <v>16</v>
      </c>
      <c r="K6" s="190" t="s">
        <v>18</v>
      </c>
      <c r="L6" s="349" t="s">
        <v>99</v>
      </c>
      <c r="M6" s="349" t="s">
        <v>19</v>
      </c>
    </row>
    <row r="7" spans="1:13">
      <c r="A7" s="7">
        <v>44257</v>
      </c>
      <c r="B7" s="8">
        <v>94.4</v>
      </c>
      <c r="C7" s="2" t="s">
        <v>38</v>
      </c>
      <c r="D7" s="7">
        <v>44257</v>
      </c>
      <c r="E7" s="2" t="s">
        <v>23</v>
      </c>
      <c r="F7" s="2" t="s">
        <v>28</v>
      </c>
      <c r="G7" s="2">
        <f>ROW() - ROW(Tabla35678[[#Headers],[N° SERVICIO]])</f>
        <v>1</v>
      </c>
      <c r="H7" s="9" t="s">
        <v>1851</v>
      </c>
      <c r="I7" s="9"/>
      <c r="J7" s="9" t="s">
        <v>1852</v>
      </c>
      <c r="K7" s="2" t="s">
        <v>26</v>
      </c>
      <c r="L7" s="2"/>
      <c r="M7" s="2"/>
    </row>
    <row r="8" spans="1:13">
      <c r="A8" s="510">
        <v>44347</v>
      </c>
      <c r="B8" s="8">
        <v>94.4</v>
      </c>
      <c r="C8" s="2" t="s">
        <v>44</v>
      </c>
      <c r="D8" s="7">
        <v>44347</v>
      </c>
      <c r="E8" s="2" t="s">
        <v>23</v>
      </c>
      <c r="F8" s="2" t="s">
        <v>28</v>
      </c>
      <c r="G8" s="2">
        <f>ROW() - ROW(Tabla35678[[#Headers],[N° SERVICIO]])</f>
        <v>2</v>
      </c>
      <c r="H8" s="9" t="s">
        <v>1853</v>
      </c>
      <c r="I8" s="9"/>
      <c r="J8" s="9" t="s">
        <v>1854</v>
      </c>
      <c r="K8" s="2" t="s">
        <v>26</v>
      </c>
      <c r="L8" s="2"/>
      <c r="M8" s="2"/>
    </row>
    <row r="9" spans="1:13" ht="30.75">
      <c r="A9" s="510">
        <v>44440</v>
      </c>
      <c r="B9" s="8">
        <v>94.4</v>
      </c>
      <c r="C9" s="2" t="s">
        <v>57</v>
      </c>
      <c r="D9" s="7">
        <v>44377</v>
      </c>
      <c r="E9" s="2" t="s">
        <v>23</v>
      </c>
      <c r="F9" s="2" t="s">
        <v>24</v>
      </c>
      <c r="G9" s="2">
        <f>ROW() - ROW(Tabla35678[[#Headers],[N° SERVICIO]])</f>
        <v>3</v>
      </c>
      <c r="H9" s="9" t="s">
        <v>1853</v>
      </c>
      <c r="I9" s="9"/>
      <c r="J9" s="9" t="s">
        <v>1855</v>
      </c>
      <c r="K9" s="2" t="s">
        <v>26</v>
      </c>
      <c r="L9" s="2"/>
      <c r="M9" s="2"/>
    </row>
    <row r="10" spans="1:13" ht="30.75">
      <c r="A10" s="510">
        <v>44440</v>
      </c>
      <c r="B10" s="8">
        <v>94.4</v>
      </c>
      <c r="C10" s="2" t="s">
        <v>50</v>
      </c>
      <c r="D10" s="7">
        <v>44439</v>
      </c>
      <c r="E10" s="2" t="s">
        <v>23</v>
      </c>
      <c r="F10" s="2" t="s">
        <v>24</v>
      </c>
      <c r="G10" s="2">
        <f>ROW() - ROW(Tabla35678[[#Headers],[N° SERVICIO]])</f>
        <v>4</v>
      </c>
      <c r="H10" s="9" t="s">
        <v>1856</v>
      </c>
      <c r="I10" s="9"/>
      <c r="J10" s="9" t="s">
        <v>1857</v>
      </c>
      <c r="K10" s="2" t="s">
        <v>26</v>
      </c>
      <c r="L10" s="2"/>
      <c r="M10" s="2"/>
    </row>
    <row r="11" spans="1:13" ht="30.75">
      <c r="A11" s="510">
        <v>44536</v>
      </c>
      <c r="B11" s="8" t="s">
        <v>1858</v>
      </c>
      <c r="C11" s="2" t="s">
        <v>22</v>
      </c>
      <c r="D11" s="7">
        <v>44469</v>
      </c>
      <c r="E11" s="2" t="s">
        <v>23</v>
      </c>
      <c r="F11" s="2" t="s">
        <v>24</v>
      </c>
      <c r="G11" s="2">
        <f>ROW() - ROW(Tabla35678[[#Headers],[N° SERVICIO]])</f>
        <v>5</v>
      </c>
      <c r="H11" s="9" t="s">
        <v>1859</v>
      </c>
      <c r="I11" s="9"/>
      <c r="J11" s="9" t="s">
        <v>1860</v>
      </c>
      <c r="K11" s="2" t="s">
        <v>26</v>
      </c>
      <c r="L11" s="2"/>
      <c r="M11" s="2"/>
    </row>
    <row r="12" spans="1:13" ht="30.75">
      <c r="A12" s="510">
        <v>44536</v>
      </c>
      <c r="B12" s="8" t="s">
        <v>1858</v>
      </c>
      <c r="C12" s="2" t="s">
        <v>54</v>
      </c>
      <c r="D12" s="7">
        <v>44499</v>
      </c>
      <c r="E12" s="2" t="s">
        <v>23</v>
      </c>
      <c r="F12" s="2" t="s">
        <v>24</v>
      </c>
      <c r="G12" s="2">
        <f>ROW() - ROW(Tabla35678[[#Headers],[N° SERVICIO]])</f>
        <v>6</v>
      </c>
      <c r="H12" s="9" t="s">
        <v>1861</v>
      </c>
      <c r="I12" s="9"/>
      <c r="J12" s="9" t="s">
        <v>1862</v>
      </c>
      <c r="K12" s="2" t="s">
        <v>26</v>
      </c>
      <c r="L12" s="2"/>
      <c r="M12" s="2"/>
    </row>
    <row r="13" spans="1:13" ht="30.75">
      <c r="A13" s="510">
        <v>44536</v>
      </c>
      <c r="B13" s="8" t="s">
        <v>1858</v>
      </c>
      <c r="C13" s="2" t="s">
        <v>27</v>
      </c>
      <c r="D13" s="7">
        <v>44530</v>
      </c>
      <c r="E13" s="2" t="s">
        <v>23</v>
      </c>
      <c r="F13" s="2" t="s">
        <v>24</v>
      </c>
      <c r="G13" s="2">
        <f>ROW() - ROW(Tabla35678[[#Headers],[N° SERVICIO]])</f>
        <v>7</v>
      </c>
      <c r="H13" s="9" t="s">
        <v>1863</v>
      </c>
      <c r="I13" s="9"/>
      <c r="J13" s="9" t="s">
        <v>1864</v>
      </c>
      <c r="K13" s="2" t="s">
        <v>26</v>
      </c>
      <c r="L13" s="2"/>
      <c r="M13" s="2"/>
    </row>
    <row r="14" spans="1:13" ht="30.75">
      <c r="A14" s="510">
        <v>44575</v>
      </c>
      <c r="B14" s="8" t="s">
        <v>1858</v>
      </c>
      <c r="C14" s="2" t="s">
        <v>30</v>
      </c>
      <c r="D14" s="7">
        <v>44560</v>
      </c>
      <c r="E14" s="2" t="s">
        <v>23</v>
      </c>
      <c r="F14" s="2" t="s">
        <v>24</v>
      </c>
      <c r="G14" s="2">
        <f>ROW() - ROW(Tabla35678[[#Headers],[N° SERVICIO]])</f>
        <v>8</v>
      </c>
      <c r="H14" s="9" t="s">
        <v>1865</v>
      </c>
      <c r="I14" s="9"/>
      <c r="J14" s="9" t="s">
        <v>1866</v>
      </c>
      <c r="K14" s="2" t="s">
        <v>26</v>
      </c>
      <c r="L14" s="2"/>
      <c r="M14" s="2"/>
    </row>
    <row r="15" spans="1:13" ht="30.75">
      <c r="A15" s="510">
        <v>44631</v>
      </c>
      <c r="B15" s="8" t="s">
        <v>1858</v>
      </c>
      <c r="C15" s="2" t="s">
        <v>32</v>
      </c>
      <c r="D15" s="7">
        <v>44592</v>
      </c>
      <c r="E15" s="2" t="s">
        <v>23</v>
      </c>
      <c r="F15" s="2" t="s">
        <v>24</v>
      </c>
      <c r="G15" s="2">
        <f>ROW() - ROW(Tabla35678[[#Headers],[N° SERVICIO]])</f>
        <v>9</v>
      </c>
      <c r="H15" s="9" t="s">
        <v>1867</v>
      </c>
      <c r="I15" s="9"/>
      <c r="J15" s="9" t="s">
        <v>1868</v>
      </c>
      <c r="K15" s="2" t="s">
        <v>26</v>
      </c>
      <c r="L15" s="2"/>
      <c r="M15" s="2"/>
    </row>
    <row r="16" spans="1:13" ht="30.75">
      <c r="A16" s="510">
        <v>44631</v>
      </c>
      <c r="B16" s="8" t="s">
        <v>1858</v>
      </c>
      <c r="C16" s="2" t="s">
        <v>34</v>
      </c>
      <c r="D16" s="7">
        <v>44620</v>
      </c>
      <c r="E16" s="2" t="s">
        <v>23</v>
      </c>
      <c r="F16" s="2" t="s">
        <v>24</v>
      </c>
      <c r="G16" s="2">
        <f>ROW() - ROW(Tabla35678[[#Headers],[N° SERVICIO]])</f>
        <v>10</v>
      </c>
      <c r="H16" s="9" t="s">
        <v>1869</v>
      </c>
      <c r="I16" s="9"/>
      <c r="J16" s="9" t="s">
        <v>1870</v>
      </c>
      <c r="K16" s="2" t="s">
        <v>26</v>
      </c>
      <c r="L16" s="2"/>
      <c r="M16" s="2"/>
    </row>
    <row r="17" spans="1:13" ht="30.75">
      <c r="A17" s="510">
        <v>44707</v>
      </c>
      <c r="B17" s="8">
        <v>94.4</v>
      </c>
      <c r="C17" s="2" t="s">
        <v>38</v>
      </c>
      <c r="D17" s="7">
        <v>44652</v>
      </c>
      <c r="E17" s="2" t="s">
        <v>23</v>
      </c>
      <c r="F17" s="2" t="s">
        <v>24</v>
      </c>
      <c r="G17" s="2">
        <f>ROW() - ROW(Tabla35678[[#Headers],[N° SERVICIO]])</f>
        <v>11</v>
      </c>
      <c r="H17" s="9" t="s">
        <v>1871</v>
      </c>
      <c r="I17" s="9"/>
      <c r="J17" s="9" t="s">
        <v>1872</v>
      </c>
      <c r="K17" s="2" t="s">
        <v>26</v>
      </c>
      <c r="L17" s="2" t="s">
        <v>170</v>
      </c>
      <c r="M17" s="2"/>
    </row>
    <row r="18" spans="1:13" ht="30.75">
      <c r="A18" s="510">
        <v>44707</v>
      </c>
      <c r="B18" s="8">
        <v>94.4</v>
      </c>
      <c r="C18" s="2" t="s">
        <v>41</v>
      </c>
      <c r="D18" s="7">
        <v>44681</v>
      </c>
      <c r="E18" s="2" t="s">
        <v>23</v>
      </c>
      <c r="F18" s="2" t="s">
        <v>24</v>
      </c>
      <c r="G18" s="2">
        <f>ROW() - ROW(Tabla35678[[#Headers],[N° SERVICIO]])</f>
        <v>12</v>
      </c>
      <c r="H18" s="9" t="s">
        <v>1873</v>
      </c>
      <c r="I18" s="9"/>
      <c r="J18" s="9" t="s">
        <v>1874</v>
      </c>
      <c r="K18" s="2" t="s">
        <v>26</v>
      </c>
      <c r="L18" s="2" t="s">
        <v>170</v>
      </c>
      <c r="M18" s="2"/>
    </row>
    <row r="19" spans="1:13" ht="30.75">
      <c r="A19" s="510">
        <v>44747</v>
      </c>
      <c r="B19" s="8">
        <v>94.4</v>
      </c>
      <c r="C19" s="2" t="s">
        <v>44</v>
      </c>
      <c r="D19" s="7">
        <v>44709</v>
      </c>
      <c r="E19" s="2" t="s">
        <v>23</v>
      </c>
      <c r="F19" s="2" t="s">
        <v>24</v>
      </c>
      <c r="G19" s="2">
        <f>ROW() - ROW(Tabla35678[[#Headers],[N° SERVICIO]])</f>
        <v>13</v>
      </c>
      <c r="H19" s="9" t="s">
        <v>1875</v>
      </c>
      <c r="I19" s="9"/>
      <c r="J19" s="2">
        <v>13881</v>
      </c>
      <c r="K19" s="2" t="s">
        <v>26</v>
      </c>
      <c r="L19" s="2" t="s">
        <v>170</v>
      </c>
      <c r="M19" s="2"/>
    </row>
    <row r="20" spans="1:13" ht="30.75">
      <c r="A20" s="510">
        <v>44747</v>
      </c>
      <c r="B20" s="8">
        <v>94.4</v>
      </c>
      <c r="C20" s="2" t="s">
        <v>57</v>
      </c>
      <c r="D20" s="7">
        <v>44740</v>
      </c>
      <c r="E20" s="2" t="s">
        <v>23</v>
      </c>
      <c r="F20" s="2" t="s">
        <v>24</v>
      </c>
      <c r="G20" s="2">
        <f>ROW() - ROW(Tabla35678[[#Headers],[N° SERVICIO]])</f>
        <v>14</v>
      </c>
      <c r="H20" s="2">
        <v>8633</v>
      </c>
      <c r="I20" s="9"/>
      <c r="J20" s="2">
        <v>14629</v>
      </c>
      <c r="K20" s="2" t="s">
        <v>26</v>
      </c>
      <c r="L20" s="2" t="s">
        <v>170</v>
      </c>
      <c r="M20" s="2"/>
    </row>
    <row r="21" spans="1:13" ht="30.75">
      <c r="A21" s="510">
        <v>44820</v>
      </c>
      <c r="B21" s="2">
        <v>94.4</v>
      </c>
      <c r="C21" s="2" t="s">
        <v>47</v>
      </c>
      <c r="D21" s="7">
        <v>44774</v>
      </c>
      <c r="E21" s="2" t="s">
        <v>23</v>
      </c>
      <c r="F21" s="2" t="s">
        <v>24</v>
      </c>
      <c r="G21" s="2">
        <f>ROW() - ROW(Tabla35678[[#Headers],[N° SERVICIO]])</f>
        <v>15</v>
      </c>
      <c r="H21" s="2">
        <v>10377</v>
      </c>
      <c r="I21" s="2"/>
      <c r="J21" s="2">
        <v>15827</v>
      </c>
      <c r="K21" s="2" t="s">
        <v>26</v>
      </c>
      <c r="L21" s="2" t="s">
        <v>73</v>
      </c>
      <c r="M21" s="2"/>
    </row>
    <row r="22" spans="1:13" ht="30.75">
      <c r="A22" s="505" t="s">
        <v>1876</v>
      </c>
      <c r="B22" s="2">
        <v>94.4</v>
      </c>
      <c r="C22" s="2" t="s">
        <v>22</v>
      </c>
      <c r="D22" s="7">
        <v>44630</v>
      </c>
      <c r="E22" s="2" t="s">
        <v>23</v>
      </c>
      <c r="F22" s="2" t="s">
        <v>24</v>
      </c>
      <c r="G22" s="2">
        <f>ROW() - ROW(Tabla35678[[#Headers],[N° SERVICIO]])</f>
        <v>16</v>
      </c>
      <c r="H22" s="2">
        <v>11208</v>
      </c>
      <c r="I22" s="2"/>
      <c r="J22" s="2">
        <v>17945</v>
      </c>
      <c r="K22" s="2" t="s">
        <v>26</v>
      </c>
      <c r="L22" s="2" t="s">
        <v>170</v>
      </c>
      <c r="M22" s="2"/>
    </row>
    <row r="23" spans="1:13" ht="30.75">
      <c r="A23" s="505" t="s">
        <v>186</v>
      </c>
      <c r="B23" s="2">
        <v>94.4</v>
      </c>
      <c r="C23" s="2" t="s">
        <v>54</v>
      </c>
      <c r="D23" s="2" t="s">
        <v>1877</v>
      </c>
      <c r="E23" s="2" t="s">
        <v>23</v>
      </c>
      <c r="F23" s="2" t="s">
        <v>24</v>
      </c>
      <c r="G23" s="2">
        <f>ROW() - ROW(Tabla35678[[#Headers],[N° SERVICIO]])</f>
        <v>17</v>
      </c>
      <c r="H23" s="2">
        <v>12355</v>
      </c>
      <c r="I23" s="2"/>
      <c r="J23" s="2">
        <v>18584</v>
      </c>
      <c r="K23" s="2" t="s">
        <v>26</v>
      </c>
      <c r="L23" s="2" t="s">
        <v>1878</v>
      </c>
      <c r="M23" s="2"/>
    </row>
    <row r="24" spans="1:13" ht="30.75">
      <c r="A24" s="510">
        <v>45080</v>
      </c>
      <c r="B24" s="2">
        <v>94.4</v>
      </c>
      <c r="C24" s="2" t="s">
        <v>32</v>
      </c>
      <c r="D24" s="7">
        <v>45232</v>
      </c>
      <c r="E24" s="2" t="s">
        <v>23</v>
      </c>
      <c r="F24" s="2" t="s">
        <v>24</v>
      </c>
      <c r="G24" s="2">
        <f>ROW() - ROW(Tabla35678[[#Headers],[N° SERVICIO]])</f>
        <v>18</v>
      </c>
      <c r="H24" s="2">
        <v>14267</v>
      </c>
      <c r="I24" s="2"/>
      <c r="J24" s="2">
        <v>21624</v>
      </c>
      <c r="K24" s="2" t="s">
        <v>26</v>
      </c>
      <c r="L24" s="2" t="s">
        <v>32</v>
      </c>
      <c r="M24" s="2"/>
    </row>
    <row r="25" spans="1:13" ht="30.75">
      <c r="A25" s="510">
        <v>44962</v>
      </c>
      <c r="B25" s="2">
        <v>94.4</v>
      </c>
      <c r="C25" s="2" t="s">
        <v>38</v>
      </c>
      <c r="D25" s="2" t="s">
        <v>1179</v>
      </c>
      <c r="E25" s="2" t="s">
        <v>23</v>
      </c>
      <c r="F25" s="2" t="s">
        <v>24</v>
      </c>
      <c r="G25" s="2">
        <f>ROW() - ROW(Tabla35678[[#Headers],[N° SERVICIO]])</f>
        <v>19</v>
      </c>
      <c r="H25" s="2">
        <v>15714</v>
      </c>
      <c r="I25" s="2"/>
      <c r="J25" s="2">
        <v>22618</v>
      </c>
      <c r="K25" s="2" t="s">
        <v>26</v>
      </c>
      <c r="L25" s="2" t="s">
        <v>170</v>
      </c>
      <c r="M25" s="2"/>
    </row>
    <row r="26" spans="1:13" ht="30.75">
      <c r="A26" s="510" t="s">
        <v>1879</v>
      </c>
      <c r="B26" s="2">
        <v>94.4</v>
      </c>
      <c r="C26" s="2" t="s">
        <v>41</v>
      </c>
      <c r="D26" s="2" t="s">
        <v>1311</v>
      </c>
      <c r="E26" s="2" t="s">
        <v>23</v>
      </c>
      <c r="F26" s="2" t="s">
        <v>24</v>
      </c>
      <c r="G26" s="2">
        <f>ROW() - ROW(Tabla35678[[#Headers],[N° SERVICIO]])</f>
        <v>20</v>
      </c>
      <c r="H26" s="2">
        <v>15891</v>
      </c>
      <c r="I26" s="2"/>
      <c r="J26" s="2">
        <v>20692</v>
      </c>
      <c r="K26" s="2" t="s">
        <v>26</v>
      </c>
      <c r="L26" s="2" t="s">
        <v>170</v>
      </c>
      <c r="M26" s="2"/>
    </row>
    <row r="27" spans="1:13" ht="30.75">
      <c r="A27" s="505" t="s">
        <v>1879</v>
      </c>
      <c r="B27" s="2">
        <v>94.4</v>
      </c>
      <c r="C27" s="2" t="s">
        <v>44</v>
      </c>
      <c r="D27" s="2" t="s">
        <v>1185</v>
      </c>
      <c r="E27" s="2" t="s">
        <v>23</v>
      </c>
      <c r="F27" s="2" t="s">
        <v>24</v>
      </c>
      <c r="G27" s="2">
        <f>ROW() - ROW(Tabla35678[[#Headers],[N° SERVICIO]])</f>
        <v>21</v>
      </c>
      <c r="H27" s="2">
        <v>16565</v>
      </c>
      <c r="I27" s="2"/>
      <c r="J27" s="2">
        <v>24591</v>
      </c>
      <c r="K27" s="2" t="s">
        <v>26</v>
      </c>
      <c r="L27" s="2" t="s">
        <v>170</v>
      </c>
      <c r="M27" s="2"/>
    </row>
    <row r="28" spans="1:13" ht="30.75">
      <c r="A28" s="510">
        <v>45120</v>
      </c>
      <c r="B28" s="2">
        <v>94.4</v>
      </c>
      <c r="C28" s="2" t="s">
        <v>57</v>
      </c>
      <c r="D28" s="7">
        <v>45103</v>
      </c>
      <c r="E28" s="2" t="s">
        <v>23</v>
      </c>
      <c r="F28" s="2" t="s">
        <v>24</v>
      </c>
      <c r="G28" s="2">
        <f>ROW() - ROW(Tabla35678[[#Headers],[N° SERVICIO]])</f>
        <v>22</v>
      </c>
      <c r="H28" s="2">
        <v>17142</v>
      </c>
      <c r="I28" s="2"/>
      <c r="J28" s="2">
        <v>25656</v>
      </c>
      <c r="K28" s="2" t="s">
        <v>26</v>
      </c>
      <c r="L28" s="2">
        <v>6.2</v>
      </c>
      <c r="M28" s="2"/>
    </row>
    <row r="29" spans="1:13" ht="30.75">
      <c r="A29" s="510">
        <v>45154</v>
      </c>
      <c r="B29" s="2">
        <v>94.4</v>
      </c>
      <c r="C29" s="2" t="s">
        <v>47</v>
      </c>
      <c r="D29" s="7">
        <v>45133</v>
      </c>
      <c r="E29" s="2" t="s">
        <v>23</v>
      </c>
      <c r="F29" s="2" t="s">
        <v>24</v>
      </c>
      <c r="G29" s="2">
        <f>ROW() - ROW(Tabla35678[[#Headers],[N° SERVICIO]])</f>
        <v>23</v>
      </c>
      <c r="H29" s="2">
        <v>17983</v>
      </c>
      <c r="I29" s="2"/>
      <c r="J29" s="2">
        <v>26583</v>
      </c>
      <c r="K29" s="2" t="s">
        <v>26</v>
      </c>
      <c r="L29" s="2">
        <v>6.2</v>
      </c>
      <c r="M29" s="2"/>
    </row>
    <row r="30" spans="1:13" ht="30.75">
      <c r="A30" s="510">
        <v>45197</v>
      </c>
      <c r="B30" s="2">
        <v>94.4</v>
      </c>
      <c r="C30" s="2" t="s">
        <v>50</v>
      </c>
      <c r="D30" s="7">
        <v>45167</v>
      </c>
      <c r="E30" s="2" t="s">
        <v>23</v>
      </c>
      <c r="F30" s="2" t="s">
        <v>28</v>
      </c>
      <c r="G30" s="2">
        <f>ROW() - ROW(Tabla35678[[#Headers],[N° SERVICIO]])</f>
        <v>24</v>
      </c>
      <c r="H30" s="2" t="s">
        <v>1880</v>
      </c>
      <c r="I30" s="2"/>
      <c r="J30" s="2">
        <v>27934</v>
      </c>
      <c r="K30" s="2" t="s">
        <v>26</v>
      </c>
      <c r="L30" s="2">
        <v>6.2</v>
      </c>
      <c r="M30" s="2"/>
    </row>
    <row r="31" spans="1:13" ht="30.75">
      <c r="A31" s="510">
        <v>45197</v>
      </c>
      <c r="B31" s="2">
        <v>94.4</v>
      </c>
      <c r="C31" s="2" t="s">
        <v>22</v>
      </c>
      <c r="D31" s="7">
        <v>45197</v>
      </c>
      <c r="E31" s="2" t="s">
        <v>23</v>
      </c>
      <c r="F31" s="2" t="s">
        <v>28</v>
      </c>
      <c r="G31" s="2">
        <f>ROW() - ROW(Tabla35678[[#Headers],[N° SERVICIO]])</f>
        <v>25</v>
      </c>
      <c r="H31" s="2" t="s">
        <v>1881</v>
      </c>
      <c r="I31" s="2"/>
      <c r="J31" s="2">
        <v>28897</v>
      </c>
      <c r="K31" s="2" t="s">
        <v>26</v>
      </c>
      <c r="L31" s="2">
        <v>3.2</v>
      </c>
      <c r="M31" s="2"/>
    </row>
    <row r="32" spans="1:13" ht="30.75">
      <c r="A32" s="510">
        <v>45238</v>
      </c>
      <c r="B32" s="2">
        <v>94.4</v>
      </c>
      <c r="C32" s="2" t="s">
        <v>54</v>
      </c>
      <c r="D32" s="7">
        <v>45229</v>
      </c>
      <c r="E32" s="2" t="s">
        <v>23</v>
      </c>
      <c r="F32" s="2" t="s">
        <v>24</v>
      </c>
      <c r="G32" s="2">
        <f>ROW() - ROW(Tabla35678[[#Headers],[N° SERVICIO]])</f>
        <v>26</v>
      </c>
      <c r="H32" s="2">
        <v>20145</v>
      </c>
      <c r="I32" s="2"/>
      <c r="J32" s="2">
        <v>29745</v>
      </c>
      <c r="K32" s="2" t="s">
        <v>26</v>
      </c>
      <c r="L32" s="2">
        <v>6.2</v>
      </c>
      <c r="M32" s="2"/>
    </row>
    <row r="33" spans="1:14" ht="30.75">
      <c r="A33" s="510">
        <v>45283</v>
      </c>
      <c r="B33" s="2">
        <v>94.4</v>
      </c>
      <c r="C33" s="2" t="s">
        <v>27</v>
      </c>
      <c r="D33" s="7">
        <v>45259</v>
      </c>
      <c r="E33" s="2" t="s">
        <v>23</v>
      </c>
      <c r="F33" s="2" t="s">
        <v>24</v>
      </c>
      <c r="G33" s="2">
        <f>ROW() - ROW(Tabla35678[[#Headers],[N° SERVICIO]])</f>
        <v>27</v>
      </c>
      <c r="H33" s="2">
        <v>20847</v>
      </c>
      <c r="I33" s="2">
        <v>32867</v>
      </c>
      <c r="J33" s="2">
        <v>30676</v>
      </c>
      <c r="K33" s="2" t="s">
        <v>26</v>
      </c>
      <c r="L33" s="2">
        <v>4.2</v>
      </c>
      <c r="M33" s="2"/>
    </row>
    <row r="34" spans="1:14" ht="30.75">
      <c r="A34" s="510">
        <v>45304</v>
      </c>
      <c r="B34" s="2">
        <v>94.4</v>
      </c>
      <c r="C34" s="2" t="s">
        <v>30</v>
      </c>
      <c r="D34" s="7">
        <v>45288</v>
      </c>
      <c r="E34" s="2" t="s">
        <v>23</v>
      </c>
      <c r="F34" s="2" t="s">
        <v>24</v>
      </c>
      <c r="G34" s="2">
        <f>ROW() - ROW(Tabla35678[[#Headers],[N° SERVICIO]])</f>
        <v>28</v>
      </c>
      <c r="H34" s="2">
        <v>21473</v>
      </c>
      <c r="I34" s="2">
        <v>33681</v>
      </c>
      <c r="J34" s="2">
        <v>31508</v>
      </c>
      <c r="K34" s="2" t="s">
        <v>26</v>
      </c>
      <c r="L34" s="2">
        <v>6.2</v>
      </c>
      <c r="M34" s="2"/>
    </row>
    <row r="35" spans="1:14" ht="30.75">
      <c r="A35" s="510">
        <v>44960</v>
      </c>
      <c r="B35" s="2">
        <v>94.4</v>
      </c>
      <c r="C35" s="2" t="s">
        <v>32</v>
      </c>
      <c r="D35" s="7">
        <v>45321</v>
      </c>
      <c r="E35" s="2" t="s">
        <v>23</v>
      </c>
      <c r="F35" s="2" t="s">
        <v>24</v>
      </c>
      <c r="G35" s="2">
        <f>ROW() - ROW(Tabla35678[[#Headers],[N° SERVICIO]])</f>
        <v>29</v>
      </c>
      <c r="H35" s="2">
        <v>22185</v>
      </c>
      <c r="I35" s="2">
        <v>34554</v>
      </c>
      <c r="J35" s="2">
        <v>32499</v>
      </c>
      <c r="K35" s="2" t="s">
        <v>26</v>
      </c>
      <c r="L35" s="2">
        <v>8.8000000000000007</v>
      </c>
      <c r="M35" s="2"/>
    </row>
    <row r="36" spans="1:14" ht="30.75">
      <c r="A36" s="510">
        <v>45357</v>
      </c>
      <c r="B36" s="2">
        <v>94.4</v>
      </c>
      <c r="C36" s="2" t="s">
        <v>34</v>
      </c>
      <c r="D36" s="7">
        <v>45351</v>
      </c>
      <c r="E36" s="2" t="s">
        <v>23</v>
      </c>
      <c r="F36" s="2" t="s">
        <v>24</v>
      </c>
      <c r="G36" s="2">
        <f>ROW() - ROW(Tabla35678[[#Headers],[N° SERVICIO]])</f>
        <v>30</v>
      </c>
      <c r="H36" s="2">
        <v>22870</v>
      </c>
      <c r="I36" s="2">
        <v>35471</v>
      </c>
      <c r="J36" s="2">
        <v>33387</v>
      </c>
      <c r="K36" s="2" t="s">
        <v>26</v>
      </c>
      <c r="L36" s="2">
        <v>4.2</v>
      </c>
      <c r="M36" s="2"/>
    </row>
    <row r="37" spans="1:14" ht="30.75">
      <c r="A37" s="510">
        <v>45402</v>
      </c>
      <c r="B37" s="2">
        <v>94.4</v>
      </c>
      <c r="C37" s="2" t="s">
        <v>38</v>
      </c>
      <c r="D37" s="7">
        <v>45378</v>
      </c>
      <c r="E37" s="2" t="s">
        <v>23</v>
      </c>
      <c r="F37" s="2" t="s">
        <v>24</v>
      </c>
      <c r="G37" s="2">
        <f>ROW() - ROW(Tabla35678[[#Headers],[N° SERVICIO]])</f>
        <v>31</v>
      </c>
      <c r="H37" s="2">
        <v>23616</v>
      </c>
      <c r="I37" s="2">
        <v>36282</v>
      </c>
      <c r="J37" s="2">
        <v>34234</v>
      </c>
      <c r="K37" s="2" t="s">
        <v>26</v>
      </c>
      <c r="L37" s="2">
        <v>6.2</v>
      </c>
      <c r="M37" s="100" t="s">
        <v>76</v>
      </c>
      <c r="N37" s="290"/>
    </row>
    <row r="38" spans="1:14" ht="30.75">
      <c r="A38" s="510">
        <v>45402</v>
      </c>
      <c r="B38" s="2">
        <v>94.4</v>
      </c>
      <c r="C38" s="2" t="s">
        <v>41</v>
      </c>
      <c r="D38" s="7">
        <v>45411</v>
      </c>
      <c r="E38" s="2" t="s">
        <v>23</v>
      </c>
      <c r="F38" s="2" t="s">
        <v>24</v>
      </c>
      <c r="G38" s="2">
        <f>ROW() - ROW(Tabla35678[[#Headers],[N° SERVICIO]])</f>
        <v>32</v>
      </c>
      <c r="H38" s="2">
        <v>24397</v>
      </c>
      <c r="I38" s="2">
        <v>37353</v>
      </c>
      <c r="J38" s="2">
        <v>35374</v>
      </c>
      <c r="K38" s="2" t="s">
        <v>26</v>
      </c>
      <c r="L38" s="2">
        <v>6.8</v>
      </c>
      <c r="M38" s="2"/>
    </row>
    <row r="39" spans="1:14" ht="30.75">
      <c r="A39" s="510">
        <v>45469</v>
      </c>
      <c r="B39" s="2">
        <v>94.4</v>
      </c>
      <c r="C39" s="2" t="s">
        <v>44</v>
      </c>
      <c r="D39" s="7">
        <v>45442</v>
      </c>
      <c r="E39" s="2" t="s">
        <v>23</v>
      </c>
      <c r="F39" s="2" t="s">
        <v>24</v>
      </c>
      <c r="G39" s="2">
        <f>ROW() - ROW(Tabla35678[[#Headers],[N° SERVICIO]])</f>
        <v>33</v>
      </c>
      <c r="H39" s="2">
        <v>25116</v>
      </c>
      <c r="I39" s="2">
        <v>38291</v>
      </c>
      <c r="J39" s="2">
        <v>36255</v>
      </c>
      <c r="K39" s="2" t="s">
        <v>26</v>
      </c>
      <c r="L39" s="2">
        <v>6.8</v>
      </c>
      <c r="M39" s="2"/>
    </row>
    <row r="40" spans="1:14" ht="30.75">
      <c r="A40" s="510">
        <v>45483</v>
      </c>
      <c r="B40" s="2">
        <v>94.4</v>
      </c>
      <c r="C40" s="2" t="s">
        <v>57</v>
      </c>
      <c r="D40" s="7">
        <v>45470</v>
      </c>
      <c r="E40" s="2" t="s">
        <v>23</v>
      </c>
      <c r="F40" s="2" t="s">
        <v>24</v>
      </c>
      <c r="G40" s="2">
        <f>ROW() - ROW(Tabla35678[[#Headers],[N° SERVICIO]])</f>
        <v>34</v>
      </c>
      <c r="H40" s="2">
        <v>25813</v>
      </c>
      <c r="I40" s="2">
        <v>39220</v>
      </c>
      <c r="J40" s="2">
        <v>37172</v>
      </c>
      <c r="K40" s="2" t="s">
        <v>26</v>
      </c>
      <c r="L40" s="2"/>
      <c r="M40" s="2">
        <v>4.8</v>
      </c>
    </row>
    <row r="41" spans="1:14" ht="30.75">
      <c r="A41" s="7">
        <v>45520</v>
      </c>
      <c r="B41" s="2">
        <v>94.4</v>
      </c>
      <c r="C41" s="2" t="s">
        <v>47</v>
      </c>
      <c r="D41" s="7">
        <v>45503</v>
      </c>
      <c r="E41" s="2" t="s">
        <v>23</v>
      </c>
      <c r="F41" s="2" t="s">
        <v>24</v>
      </c>
      <c r="G41" s="2">
        <f>ROW() - ROW(Tabla35678[[#Headers],[N° SERVICIO]])</f>
        <v>35</v>
      </c>
      <c r="H41" s="2">
        <v>26638</v>
      </c>
      <c r="I41" s="2">
        <v>40282</v>
      </c>
      <c r="J41" s="2">
        <v>38143</v>
      </c>
      <c r="K41" s="2" t="s">
        <v>26</v>
      </c>
      <c r="L41" s="2">
        <v>6.2</v>
      </c>
      <c r="M41" s="2"/>
    </row>
    <row r="42" spans="1:14" ht="30.75">
      <c r="A42" s="7">
        <v>45549</v>
      </c>
      <c r="B42" s="2">
        <v>117.15</v>
      </c>
      <c r="C42" s="2" t="s">
        <v>50</v>
      </c>
      <c r="D42" s="7">
        <v>45535</v>
      </c>
      <c r="E42" s="2" t="s">
        <v>23</v>
      </c>
      <c r="F42" s="2" t="s">
        <v>24</v>
      </c>
      <c r="G42" s="2">
        <f>ROW() - ROW(Tabla35678[[#Headers],[N° SERVICIO]])</f>
        <v>36</v>
      </c>
      <c r="H42" s="2">
        <v>27464</v>
      </c>
      <c r="I42" s="2">
        <v>39188</v>
      </c>
      <c r="J42" s="2">
        <v>41330</v>
      </c>
      <c r="K42" s="2" t="s">
        <v>26</v>
      </c>
      <c r="L42" s="2">
        <v>16.5</v>
      </c>
      <c r="M42" s="2"/>
    </row>
    <row r="43" spans="1:14" ht="30.75">
      <c r="A43" s="7">
        <v>45594</v>
      </c>
      <c r="B43" s="2">
        <v>94.4</v>
      </c>
      <c r="C43" s="2" t="s">
        <v>22</v>
      </c>
      <c r="D43" s="7">
        <v>45565</v>
      </c>
      <c r="E43" s="2" t="s">
        <v>23</v>
      </c>
      <c r="F43" s="2" t="s">
        <v>24</v>
      </c>
      <c r="G43" s="2">
        <f>ROW() - ROW(Tabla35678[[#Headers],[N° SERVICIO]])</f>
        <v>37</v>
      </c>
      <c r="H43" s="2">
        <v>28262</v>
      </c>
      <c r="I43" s="2">
        <v>40234</v>
      </c>
      <c r="J43" s="2">
        <v>42387</v>
      </c>
      <c r="K43" s="2" t="s">
        <v>26</v>
      </c>
      <c r="L43" s="2">
        <v>9.5</v>
      </c>
      <c r="M43" s="2"/>
    </row>
    <row r="44" spans="1:14" ht="30.75">
      <c r="A44" s="7">
        <v>45642</v>
      </c>
      <c r="B44" s="2">
        <v>94.4</v>
      </c>
      <c r="C44" s="2" t="s">
        <v>54</v>
      </c>
      <c r="D44" s="7">
        <v>45596</v>
      </c>
      <c r="E44" s="2" t="s">
        <v>23</v>
      </c>
      <c r="F44" s="2" t="s">
        <v>24</v>
      </c>
      <c r="G44" s="2">
        <f>ROW() - ROW(Tabla35678[[#Headers],[N° SERVICIO]])</f>
        <v>38</v>
      </c>
      <c r="H44" s="2">
        <v>29102</v>
      </c>
      <c r="I44" s="2">
        <v>41286</v>
      </c>
      <c r="J44" s="2">
        <v>43469</v>
      </c>
      <c r="K44" s="2" t="s">
        <v>26</v>
      </c>
      <c r="L44" s="2">
        <v>10.5</v>
      </c>
      <c r="M44" s="2"/>
    </row>
    <row r="45" spans="1:14" ht="30.75">
      <c r="A45" s="7">
        <v>45642</v>
      </c>
      <c r="B45" s="2">
        <v>94.4</v>
      </c>
      <c r="C45" s="2" t="s">
        <v>27</v>
      </c>
      <c r="D45" s="7">
        <v>45626</v>
      </c>
      <c r="E45" s="2" t="s">
        <v>23</v>
      </c>
      <c r="F45" s="2" t="s">
        <v>24</v>
      </c>
      <c r="G45" s="2">
        <f>ROW() - ROW(Tabla35678[[#Headers],[N° SERVICIO]])</f>
        <v>39</v>
      </c>
      <c r="H45" s="2">
        <v>29888</v>
      </c>
      <c r="I45" s="2">
        <v>42252</v>
      </c>
      <c r="J45" s="2">
        <v>44296</v>
      </c>
      <c r="K45" s="2" t="s">
        <v>26</v>
      </c>
      <c r="L45" s="2">
        <v>9.5</v>
      </c>
      <c r="M45" s="2"/>
    </row>
    <row r="46" spans="1:14" ht="30.75">
      <c r="A46" s="2" t="s">
        <v>1845</v>
      </c>
      <c r="B46" s="2">
        <v>94.4</v>
      </c>
      <c r="C46" s="2" t="s">
        <v>30</v>
      </c>
      <c r="D46" s="7">
        <v>45656</v>
      </c>
      <c r="E46" s="2" t="s">
        <v>23</v>
      </c>
      <c r="F46" s="2" t="s">
        <v>24</v>
      </c>
      <c r="G46" s="2">
        <f>ROW() - ROW(Tabla35678[[#Headers],[N° SERVICIO]])</f>
        <v>40</v>
      </c>
      <c r="H46" s="2">
        <v>30618</v>
      </c>
      <c r="I46" s="2">
        <v>43227</v>
      </c>
      <c r="J46" s="2">
        <v>45421</v>
      </c>
      <c r="K46" s="2" t="s">
        <v>73</v>
      </c>
      <c r="L46" s="2">
        <v>8.5</v>
      </c>
      <c r="M46" s="2"/>
    </row>
    <row r="47" spans="1:14" ht="30.75">
      <c r="A47" s="7">
        <v>45715</v>
      </c>
      <c r="B47" s="2">
        <v>94.4</v>
      </c>
      <c r="C47" s="2" t="s">
        <v>32</v>
      </c>
      <c r="D47" s="545" t="s">
        <v>274</v>
      </c>
      <c r="E47" s="2" t="s">
        <v>23</v>
      </c>
      <c r="F47" s="2" t="s">
        <v>24</v>
      </c>
      <c r="G47" s="2">
        <v>41</v>
      </c>
      <c r="H47" s="2">
        <v>31518</v>
      </c>
      <c r="I47" s="537"/>
      <c r="J47" s="537"/>
      <c r="K47" s="2" t="s">
        <v>73</v>
      </c>
      <c r="L47" s="2"/>
      <c r="M47" s="2"/>
    </row>
    <row r="48" spans="1:14" ht="30.75">
      <c r="A48" s="7">
        <v>45751</v>
      </c>
      <c r="B48" s="2">
        <v>94.4</v>
      </c>
      <c r="C48" s="2" t="s">
        <v>34</v>
      </c>
      <c r="D48" s="7">
        <v>45716</v>
      </c>
      <c r="E48" s="2" t="s">
        <v>23</v>
      </c>
      <c r="F48" s="2" t="s">
        <v>24</v>
      </c>
      <c r="G48" s="2">
        <f>ROW() - ROW(Tabla35678[[#Headers],[N° SERVICIO]])</f>
        <v>42</v>
      </c>
      <c r="H48" s="2">
        <v>32383</v>
      </c>
      <c r="I48" s="2">
        <v>45436</v>
      </c>
      <c r="J48" s="2"/>
      <c r="K48" s="2" t="s">
        <v>73</v>
      </c>
      <c r="L48" s="2">
        <v>9.6999999999999993</v>
      </c>
      <c r="M48" s="2"/>
    </row>
    <row r="49" spans="1:13" ht="30.75">
      <c r="A49" s="557">
        <v>45751</v>
      </c>
      <c r="B49" s="2">
        <v>94.4</v>
      </c>
      <c r="C49" s="2" t="s">
        <v>38</v>
      </c>
      <c r="D49" s="7">
        <v>45747</v>
      </c>
      <c r="E49" s="2" t="s">
        <v>23</v>
      </c>
      <c r="F49" s="2" t="s">
        <v>24</v>
      </c>
      <c r="G49" s="2">
        <f>ROW() - ROW(Tabla35678[[#Headers],[N° SERVICIO]])</f>
        <v>43</v>
      </c>
      <c r="H49" s="2">
        <v>33199</v>
      </c>
      <c r="I49" s="2">
        <v>46552</v>
      </c>
      <c r="J49" s="2"/>
      <c r="K49" s="2" t="s">
        <v>73</v>
      </c>
      <c r="L49" s="2">
        <v>9.6999999999999993</v>
      </c>
      <c r="M49" s="2"/>
    </row>
    <row r="50" spans="1:13" ht="30.75">
      <c r="A50" s="7">
        <v>45813</v>
      </c>
      <c r="B50" s="2">
        <v>94.4</v>
      </c>
      <c r="C50" s="2" t="s">
        <v>41</v>
      </c>
      <c r="D50" s="7">
        <v>45777</v>
      </c>
      <c r="E50" s="2" t="s">
        <v>23</v>
      </c>
      <c r="F50" s="2" t="s">
        <v>24</v>
      </c>
      <c r="G50" s="2">
        <f>ROW() - ROW(Tabla35678[[#Headers],[N° SERVICIO]])</f>
        <v>44</v>
      </c>
      <c r="H50" s="2">
        <v>34034</v>
      </c>
      <c r="I50" s="2">
        <v>47635</v>
      </c>
      <c r="J50" s="2"/>
      <c r="K50" s="2" t="s">
        <v>73</v>
      </c>
      <c r="L50" s="2">
        <v>12.4</v>
      </c>
      <c r="M50" s="2"/>
    </row>
    <row r="51" spans="1:13" ht="30.75">
      <c r="A51" s="7">
        <v>45813</v>
      </c>
      <c r="B51" s="2">
        <v>94.4</v>
      </c>
      <c r="C51" s="2" t="s">
        <v>44</v>
      </c>
      <c r="D51" s="7">
        <v>45808</v>
      </c>
      <c r="E51" s="2" t="s">
        <v>23</v>
      </c>
      <c r="F51" s="2" t="s">
        <v>24</v>
      </c>
      <c r="G51" s="2">
        <f>ROW() - ROW(Tabla35678[[#Headers],[N° SERVICIO]])</f>
        <v>45</v>
      </c>
      <c r="H51" s="2">
        <v>34865</v>
      </c>
      <c r="I51" s="2">
        <v>221</v>
      </c>
      <c r="J51" s="2"/>
      <c r="K51" s="2" t="s">
        <v>73</v>
      </c>
      <c r="L51" s="2">
        <v>7.5</v>
      </c>
      <c r="M51" s="2"/>
    </row>
    <row r="52" spans="1:13" ht="30.75">
      <c r="A52" s="7">
        <v>45884</v>
      </c>
      <c r="B52" s="2">
        <v>94.4</v>
      </c>
      <c r="C52" s="2" t="s">
        <v>57</v>
      </c>
      <c r="D52" s="7">
        <v>45835</v>
      </c>
      <c r="E52" s="2" t="s">
        <v>23</v>
      </c>
      <c r="F52" s="2" t="s">
        <v>24</v>
      </c>
      <c r="G52" s="2">
        <f>ROW() - ROW(Tabla35678[[#Headers],[N° SERVICIO]])</f>
        <v>46</v>
      </c>
      <c r="H52" s="2">
        <v>35683</v>
      </c>
      <c r="I52" s="2">
        <v>50032</v>
      </c>
      <c r="J52" s="2"/>
      <c r="K52" s="2" t="s">
        <v>73</v>
      </c>
      <c r="L52" s="2">
        <v>9.5</v>
      </c>
      <c r="M52" s="2"/>
    </row>
    <row r="53" spans="1:13" ht="30.75">
      <c r="A53" s="7">
        <v>45884</v>
      </c>
      <c r="B53" s="2">
        <v>94.4</v>
      </c>
      <c r="C53" s="2" t="s">
        <v>47</v>
      </c>
      <c r="D53" s="7">
        <v>45868</v>
      </c>
      <c r="E53" s="2" t="s">
        <v>23</v>
      </c>
      <c r="F53" s="2" t="s">
        <v>24</v>
      </c>
      <c r="G53" s="2">
        <f>ROW() - ROW(Tabla35678[[#Headers],[N° SERVICIO]])</f>
        <v>47</v>
      </c>
      <c r="H53" s="2">
        <v>36496</v>
      </c>
      <c r="I53" s="2">
        <v>50033</v>
      </c>
      <c r="J53" s="2"/>
      <c r="K53" s="2" t="s">
        <v>73</v>
      </c>
      <c r="L53" s="2">
        <v>7.5</v>
      </c>
      <c r="M53" s="2"/>
    </row>
    <row r="54" spans="1:13" ht="30.75">
      <c r="A54" s="7">
        <v>45925</v>
      </c>
      <c r="B54" s="2">
        <v>94.4</v>
      </c>
      <c r="C54" s="2" t="s">
        <v>50</v>
      </c>
      <c r="D54" s="7">
        <v>45898</v>
      </c>
      <c r="E54" s="2" t="s">
        <v>23</v>
      </c>
      <c r="F54" s="2" t="s">
        <v>24</v>
      </c>
      <c r="G54" s="2">
        <f>ROW() - ROW(Tabla35678[[#Headers],[N° SERVICIO]])</f>
        <v>48</v>
      </c>
      <c r="H54" s="2">
        <v>37258</v>
      </c>
      <c r="I54" s="2">
        <v>51304</v>
      </c>
      <c r="J54" s="2"/>
      <c r="K54" s="2" t="s">
        <v>73</v>
      </c>
      <c r="L54" s="2">
        <v>5.9</v>
      </c>
      <c r="M54" s="2"/>
    </row>
    <row r="55" spans="1:13" ht="30.75">
      <c r="A55" s="7">
        <v>45966</v>
      </c>
      <c r="B55" s="2">
        <v>94.4</v>
      </c>
      <c r="C55" s="2" t="s">
        <v>22</v>
      </c>
      <c r="D55" s="7">
        <v>45930</v>
      </c>
      <c r="E55" s="2" t="s">
        <v>23</v>
      </c>
      <c r="F55" s="2" t="s">
        <v>24</v>
      </c>
      <c r="G55" s="2">
        <f>ROW() - ROW(Tabla35678[[#Headers],[N° SERVICIO]])</f>
        <v>49</v>
      </c>
      <c r="H55" s="2">
        <v>38144</v>
      </c>
      <c r="I55" s="2">
        <v>52133</v>
      </c>
      <c r="J55" s="2"/>
      <c r="K55" s="2" t="s">
        <v>73</v>
      </c>
      <c r="L55" s="2">
        <v>3.5</v>
      </c>
      <c r="M55" s="2"/>
    </row>
    <row r="56" spans="1:13" ht="30.75">
      <c r="A56" s="7">
        <v>45966</v>
      </c>
      <c r="B56" s="2">
        <v>94.4</v>
      </c>
      <c r="C56" s="2" t="s">
        <v>54</v>
      </c>
      <c r="D56" s="7">
        <v>45961</v>
      </c>
      <c r="E56" s="2" t="s">
        <v>23</v>
      </c>
      <c r="F56" s="2" t="s">
        <v>24</v>
      </c>
      <c r="G56" s="2">
        <f>ROW() - ROW(Tabla35678[[#Headers],[N° SERVICIO]])</f>
        <v>50</v>
      </c>
      <c r="H56" s="2">
        <v>38983</v>
      </c>
      <c r="I56" s="2">
        <v>53334</v>
      </c>
      <c r="J56" s="2"/>
      <c r="K56" s="2" t="s">
        <v>73</v>
      </c>
      <c r="L56" s="2">
        <v>6.7</v>
      </c>
      <c r="M56" s="2"/>
    </row>
    <row r="57" spans="1:13" ht="30.75">
      <c r="A57" s="7">
        <v>46008</v>
      </c>
      <c r="B57" s="2">
        <v>94.4</v>
      </c>
      <c r="C57" s="2" t="s">
        <v>27</v>
      </c>
      <c r="D57" s="2"/>
      <c r="E57" s="2" t="s">
        <v>23</v>
      </c>
      <c r="F57" s="2" t="s">
        <v>24</v>
      </c>
      <c r="G57" s="2">
        <f>ROW() - ROW(Tabla35678[[#Headers],[N° SERVICIO]])</f>
        <v>51</v>
      </c>
      <c r="H57" s="2">
        <v>39846</v>
      </c>
      <c r="I57" s="2"/>
      <c r="J57" s="2"/>
      <c r="K57" s="2" t="s">
        <v>73</v>
      </c>
      <c r="L57" s="2"/>
      <c r="M57" s="2"/>
    </row>
    <row r="58" spans="1:13" ht="30.75">
      <c r="A58" s="7">
        <v>46049</v>
      </c>
      <c r="B58" s="2">
        <v>94.4</v>
      </c>
      <c r="C58" s="2" t="s">
        <v>30</v>
      </c>
      <c r="D58" s="7">
        <v>46018</v>
      </c>
      <c r="E58" s="2" t="s">
        <v>23</v>
      </c>
      <c r="F58" s="2" t="s">
        <v>24</v>
      </c>
      <c r="G58" s="2">
        <f>ROW() - ROW(Tabla35678[[#Headers],[N° SERVICIO]])</f>
        <v>52</v>
      </c>
      <c r="H58" s="2">
        <v>40642</v>
      </c>
      <c r="I58" s="2">
        <v>55650</v>
      </c>
      <c r="J58" s="2"/>
      <c r="K58" s="2" t="s">
        <v>73</v>
      </c>
      <c r="L58" s="2">
        <v>6.3</v>
      </c>
      <c r="M58" s="2"/>
    </row>
    <row r="59" spans="1:13" ht="30.75">
      <c r="A59" s="7">
        <v>46086</v>
      </c>
      <c r="B59" s="2">
        <v>94.4</v>
      </c>
      <c r="C59" s="2" t="s">
        <v>32</v>
      </c>
      <c r="D59" s="7">
        <v>46053</v>
      </c>
      <c r="E59" s="2" t="s">
        <v>23</v>
      </c>
      <c r="F59" s="2" t="s">
        <v>24</v>
      </c>
      <c r="G59" s="2">
        <f>ROW() - ROW(Tabla35678[[#Headers],[N° SERVICIO]])</f>
        <v>53</v>
      </c>
      <c r="H59" s="2">
        <v>41608</v>
      </c>
      <c r="I59" s="2">
        <v>56472</v>
      </c>
      <c r="J59" s="2"/>
      <c r="K59" s="2" t="s">
        <v>73</v>
      </c>
      <c r="L59" s="2" t="s">
        <v>1882</v>
      </c>
      <c r="M59" s="2"/>
    </row>
    <row r="60" spans="1:13" ht="30.75">
      <c r="A60" s="7">
        <v>46113</v>
      </c>
      <c r="B60" s="2">
        <v>94.4</v>
      </c>
      <c r="C60" s="2" t="s">
        <v>34</v>
      </c>
      <c r="D60" s="7">
        <v>46081</v>
      </c>
      <c r="E60" s="2" t="s">
        <v>23</v>
      </c>
      <c r="F60" s="2" t="s">
        <v>24</v>
      </c>
      <c r="G60" s="2">
        <f>ROW() - ROW(Tabla35678[[#Headers],[N° SERVICIO]])</f>
        <v>54</v>
      </c>
      <c r="H60" s="2">
        <v>42418</v>
      </c>
      <c r="I60" s="2">
        <v>58392</v>
      </c>
      <c r="J60" s="2"/>
      <c r="K60" s="2" t="s">
        <v>73</v>
      </c>
      <c r="L60" s="2">
        <v>8.5</v>
      </c>
      <c r="M60" s="2"/>
    </row>
    <row r="61" spans="1:13" ht="30.75">
      <c r="A61" s="7">
        <v>46113</v>
      </c>
      <c r="B61" s="2">
        <v>94.4</v>
      </c>
      <c r="C61" s="2" t="s">
        <v>38</v>
      </c>
      <c r="D61" s="7">
        <v>46112</v>
      </c>
      <c r="E61" s="2" t="s">
        <v>23</v>
      </c>
      <c r="F61" s="2" t="s">
        <v>24</v>
      </c>
      <c r="G61" s="2">
        <f>ROW() - ROW(Tabla35678[[#Headers],[N° SERVICIO]])</f>
        <v>55</v>
      </c>
      <c r="H61" s="2">
        <v>43189</v>
      </c>
      <c r="I61" s="2">
        <v>59570</v>
      </c>
      <c r="J61" s="2"/>
      <c r="K61" s="2" t="s">
        <v>73</v>
      </c>
      <c r="L61" s="2">
        <v>6.1</v>
      </c>
      <c r="M61" s="2"/>
    </row>
    <row r="62" spans="1:13" ht="30.75">
      <c r="A62" s="7">
        <v>46167</v>
      </c>
      <c r="B62" s="2">
        <v>94.4</v>
      </c>
      <c r="C62" s="2" t="s">
        <v>41</v>
      </c>
      <c r="D62" s="7">
        <v>46141</v>
      </c>
      <c r="E62" s="2" t="s">
        <v>23</v>
      </c>
      <c r="F62" s="2" t="s">
        <v>24</v>
      </c>
      <c r="G62" s="2">
        <f>ROW() - ROW(Tabla35678[[#Headers],[N° SERVICIO]])</f>
        <v>56</v>
      </c>
      <c r="H62" s="2">
        <v>44108</v>
      </c>
      <c r="I62" s="2">
        <v>60983</v>
      </c>
      <c r="J62" s="2"/>
      <c r="K62" s="2" t="s">
        <v>73</v>
      </c>
      <c r="L62" s="2">
        <v>5</v>
      </c>
      <c r="M62" s="2"/>
    </row>
    <row r="63" spans="1:13" ht="30.75">
      <c r="A63" s="2"/>
      <c r="B63" s="2"/>
      <c r="C63" s="2"/>
      <c r="D63" s="2"/>
      <c r="E63" s="2" t="s">
        <v>23</v>
      </c>
      <c r="F63" s="2"/>
      <c r="G63" s="2">
        <f>ROW() - ROW(Tabla35678[[#Headers],[N° SERVICIO]])</f>
        <v>57</v>
      </c>
      <c r="H63" s="2"/>
      <c r="I63" s="2"/>
      <c r="J63" s="2"/>
      <c r="K63" s="2"/>
      <c r="L63" s="2"/>
      <c r="M63" s="2"/>
    </row>
    <row r="64" spans="1:13" ht="30.75">
      <c r="A64" s="2"/>
      <c r="B64" s="2"/>
      <c r="C64" s="2"/>
      <c r="D64" s="2"/>
      <c r="E64" s="2" t="s">
        <v>23</v>
      </c>
      <c r="F64" s="2"/>
      <c r="G64" s="2">
        <f>ROW() - ROW(Tabla35678[[#Headers],[N° SERVICIO]])</f>
        <v>58</v>
      </c>
      <c r="H64" s="2"/>
      <c r="I64" s="2"/>
      <c r="J64" s="2"/>
      <c r="K64" s="2"/>
      <c r="L64" s="2"/>
      <c r="M64" s="2"/>
    </row>
    <row r="65" spans="1:13" ht="30.75">
      <c r="A65" s="2"/>
      <c r="B65" s="2"/>
      <c r="C65" s="2"/>
      <c r="D65" s="2"/>
      <c r="E65" s="2" t="s">
        <v>23</v>
      </c>
      <c r="F65" s="2"/>
      <c r="G65" s="2">
        <f>ROW() - ROW(Tabla35678[[#Headers],[N° SERVICIO]])</f>
        <v>59</v>
      </c>
      <c r="H65" s="2"/>
      <c r="I65" s="2"/>
      <c r="J65" s="2"/>
      <c r="K65" s="2"/>
      <c r="L65" s="2"/>
      <c r="M65" s="2"/>
    </row>
    <row r="66" spans="1:13" ht="30.75">
      <c r="A66" s="2"/>
      <c r="B66" s="2"/>
      <c r="C66" s="2"/>
      <c r="D66" s="2"/>
      <c r="E66" s="2" t="s">
        <v>23</v>
      </c>
      <c r="F66" s="2"/>
      <c r="G66" s="2">
        <f>ROW() - ROW(Tabla35678[[#Headers],[N° SERVICIO]])</f>
        <v>60</v>
      </c>
      <c r="H66" s="2"/>
      <c r="I66" s="2"/>
      <c r="J66" s="2"/>
      <c r="K66" s="2"/>
      <c r="L66" s="2"/>
      <c r="M66" s="2"/>
    </row>
    <row r="67" spans="1:13" ht="30.75">
      <c r="A67" s="2"/>
      <c r="B67" s="2"/>
      <c r="C67" s="2"/>
      <c r="D67" s="2"/>
      <c r="E67" s="2" t="s">
        <v>23</v>
      </c>
      <c r="F67" s="2"/>
      <c r="G67" s="2">
        <f>ROW() - ROW(Tabla35678[[#Headers],[N° SERVICIO]])</f>
        <v>61</v>
      </c>
      <c r="H67" s="2"/>
      <c r="I67" s="2"/>
      <c r="J67" s="2"/>
      <c r="K67" s="2"/>
      <c r="L67" s="2"/>
      <c r="M67" s="2"/>
    </row>
    <row r="68" spans="1:13" ht="30.75">
      <c r="A68" s="2"/>
      <c r="B68" s="2"/>
      <c r="C68" s="2"/>
      <c r="D68" s="2"/>
      <c r="E68" s="2" t="s">
        <v>23</v>
      </c>
      <c r="F68" s="2"/>
      <c r="G68" s="2">
        <f>ROW() - ROW(Tabla35678[[#Headers],[N° SERVICIO]])</f>
        <v>62</v>
      </c>
      <c r="H68" s="2"/>
      <c r="I68" s="2"/>
      <c r="J68" s="2"/>
      <c r="K68" s="2"/>
      <c r="L68" s="2"/>
      <c r="M68" s="2"/>
    </row>
    <row r="69" spans="1:13" ht="30.75">
      <c r="A69" s="2"/>
      <c r="B69" s="2"/>
      <c r="C69" s="2"/>
      <c r="D69" s="2"/>
      <c r="E69" s="2" t="s">
        <v>23</v>
      </c>
      <c r="F69" s="2"/>
      <c r="G69" s="2">
        <f>ROW() - ROW(Tabla35678[[#Headers],[N° SERVICIO]])</f>
        <v>63</v>
      </c>
      <c r="H69" s="2"/>
      <c r="I69" s="2"/>
      <c r="J69" s="2"/>
      <c r="K69" s="2"/>
      <c r="L69" s="2"/>
      <c r="M69" s="2"/>
    </row>
    <row r="70" spans="1:13" ht="30.75">
      <c r="A70" s="2"/>
      <c r="B70" s="2"/>
      <c r="C70" s="2"/>
      <c r="D70" s="2"/>
      <c r="E70" s="2" t="s">
        <v>23</v>
      </c>
      <c r="F70" s="2"/>
      <c r="G70" s="2">
        <f>ROW() - ROW(Tabla35678[[#Headers],[N° SERVICIO]])</f>
        <v>64</v>
      </c>
      <c r="H70" s="2"/>
      <c r="I70" s="2"/>
      <c r="J70" s="2"/>
      <c r="K70" s="2"/>
      <c r="L70" s="2"/>
      <c r="M70" s="2"/>
    </row>
    <row r="71" spans="1:13" ht="30.75">
      <c r="A71" s="2"/>
      <c r="B71" s="2"/>
      <c r="C71" s="2"/>
      <c r="D71" s="2"/>
      <c r="E71" s="2" t="s">
        <v>23</v>
      </c>
      <c r="F71" s="2"/>
      <c r="G71" s="2">
        <f>ROW() - ROW(Tabla35678[[#Headers],[N° SERVICIO]])</f>
        <v>65</v>
      </c>
      <c r="H71" s="2"/>
      <c r="I71" s="2"/>
      <c r="J71" s="2"/>
      <c r="K71" s="2"/>
      <c r="L71" s="2"/>
      <c r="M71" s="2"/>
    </row>
    <row r="72" spans="1:13" ht="30.75">
      <c r="A72" s="2"/>
      <c r="B72" s="2"/>
      <c r="C72" s="2"/>
      <c r="D72" s="2"/>
      <c r="E72" s="2" t="s">
        <v>23</v>
      </c>
      <c r="F72" s="2"/>
      <c r="G72" s="2">
        <f>ROW() - ROW(Tabla35678[[#Headers],[N° SERVICIO]])</f>
        <v>66</v>
      </c>
      <c r="H72" s="2"/>
      <c r="I72" s="2"/>
      <c r="J72" s="2"/>
      <c r="K72" s="2"/>
      <c r="L72" s="2"/>
      <c r="M72" s="2"/>
    </row>
    <row r="73" spans="1:13" ht="30.75">
      <c r="A73" s="2"/>
      <c r="B73" s="2"/>
      <c r="C73" s="2"/>
      <c r="D73" s="2"/>
      <c r="E73" s="2" t="s">
        <v>23</v>
      </c>
      <c r="F73" s="2"/>
      <c r="G73" s="2">
        <f>ROW() - ROW(Tabla35678[[#Headers],[N° SERVICIO]])</f>
        <v>67</v>
      </c>
      <c r="H73" s="2"/>
      <c r="I73" s="2"/>
      <c r="J73" s="2"/>
      <c r="K73" s="2"/>
      <c r="L73" s="2"/>
      <c r="M73" s="2"/>
    </row>
    <row r="74" spans="1:13" ht="30.75">
      <c r="A74" s="2"/>
      <c r="B74" s="2"/>
      <c r="C74" s="2"/>
      <c r="D74" s="2"/>
      <c r="E74" s="2" t="s">
        <v>23</v>
      </c>
      <c r="F74" s="2"/>
      <c r="G74" s="2">
        <f>ROW() - ROW(Tabla35678[[#Headers],[N° SERVICIO]])</f>
        <v>68</v>
      </c>
      <c r="H74" s="2"/>
      <c r="I74" s="2"/>
      <c r="J74" s="2"/>
      <c r="K74" s="2"/>
      <c r="L74" s="2"/>
      <c r="M74" s="2"/>
    </row>
    <row r="75" spans="1:13" ht="30.75">
      <c r="A75" s="2"/>
      <c r="B75" s="2"/>
      <c r="C75" s="2"/>
      <c r="D75" s="2"/>
      <c r="E75" s="2" t="s">
        <v>23</v>
      </c>
      <c r="F75" s="2"/>
      <c r="G75" s="2">
        <f>ROW() - ROW(Tabla35678[[#Headers],[N° SERVICIO]])</f>
        <v>69</v>
      </c>
      <c r="H75" s="2"/>
      <c r="I75" s="2"/>
      <c r="J75" s="2"/>
      <c r="K75" s="2"/>
      <c r="L75" s="2"/>
      <c r="M75" s="2"/>
    </row>
    <row r="76" spans="1:13" ht="30.75">
      <c r="A76" s="2"/>
      <c r="B76" s="2"/>
      <c r="C76" s="2"/>
      <c r="D76" s="2"/>
      <c r="E76" s="2" t="s">
        <v>23</v>
      </c>
      <c r="F76" s="2"/>
      <c r="G76" s="2">
        <f>ROW() - ROW(Tabla35678[[#Headers],[N° SERVICIO]])</f>
        <v>70</v>
      </c>
      <c r="H76" s="2"/>
      <c r="I76" s="2"/>
      <c r="J76" s="2"/>
      <c r="K76" s="2"/>
      <c r="L76" s="2"/>
      <c r="M76" s="2"/>
    </row>
    <row r="77" spans="1:13" ht="30.75">
      <c r="A77" s="2"/>
      <c r="B77" s="2"/>
      <c r="C77" s="2"/>
      <c r="D77" s="2"/>
      <c r="E77" s="2" t="s">
        <v>23</v>
      </c>
      <c r="F77" s="2"/>
      <c r="G77" s="2">
        <f>ROW() - ROW(Tabla35678[[#Headers],[N° SERVICIO]])</f>
        <v>71</v>
      </c>
      <c r="H77" s="2"/>
      <c r="I77" s="2"/>
      <c r="J77" s="2"/>
      <c r="K77" s="2"/>
      <c r="L77" s="2"/>
      <c r="M77" s="2"/>
    </row>
    <row r="78" spans="1:13" ht="30.75">
      <c r="A78" s="2"/>
      <c r="B78" s="2"/>
      <c r="C78" s="2"/>
      <c r="D78" s="2"/>
      <c r="E78" s="2" t="s">
        <v>23</v>
      </c>
      <c r="F78" s="2"/>
      <c r="G78" s="2">
        <f>ROW() - ROW(Tabla35678[[#Headers],[N° SERVICIO]])</f>
        <v>72</v>
      </c>
      <c r="H78" s="2"/>
      <c r="I78" s="2"/>
      <c r="J78" s="2"/>
      <c r="K78" s="2"/>
      <c r="L78" s="2"/>
      <c r="M78" s="2"/>
    </row>
    <row r="79" spans="1:13" ht="30.75">
      <c r="A79" s="2"/>
      <c r="B79" s="2"/>
      <c r="C79" s="2"/>
      <c r="D79" s="2"/>
      <c r="E79" s="2" t="s">
        <v>23</v>
      </c>
      <c r="F79" s="2"/>
      <c r="G79" s="2">
        <f>ROW() - ROW(Tabla35678[[#Headers],[N° SERVICIO]])</f>
        <v>73</v>
      </c>
      <c r="H79" s="2"/>
      <c r="I79" s="2"/>
      <c r="J79" s="2"/>
      <c r="K79" s="2"/>
      <c r="L79" s="2"/>
      <c r="M79" s="2"/>
    </row>
    <row r="80" spans="1:13" ht="30.75">
      <c r="A80" s="2"/>
      <c r="B80" s="2"/>
      <c r="C80" s="2"/>
      <c r="D80" s="2"/>
      <c r="E80" s="2" t="s">
        <v>23</v>
      </c>
      <c r="F80" s="2"/>
      <c r="G80" s="2">
        <f>ROW() - ROW(Tabla35678[[#Headers],[N° SERVICIO]])</f>
        <v>74</v>
      </c>
      <c r="H80" s="2"/>
      <c r="I80" s="2"/>
      <c r="J80" s="2"/>
      <c r="K80" s="2"/>
      <c r="L80" s="2"/>
      <c r="M80" s="2"/>
    </row>
    <row r="81" spans="1:13" ht="30.75">
      <c r="A81" s="2"/>
      <c r="B81" s="2"/>
      <c r="C81" s="2"/>
      <c r="D81" s="2"/>
      <c r="E81" s="2" t="s">
        <v>23</v>
      </c>
      <c r="F81" s="2"/>
      <c r="G81" s="2">
        <f>ROW() - ROW(Tabla35678[[#Headers],[N° SERVICIO]])</f>
        <v>75</v>
      </c>
      <c r="H81" s="2"/>
      <c r="I81" s="2"/>
      <c r="J81" s="2"/>
      <c r="K81" s="2"/>
      <c r="L81" s="2"/>
      <c r="M81" s="2"/>
    </row>
    <row r="128" spans="1:5" ht="21">
      <c r="A128" s="752" t="s">
        <v>1883</v>
      </c>
      <c r="B128" s="752"/>
      <c r="C128" s="752"/>
      <c r="D128" s="752"/>
      <c r="E128" s="752"/>
    </row>
    <row r="129" spans="1:11">
      <c r="A129" s="2" t="s">
        <v>1</v>
      </c>
      <c r="B129" s="2">
        <v>20534783010</v>
      </c>
    </row>
    <row r="130" spans="1:11" ht="30">
      <c r="A130" s="2" t="s">
        <v>2</v>
      </c>
      <c r="B130" s="3" t="s">
        <v>1848</v>
      </c>
    </row>
    <row r="131" spans="1:11" ht="40.5">
      <c r="A131" s="188" t="s">
        <v>4</v>
      </c>
      <c r="B131" s="189">
        <v>43775</v>
      </c>
      <c r="E131" s="753" t="s">
        <v>341</v>
      </c>
      <c r="F131" s="753"/>
      <c r="I131" s="755" t="s">
        <v>1884</v>
      </c>
      <c r="J131" s="755"/>
      <c r="K131" s="755"/>
    </row>
    <row r="133" spans="1:11" ht="75.75" thickBot="1">
      <c r="A133" s="190" t="s">
        <v>7</v>
      </c>
      <c r="B133" s="190" t="s">
        <v>8</v>
      </c>
      <c r="C133" s="190" t="s">
        <v>9</v>
      </c>
      <c r="D133" s="190" t="s">
        <v>10</v>
      </c>
      <c r="E133" s="190" t="s">
        <v>11</v>
      </c>
      <c r="F133" s="190" t="s">
        <v>12</v>
      </c>
      <c r="G133" s="190" t="s">
        <v>13</v>
      </c>
      <c r="H133" s="190" t="s">
        <v>14</v>
      </c>
      <c r="I133" s="190" t="s">
        <v>15</v>
      </c>
      <c r="J133" s="190" t="s">
        <v>16</v>
      </c>
      <c r="K133" s="190" t="s">
        <v>18</v>
      </c>
    </row>
    <row r="134" spans="1:11">
      <c r="A134" s="7">
        <v>43774</v>
      </c>
      <c r="B134" s="8">
        <v>94.4</v>
      </c>
      <c r="C134" s="2" t="s">
        <v>22</v>
      </c>
      <c r="D134" s="7">
        <v>43798</v>
      </c>
      <c r="E134" s="2" t="s">
        <v>23</v>
      </c>
      <c r="F134" s="2" t="s">
        <v>1742</v>
      </c>
      <c r="G134" s="2">
        <v>1</v>
      </c>
      <c r="H134" s="2">
        <v>76</v>
      </c>
      <c r="I134" s="9" t="s">
        <v>1885</v>
      </c>
      <c r="J134" s="9" t="s">
        <v>1886</v>
      </c>
      <c r="K134" s="2" t="s">
        <v>26</v>
      </c>
    </row>
    <row r="135" spans="1:11">
      <c r="A135" s="7">
        <v>43827</v>
      </c>
      <c r="B135" s="8">
        <v>94.4</v>
      </c>
      <c r="C135" s="2" t="s">
        <v>54</v>
      </c>
      <c r="D135" s="7">
        <v>43827</v>
      </c>
      <c r="E135" s="2" t="s">
        <v>23</v>
      </c>
      <c r="F135" s="2" t="s">
        <v>28</v>
      </c>
      <c r="G135" s="2">
        <v>2</v>
      </c>
      <c r="H135" s="2">
        <v>152</v>
      </c>
      <c r="I135" s="9" t="s">
        <v>1885</v>
      </c>
      <c r="J135" s="9" t="s">
        <v>1887</v>
      </c>
      <c r="K135" s="2" t="s">
        <v>26</v>
      </c>
    </row>
    <row r="136" spans="1:11">
      <c r="A136" s="7" t="s">
        <v>1888</v>
      </c>
      <c r="B136" s="8">
        <v>94.4</v>
      </c>
      <c r="C136" s="2" t="s">
        <v>27</v>
      </c>
      <c r="D136" s="7">
        <v>43860</v>
      </c>
      <c r="E136" s="2" t="s">
        <v>23</v>
      </c>
      <c r="F136" s="2" t="s">
        <v>28</v>
      </c>
      <c r="G136" s="2">
        <v>3</v>
      </c>
      <c r="H136" s="2">
        <v>203</v>
      </c>
      <c r="I136" s="9" t="s">
        <v>1885</v>
      </c>
      <c r="J136" s="9" t="s">
        <v>1889</v>
      </c>
      <c r="K136" s="2" t="s">
        <v>26</v>
      </c>
    </row>
    <row r="137" spans="1:11">
      <c r="A137" s="7">
        <v>43868</v>
      </c>
      <c r="B137" s="8">
        <v>94.4</v>
      </c>
      <c r="C137" s="2" t="s">
        <v>30</v>
      </c>
      <c r="D137" s="7">
        <v>43888</v>
      </c>
      <c r="E137" s="2" t="s">
        <v>23</v>
      </c>
      <c r="F137" s="2" t="s">
        <v>28</v>
      </c>
      <c r="G137" s="2">
        <v>4</v>
      </c>
      <c r="H137" s="2">
        <v>255</v>
      </c>
      <c r="I137" s="9" t="s">
        <v>1885</v>
      </c>
      <c r="J137" s="9" t="s">
        <v>1890</v>
      </c>
      <c r="K137" s="2" t="s">
        <v>26</v>
      </c>
    </row>
    <row r="138" spans="1:11">
      <c r="A138" s="7">
        <v>43923</v>
      </c>
      <c r="B138" s="8">
        <v>94.4</v>
      </c>
      <c r="C138" s="2" t="s">
        <v>32</v>
      </c>
      <c r="D138" s="7">
        <v>43923</v>
      </c>
      <c r="E138" s="2" t="s">
        <v>23</v>
      </c>
      <c r="F138" s="2" t="s">
        <v>28</v>
      </c>
      <c r="G138" s="2">
        <v>5</v>
      </c>
      <c r="H138" s="2">
        <v>318</v>
      </c>
      <c r="I138" s="9" t="s">
        <v>1885</v>
      </c>
      <c r="J138" s="9" t="s">
        <v>1891</v>
      </c>
      <c r="K138" s="2" t="s">
        <v>26</v>
      </c>
    </row>
    <row r="139" spans="1:11">
      <c r="A139" s="7">
        <v>43953</v>
      </c>
      <c r="B139" s="8">
        <v>94.4</v>
      </c>
      <c r="C139" s="2" t="s">
        <v>34</v>
      </c>
      <c r="D139" s="7">
        <v>43953</v>
      </c>
      <c r="E139" s="2" t="s">
        <v>23</v>
      </c>
      <c r="F139" s="2" t="s">
        <v>28</v>
      </c>
      <c r="G139" s="2">
        <v>6</v>
      </c>
      <c r="H139" s="2">
        <v>345</v>
      </c>
      <c r="I139" s="9" t="s">
        <v>1885</v>
      </c>
      <c r="J139" s="9" t="s">
        <v>1892</v>
      </c>
      <c r="K139" s="2" t="s">
        <v>26</v>
      </c>
    </row>
    <row r="140" spans="1:11">
      <c r="A140" s="7">
        <v>43981</v>
      </c>
      <c r="B140" s="8">
        <v>94.4</v>
      </c>
      <c r="C140" s="2" t="s">
        <v>38</v>
      </c>
      <c r="D140" s="7">
        <v>43981</v>
      </c>
      <c r="E140" s="2" t="s">
        <v>23</v>
      </c>
      <c r="F140" s="2" t="s">
        <v>28</v>
      </c>
      <c r="G140" s="2">
        <v>7</v>
      </c>
      <c r="H140" s="2">
        <v>407</v>
      </c>
      <c r="I140" s="9" t="s">
        <v>1885</v>
      </c>
      <c r="J140" s="9"/>
      <c r="K140" s="2" t="s">
        <v>26</v>
      </c>
    </row>
    <row r="141" spans="1:11">
      <c r="A141" s="7">
        <v>44016</v>
      </c>
      <c r="B141" s="8">
        <v>94.4</v>
      </c>
      <c r="C141" s="2" t="s">
        <v>41</v>
      </c>
      <c r="D141" s="7">
        <v>44016</v>
      </c>
      <c r="E141" s="2" t="s">
        <v>23</v>
      </c>
      <c r="F141" s="2" t="s">
        <v>28</v>
      </c>
      <c r="G141" s="2">
        <v>8</v>
      </c>
      <c r="H141" s="2">
        <v>508</v>
      </c>
      <c r="I141" s="9" t="s">
        <v>1885</v>
      </c>
      <c r="J141" s="9" t="s">
        <v>1893</v>
      </c>
      <c r="K141" s="2" t="s">
        <v>26</v>
      </c>
    </row>
    <row r="142" spans="1:11">
      <c r="A142" s="7">
        <v>44042</v>
      </c>
      <c r="B142" s="8">
        <v>94.4</v>
      </c>
      <c r="C142" s="2" t="s">
        <v>44</v>
      </c>
      <c r="D142" s="7">
        <v>44042</v>
      </c>
      <c r="E142" s="2" t="s">
        <v>23</v>
      </c>
      <c r="F142" s="2" t="s">
        <v>28</v>
      </c>
      <c r="G142" s="2">
        <v>9</v>
      </c>
      <c r="H142" s="2">
        <v>634</v>
      </c>
      <c r="I142" s="9" t="s">
        <v>1885</v>
      </c>
      <c r="J142" s="9" t="s">
        <v>1894</v>
      </c>
      <c r="K142" s="2" t="s">
        <v>26</v>
      </c>
    </row>
    <row r="143" spans="1:11">
      <c r="A143" s="7">
        <v>44070</v>
      </c>
      <c r="B143" s="8">
        <v>94.4</v>
      </c>
      <c r="C143" s="2" t="s">
        <v>57</v>
      </c>
      <c r="D143" s="7">
        <v>44070</v>
      </c>
      <c r="E143" s="2" t="s">
        <v>23</v>
      </c>
      <c r="F143" s="2" t="s">
        <v>28</v>
      </c>
      <c r="G143" s="2">
        <v>10</v>
      </c>
      <c r="H143" s="2">
        <v>747</v>
      </c>
      <c r="I143" s="9" t="s">
        <v>1885</v>
      </c>
      <c r="J143" s="9" t="s">
        <v>1895</v>
      </c>
      <c r="K143" s="2" t="s">
        <v>26</v>
      </c>
    </row>
    <row r="144" spans="1:11">
      <c r="A144" s="7">
        <v>44104</v>
      </c>
      <c r="B144" s="8">
        <v>94.4</v>
      </c>
      <c r="C144" s="2" t="s">
        <v>47</v>
      </c>
      <c r="D144" s="7">
        <v>44104</v>
      </c>
      <c r="E144" s="2" t="s">
        <v>23</v>
      </c>
      <c r="F144" s="2" t="s">
        <v>28</v>
      </c>
      <c r="G144" s="2">
        <v>11</v>
      </c>
      <c r="H144" s="2">
        <v>928</v>
      </c>
      <c r="I144" s="9" t="s">
        <v>1885</v>
      </c>
      <c r="J144" s="9" t="s">
        <v>1896</v>
      </c>
      <c r="K144" s="2" t="s">
        <v>26</v>
      </c>
    </row>
    <row r="145" spans="1:11">
      <c r="A145" s="7">
        <v>44133</v>
      </c>
      <c r="B145" s="8">
        <v>94.4</v>
      </c>
      <c r="C145" s="2" t="s">
        <v>54</v>
      </c>
      <c r="D145" s="7">
        <v>44133</v>
      </c>
      <c r="E145" s="2" t="s">
        <v>23</v>
      </c>
      <c r="F145" s="2" t="s">
        <v>28</v>
      </c>
      <c r="G145" s="2">
        <v>12</v>
      </c>
      <c r="H145" s="2">
        <v>1106</v>
      </c>
      <c r="I145" s="9" t="s">
        <v>1885</v>
      </c>
      <c r="J145" s="9" t="s">
        <v>1897</v>
      </c>
      <c r="K145" s="2" t="s">
        <v>26</v>
      </c>
    </row>
    <row r="146" spans="1:11">
      <c r="A146" s="7">
        <v>44161</v>
      </c>
      <c r="B146" s="8">
        <v>94.4</v>
      </c>
      <c r="C146" s="2" t="s">
        <v>27</v>
      </c>
      <c r="D146" s="7">
        <v>44161</v>
      </c>
      <c r="E146" s="2" t="s">
        <v>23</v>
      </c>
      <c r="F146" s="2" t="s">
        <v>28</v>
      </c>
      <c r="G146" s="2">
        <v>13</v>
      </c>
      <c r="H146" s="2">
        <v>1308</v>
      </c>
      <c r="I146" s="9" t="s">
        <v>1885</v>
      </c>
      <c r="J146" s="2">
        <v>1941</v>
      </c>
      <c r="K146" s="2" t="s">
        <v>26</v>
      </c>
    </row>
    <row r="147" spans="1:11">
      <c r="A147" s="7">
        <v>44198</v>
      </c>
      <c r="B147" s="8">
        <v>94.4</v>
      </c>
      <c r="C147" s="2" t="s">
        <v>30</v>
      </c>
      <c r="D147" s="7">
        <v>44198</v>
      </c>
      <c r="E147" s="2" t="s">
        <v>23</v>
      </c>
      <c r="F147" s="2" t="s">
        <v>28</v>
      </c>
      <c r="G147" s="2">
        <v>14</v>
      </c>
      <c r="H147" s="2">
        <v>1596</v>
      </c>
      <c r="I147" s="9" t="s">
        <v>1885</v>
      </c>
      <c r="J147" s="2">
        <v>2322</v>
      </c>
      <c r="K147" s="2" t="s">
        <v>26</v>
      </c>
    </row>
  </sheetData>
  <mergeCells count="6">
    <mergeCell ref="A1:E1"/>
    <mergeCell ref="E4:F4"/>
    <mergeCell ref="I4:K4"/>
    <mergeCell ref="A128:E128"/>
    <mergeCell ref="E131:F131"/>
    <mergeCell ref="I131:K131"/>
  </mergeCells>
  <dataValidations count="2">
    <dataValidation type="list" allowBlank="1" showInputMessage="1" showErrorMessage="1" sqref="C134:C147 C7:C81" xr:uid="{00000000-0002-0000-1800-000000000000}">
      <formula1>"ENERO,FEBRERO,MARZO,ABRIL,MAYO,JUNIO,JULIO,AGOSTO,SEPTIEMBRE,OCTUBRE,NOVIEMBRE,DICIEMBRE"</formula1>
    </dataValidation>
    <dataValidation type="list" allowBlank="1" showInputMessage="1" showErrorMessage="1" sqref="F134:F147 F7:F81" xr:uid="{00000000-0002-0000-1800-000001000000}">
      <formula1>"EFECTIVO, CHEQUE, TRANSFERENCIA,DEPOSITO"</formula1>
    </dataValidation>
  </dataValidations>
  <hyperlinks>
    <hyperlink ref="B3" r:id="rId1" xr:uid="{00000000-0004-0000-1800-000000000000}"/>
    <hyperlink ref="B130" r:id="rId2" xr:uid="{00000000-0004-0000-1800-000001000000}"/>
  </hyperlinks>
  <pageMargins left="0.7" right="0.7" top="0.75" bottom="0.75" header="0.3" footer="0.3"/>
  <pageSetup orientation="portrait"/>
  <tableParts count="2">
    <tablePart r:id="rId3"/>
    <tablePart r:id="rId4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A42D-B0B6-46D6-9C47-7A70E9A9F3AB}">
  <dimension ref="A1:N108"/>
  <sheetViews>
    <sheetView topLeftCell="A61" workbookViewId="0">
      <selection activeCell="Q73" sqref="Q73"/>
    </sheetView>
  </sheetViews>
  <sheetFormatPr defaultColWidth="11.42578125" defaultRowHeight="15"/>
  <cols>
    <col min="2" max="2" width="22.140625" customWidth="1"/>
    <col min="11" max="12" width="14.85546875" customWidth="1"/>
    <col min="14" max="14" width="17.5703125" bestFit="1" customWidth="1"/>
  </cols>
  <sheetData>
    <row r="1" spans="1:14" ht="42" customHeight="1">
      <c r="A1" s="756" t="s">
        <v>1898</v>
      </c>
      <c r="B1" s="756"/>
      <c r="C1" s="756"/>
      <c r="D1" s="756"/>
      <c r="E1" s="756"/>
    </row>
    <row r="2" spans="1:14" ht="24" customHeight="1">
      <c r="A2" s="2" t="s">
        <v>1</v>
      </c>
      <c r="B2" s="93">
        <v>20600507258</v>
      </c>
    </row>
    <row r="3" spans="1:14" ht="30.75">
      <c r="A3" s="2" t="s">
        <v>2</v>
      </c>
      <c r="B3" s="3" t="s">
        <v>1899</v>
      </c>
    </row>
    <row r="4" spans="1:14" ht="37.5">
      <c r="A4" s="191" t="s">
        <v>4</v>
      </c>
      <c r="B4" s="192">
        <v>45699</v>
      </c>
      <c r="E4" s="757" t="s">
        <v>5</v>
      </c>
      <c r="F4" s="757"/>
      <c r="I4" s="688" t="s">
        <v>1900</v>
      </c>
      <c r="J4" s="688"/>
      <c r="K4" s="688"/>
      <c r="L4" s="636"/>
    </row>
    <row r="6" spans="1:14" ht="75.75">
      <c r="A6" s="193" t="s">
        <v>7</v>
      </c>
      <c r="B6" s="193" t="s">
        <v>8</v>
      </c>
      <c r="C6" s="193" t="s">
        <v>9</v>
      </c>
      <c r="D6" s="193" t="s">
        <v>10</v>
      </c>
      <c r="E6" s="193" t="s">
        <v>11</v>
      </c>
      <c r="F6" s="193" t="s">
        <v>12</v>
      </c>
      <c r="G6" s="193" t="s">
        <v>13</v>
      </c>
      <c r="H6" s="193" t="s">
        <v>14</v>
      </c>
      <c r="I6" s="193" t="s">
        <v>1901</v>
      </c>
      <c r="J6" s="193" t="s">
        <v>16</v>
      </c>
      <c r="K6" s="193" t="s">
        <v>18</v>
      </c>
      <c r="L6" s="193" t="s">
        <v>1126</v>
      </c>
      <c r="M6" s="481" t="s">
        <v>99</v>
      </c>
    </row>
    <row r="7" spans="1:14" ht="30.75">
      <c r="A7" s="7">
        <v>44254</v>
      </c>
      <c r="B7" s="8">
        <v>94.4</v>
      </c>
      <c r="C7" s="2" t="s">
        <v>27</v>
      </c>
      <c r="D7" s="7">
        <v>44254</v>
      </c>
      <c r="E7" s="2" t="s">
        <v>23</v>
      </c>
      <c r="F7" s="2" t="s">
        <v>28</v>
      </c>
      <c r="G7" s="2">
        <v>1</v>
      </c>
      <c r="H7" s="9" t="s">
        <v>1902</v>
      </c>
      <c r="I7" s="9" t="s">
        <v>1903</v>
      </c>
      <c r="J7" s="9" t="s">
        <v>489</v>
      </c>
      <c r="K7" s="2" t="s">
        <v>26</v>
      </c>
      <c r="L7" s="2"/>
      <c r="M7" s="2"/>
    </row>
    <row r="8" spans="1:14" ht="30.75">
      <c r="A8" s="7">
        <v>44282</v>
      </c>
      <c r="B8" s="8">
        <v>94.4</v>
      </c>
      <c r="C8" s="2" t="s">
        <v>38</v>
      </c>
      <c r="D8" s="7">
        <v>44282</v>
      </c>
      <c r="E8" s="2" t="s">
        <v>23</v>
      </c>
      <c r="F8" s="2" t="s">
        <v>28</v>
      </c>
      <c r="G8" s="2">
        <v>2</v>
      </c>
      <c r="H8" s="9" t="s">
        <v>1904</v>
      </c>
      <c r="I8" s="9" t="s">
        <v>1903</v>
      </c>
      <c r="J8" s="9" t="s">
        <v>1905</v>
      </c>
      <c r="K8" s="2" t="s">
        <v>26</v>
      </c>
      <c r="L8" s="2"/>
      <c r="M8" s="2"/>
    </row>
    <row r="9" spans="1:14" ht="30.75">
      <c r="A9" s="7">
        <v>44315</v>
      </c>
      <c r="B9" s="8">
        <v>94.4</v>
      </c>
      <c r="C9" s="2" t="s">
        <v>41</v>
      </c>
      <c r="D9" s="7">
        <v>44315</v>
      </c>
      <c r="E9" s="2" t="s">
        <v>23</v>
      </c>
      <c r="F9" s="2" t="s">
        <v>28</v>
      </c>
      <c r="G9" s="2">
        <v>3</v>
      </c>
      <c r="H9" s="9" t="s">
        <v>1906</v>
      </c>
      <c r="I9" s="9" t="s">
        <v>1903</v>
      </c>
      <c r="J9" s="9" t="s">
        <v>1907</v>
      </c>
      <c r="K9" s="2" t="s">
        <v>26</v>
      </c>
      <c r="L9" s="2"/>
      <c r="M9" s="2"/>
    </row>
    <row r="10" spans="1:14" ht="30.75">
      <c r="A10" s="7">
        <v>44345</v>
      </c>
      <c r="B10" s="8">
        <v>94.4</v>
      </c>
      <c r="C10" s="2" t="s">
        <v>44</v>
      </c>
      <c r="D10" s="7">
        <v>44345</v>
      </c>
      <c r="E10" s="2" t="s">
        <v>23</v>
      </c>
      <c r="F10" s="2" t="s">
        <v>28</v>
      </c>
      <c r="G10" s="2">
        <v>4</v>
      </c>
      <c r="H10" s="9" t="s">
        <v>1908</v>
      </c>
      <c r="I10" s="9" t="s">
        <v>1903</v>
      </c>
      <c r="J10" s="9" t="s">
        <v>1909</v>
      </c>
      <c r="K10" s="2" t="s">
        <v>26</v>
      </c>
      <c r="L10" s="2"/>
      <c r="M10" s="2"/>
    </row>
    <row r="11" spans="1:14" ht="30.75">
      <c r="A11" s="7">
        <v>44373</v>
      </c>
      <c r="B11" s="8">
        <v>94.4</v>
      </c>
      <c r="C11" s="2" t="s">
        <v>57</v>
      </c>
      <c r="D11" s="7">
        <v>44373</v>
      </c>
      <c r="E11" s="2" t="s">
        <v>23</v>
      </c>
      <c r="F11" s="2" t="s">
        <v>28</v>
      </c>
      <c r="G11" s="2">
        <v>5</v>
      </c>
      <c r="H11" s="9"/>
      <c r="I11" s="9" t="s">
        <v>1903</v>
      </c>
      <c r="J11" s="9" t="s">
        <v>1910</v>
      </c>
      <c r="K11" s="2" t="s">
        <v>26</v>
      </c>
      <c r="L11" s="2"/>
      <c r="M11" s="2"/>
    </row>
    <row r="12" spans="1:14" ht="30.75">
      <c r="A12" s="7">
        <v>44408</v>
      </c>
      <c r="B12" s="8">
        <v>94.4</v>
      </c>
      <c r="C12" s="2" t="s">
        <v>47</v>
      </c>
      <c r="D12" s="7" t="s">
        <v>1911</v>
      </c>
      <c r="E12" s="2" t="s">
        <v>23</v>
      </c>
      <c r="F12" s="2" t="s">
        <v>28</v>
      </c>
      <c r="G12" s="2">
        <v>6</v>
      </c>
      <c r="H12" s="9" t="s">
        <v>1912</v>
      </c>
      <c r="I12" s="9" t="s">
        <v>1903</v>
      </c>
      <c r="J12" s="9" t="s">
        <v>1913</v>
      </c>
      <c r="K12" s="2" t="s">
        <v>26</v>
      </c>
      <c r="L12" s="2"/>
      <c r="M12" s="2"/>
    </row>
    <row r="13" spans="1:14" ht="30.75">
      <c r="A13" s="7">
        <v>44436</v>
      </c>
      <c r="B13" s="8">
        <v>94.4</v>
      </c>
      <c r="C13" s="2" t="s">
        <v>50</v>
      </c>
      <c r="D13" s="7">
        <v>44436</v>
      </c>
      <c r="E13" s="2" t="s">
        <v>23</v>
      </c>
      <c r="F13" s="2" t="s">
        <v>28</v>
      </c>
      <c r="G13" s="2">
        <v>7</v>
      </c>
      <c r="H13" s="9" t="s">
        <v>1914</v>
      </c>
      <c r="I13" s="9" t="s">
        <v>1903</v>
      </c>
      <c r="J13" s="9" t="s">
        <v>1915</v>
      </c>
      <c r="K13" s="2" t="s">
        <v>26</v>
      </c>
      <c r="L13" s="2"/>
      <c r="M13" s="2"/>
      <c r="N13" t="s">
        <v>36</v>
      </c>
    </row>
    <row r="14" spans="1:14" ht="30.75">
      <c r="A14" s="7">
        <v>44469</v>
      </c>
      <c r="B14" s="8" t="s">
        <v>1858</v>
      </c>
      <c r="C14" s="2" t="s">
        <v>22</v>
      </c>
      <c r="D14" s="7">
        <v>44469</v>
      </c>
      <c r="E14" s="2" t="s">
        <v>23</v>
      </c>
      <c r="F14" s="2" t="s">
        <v>28</v>
      </c>
      <c r="G14" s="2">
        <v>8</v>
      </c>
      <c r="H14" s="9" t="s">
        <v>1916</v>
      </c>
      <c r="I14" s="9" t="s">
        <v>1903</v>
      </c>
      <c r="J14" s="9" t="s">
        <v>1917</v>
      </c>
      <c r="K14" s="2" t="s">
        <v>26</v>
      </c>
      <c r="L14" s="2"/>
      <c r="M14" s="2"/>
    </row>
    <row r="15" spans="1:14" ht="30.75">
      <c r="A15" s="7">
        <v>44499</v>
      </c>
      <c r="B15" s="8" t="s">
        <v>1858</v>
      </c>
      <c r="C15" s="2" t="s">
        <v>54</v>
      </c>
      <c r="D15" s="7">
        <v>44499</v>
      </c>
      <c r="E15" s="2" t="s">
        <v>23</v>
      </c>
      <c r="F15" s="2" t="s">
        <v>28</v>
      </c>
      <c r="G15" s="2">
        <v>9</v>
      </c>
      <c r="H15" s="9" t="s">
        <v>1918</v>
      </c>
      <c r="I15" s="9" t="s">
        <v>1903</v>
      </c>
      <c r="J15" s="9" t="s">
        <v>1919</v>
      </c>
      <c r="K15" s="2" t="s">
        <v>56</v>
      </c>
      <c r="L15" s="2"/>
      <c r="M15" s="2"/>
    </row>
    <row r="16" spans="1:14" ht="30.75">
      <c r="A16" s="7">
        <v>44527</v>
      </c>
      <c r="B16" s="8" t="s">
        <v>1858</v>
      </c>
      <c r="C16" s="2" t="s">
        <v>27</v>
      </c>
      <c r="D16" s="7">
        <v>44527</v>
      </c>
      <c r="E16" s="2" t="s">
        <v>23</v>
      </c>
      <c r="F16" s="2" t="s">
        <v>28</v>
      </c>
      <c r="G16" s="2">
        <v>10</v>
      </c>
      <c r="H16" s="9" t="s">
        <v>1920</v>
      </c>
      <c r="I16" s="9" t="s">
        <v>1903</v>
      </c>
      <c r="J16" s="9" t="s">
        <v>1921</v>
      </c>
      <c r="K16" s="2" t="s">
        <v>56</v>
      </c>
      <c r="L16" s="2"/>
      <c r="M16" s="2"/>
    </row>
    <row r="17" spans="1:13" ht="30.75">
      <c r="A17" s="7">
        <v>44558</v>
      </c>
      <c r="B17" s="8" t="s">
        <v>1858</v>
      </c>
      <c r="C17" s="2" t="s">
        <v>30</v>
      </c>
      <c r="D17" s="7">
        <v>44558</v>
      </c>
      <c r="E17" s="2" t="s">
        <v>23</v>
      </c>
      <c r="F17" s="2" t="s">
        <v>28</v>
      </c>
      <c r="G17" s="2">
        <v>11</v>
      </c>
      <c r="H17" s="9" t="s">
        <v>1922</v>
      </c>
      <c r="I17" s="9" t="s">
        <v>1903</v>
      </c>
      <c r="J17" s="9" t="s">
        <v>1923</v>
      </c>
      <c r="K17" s="2" t="s">
        <v>56</v>
      </c>
      <c r="L17" s="2"/>
      <c r="M17" s="2"/>
    </row>
    <row r="18" spans="1:13" ht="30.75">
      <c r="A18" s="7">
        <v>44592</v>
      </c>
      <c r="B18" s="8" t="s">
        <v>1858</v>
      </c>
      <c r="C18" s="2" t="s">
        <v>32</v>
      </c>
      <c r="D18" s="7">
        <v>44592</v>
      </c>
      <c r="E18" s="2" t="s">
        <v>23</v>
      </c>
      <c r="F18" s="2" t="s">
        <v>28</v>
      </c>
      <c r="G18" s="2">
        <v>12</v>
      </c>
      <c r="H18" s="2">
        <v>4889</v>
      </c>
      <c r="I18" s="9" t="s">
        <v>1903</v>
      </c>
      <c r="J18" s="9" t="s">
        <v>1924</v>
      </c>
      <c r="K18" s="2" t="s">
        <v>26</v>
      </c>
      <c r="L18" s="2"/>
      <c r="M18" s="2"/>
    </row>
    <row r="19" spans="1:13" ht="30.75">
      <c r="A19" s="7">
        <v>44622</v>
      </c>
      <c r="B19" s="8">
        <v>94.4</v>
      </c>
      <c r="C19" s="2" t="s">
        <v>34</v>
      </c>
      <c r="D19" s="7">
        <v>44622</v>
      </c>
      <c r="E19" s="2" t="s">
        <v>23</v>
      </c>
      <c r="F19" s="2" t="s">
        <v>28</v>
      </c>
      <c r="G19" s="2">
        <v>13</v>
      </c>
      <c r="H19" s="2">
        <v>7183</v>
      </c>
      <c r="I19" s="9" t="s">
        <v>1903</v>
      </c>
      <c r="J19" s="9" t="s">
        <v>1925</v>
      </c>
      <c r="K19" s="2" t="s">
        <v>26</v>
      </c>
      <c r="L19" s="2"/>
      <c r="M19" s="2"/>
    </row>
    <row r="20" spans="1:13" ht="30.75">
      <c r="A20" s="7">
        <v>44650</v>
      </c>
      <c r="B20" s="8">
        <v>94.4</v>
      </c>
      <c r="C20" s="2" t="s">
        <v>38</v>
      </c>
      <c r="D20" s="7">
        <v>44650</v>
      </c>
      <c r="E20" s="2" t="s">
        <v>23</v>
      </c>
      <c r="F20" s="2" t="s">
        <v>28</v>
      </c>
      <c r="G20" s="2">
        <v>14</v>
      </c>
      <c r="H20" s="2">
        <v>7183</v>
      </c>
      <c r="I20" s="9" t="s">
        <v>1903</v>
      </c>
      <c r="J20" s="9" t="s">
        <v>1926</v>
      </c>
      <c r="K20" s="2" t="s">
        <v>26</v>
      </c>
      <c r="L20" s="2"/>
      <c r="M20" s="2"/>
    </row>
    <row r="21" spans="1:13" ht="30.75">
      <c r="A21" s="7">
        <v>44681</v>
      </c>
      <c r="B21" s="8">
        <v>94.4</v>
      </c>
      <c r="C21" s="2" t="s">
        <v>41</v>
      </c>
      <c r="D21" s="7">
        <v>44681</v>
      </c>
      <c r="E21" s="2" t="s">
        <v>23</v>
      </c>
      <c r="F21" s="2" t="s">
        <v>28</v>
      </c>
      <c r="G21" s="2">
        <v>15</v>
      </c>
      <c r="H21" s="2">
        <v>7183</v>
      </c>
      <c r="I21" s="9" t="s">
        <v>1903</v>
      </c>
      <c r="J21" s="2">
        <v>12874</v>
      </c>
      <c r="K21" s="2" t="s">
        <v>26</v>
      </c>
      <c r="L21" s="2"/>
      <c r="M21" s="2"/>
    </row>
    <row r="22" spans="1:13" ht="30.75">
      <c r="A22" s="7">
        <v>44712</v>
      </c>
      <c r="B22" s="8">
        <v>94.4</v>
      </c>
      <c r="C22" s="2" t="s">
        <v>44</v>
      </c>
      <c r="D22" s="7">
        <v>44712</v>
      </c>
      <c r="E22" s="2" t="s">
        <v>23</v>
      </c>
      <c r="F22" s="2" t="s">
        <v>28</v>
      </c>
      <c r="G22" s="2">
        <v>16</v>
      </c>
      <c r="H22" s="2">
        <v>8558</v>
      </c>
      <c r="I22" s="9" t="s">
        <v>1903</v>
      </c>
      <c r="J22" s="2">
        <v>13993</v>
      </c>
      <c r="K22" s="2" t="s">
        <v>26</v>
      </c>
      <c r="L22" s="2"/>
      <c r="M22" s="2"/>
    </row>
    <row r="23" spans="1:13" ht="30.75">
      <c r="A23" s="7">
        <v>44743</v>
      </c>
      <c r="B23" s="8">
        <v>94.4</v>
      </c>
      <c r="C23" s="2" t="s">
        <v>57</v>
      </c>
      <c r="D23" s="7">
        <v>44743</v>
      </c>
      <c r="E23" s="2" t="s">
        <v>23</v>
      </c>
      <c r="F23" s="2" t="s">
        <v>28</v>
      </c>
      <c r="G23" s="2">
        <v>17</v>
      </c>
      <c r="H23" s="2">
        <v>8677</v>
      </c>
      <c r="I23" s="2"/>
      <c r="J23" s="2">
        <v>14831</v>
      </c>
      <c r="K23" s="2" t="s">
        <v>26</v>
      </c>
      <c r="L23" s="2"/>
      <c r="M23" s="2"/>
    </row>
    <row r="24" spans="1:13" ht="30.75">
      <c r="A24" s="7">
        <v>44772</v>
      </c>
      <c r="B24" s="8">
        <v>94.4</v>
      </c>
      <c r="C24" s="2" t="s">
        <v>47</v>
      </c>
      <c r="D24" s="7">
        <v>44772</v>
      </c>
      <c r="E24" s="2" t="s">
        <v>23</v>
      </c>
      <c r="F24" s="2" t="s">
        <v>28</v>
      </c>
      <c r="G24" s="2">
        <v>18</v>
      </c>
      <c r="H24" s="2">
        <v>9850</v>
      </c>
      <c r="I24" s="2"/>
      <c r="J24" s="2">
        <v>15734</v>
      </c>
      <c r="K24" s="2" t="s">
        <v>26</v>
      </c>
      <c r="L24" s="2"/>
      <c r="M24" s="2"/>
    </row>
    <row r="25" spans="1:13" ht="30.75">
      <c r="A25" s="2" t="s">
        <v>58</v>
      </c>
      <c r="B25" s="8">
        <v>94.4</v>
      </c>
      <c r="C25" s="2" t="s">
        <v>22</v>
      </c>
      <c r="D25" s="7">
        <v>44834</v>
      </c>
      <c r="E25" s="2" t="s">
        <v>23</v>
      </c>
      <c r="F25" s="2" t="s">
        <v>28</v>
      </c>
      <c r="G25" s="2">
        <v>19</v>
      </c>
      <c r="H25" s="2">
        <v>11208</v>
      </c>
      <c r="I25" s="2"/>
      <c r="J25" s="2">
        <v>17695</v>
      </c>
      <c r="K25" s="2" t="s">
        <v>26</v>
      </c>
      <c r="L25" s="2"/>
      <c r="M25" s="2"/>
    </row>
    <row r="26" spans="1:13" ht="30.75">
      <c r="A26" s="2" t="s">
        <v>59</v>
      </c>
      <c r="B26" s="8">
        <v>94.4</v>
      </c>
      <c r="C26" s="2" t="s">
        <v>54</v>
      </c>
      <c r="D26" s="2" t="s">
        <v>60</v>
      </c>
      <c r="E26" s="2" t="s">
        <v>23</v>
      </c>
      <c r="F26" s="2" t="s">
        <v>28</v>
      </c>
      <c r="G26" s="2">
        <v>20</v>
      </c>
      <c r="H26" s="2">
        <v>11665</v>
      </c>
      <c r="I26" s="2"/>
      <c r="J26" s="2">
        <v>18231</v>
      </c>
      <c r="K26" s="2" t="s">
        <v>26</v>
      </c>
      <c r="L26" s="2"/>
      <c r="M26" s="2"/>
    </row>
    <row r="27" spans="1:13" ht="30.75">
      <c r="A27" s="2" t="s">
        <v>180</v>
      </c>
      <c r="B27" s="8">
        <v>94.4</v>
      </c>
      <c r="C27" s="2" t="s">
        <v>27</v>
      </c>
      <c r="D27" s="2" t="s">
        <v>180</v>
      </c>
      <c r="E27" s="2" t="s">
        <v>23</v>
      </c>
      <c r="F27" s="2" t="s">
        <v>28</v>
      </c>
      <c r="G27" s="2">
        <v>21</v>
      </c>
      <c r="H27" s="2">
        <v>12332</v>
      </c>
      <c r="I27" s="2"/>
      <c r="J27" s="2">
        <v>19456</v>
      </c>
      <c r="K27" s="2" t="s">
        <v>26</v>
      </c>
      <c r="L27" s="2"/>
      <c r="M27" s="2"/>
    </row>
    <row r="28" spans="1:13" ht="30.75">
      <c r="A28" s="2" t="s">
        <v>62</v>
      </c>
      <c r="B28" s="8">
        <v>94.4</v>
      </c>
      <c r="C28" s="2" t="s">
        <v>30</v>
      </c>
      <c r="D28" s="2" t="s">
        <v>62</v>
      </c>
      <c r="E28" s="2" t="s">
        <v>23</v>
      </c>
      <c r="F28" s="2" t="s">
        <v>28</v>
      </c>
      <c r="G28" s="2">
        <v>22</v>
      </c>
      <c r="H28" s="2">
        <v>13131</v>
      </c>
      <c r="I28" s="2"/>
      <c r="J28" s="2">
        <v>20440</v>
      </c>
      <c r="K28" s="2" t="s">
        <v>26</v>
      </c>
      <c r="L28" s="2"/>
      <c r="M28" s="2"/>
    </row>
    <row r="29" spans="1:13" ht="30.75">
      <c r="A29" s="2" t="s">
        <v>63</v>
      </c>
      <c r="B29" s="8">
        <v>94.4</v>
      </c>
      <c r="C29" s="2" t="s">
        <v>32</v>
      </c>
      <c r="D29" s="2" t="s">
        <v>64</v>
      </c>
      <c r="E29" s="2" t="s">
        <v>23</v>
      </c>
      <c r="F29" s="2" t="s">
        <v>28</v>
      </c>
      <c r="G29" s="2">
        <v>23</v>
      </c>
      <c r="H29" s="2">
        <v>14129</v>
      </c>
      <c r="I29" s="2"/>
      <c r="J29" s="2">
        <v>21277</v>
      </c>
      <c r="K29" s="2" t="s">
        <v>26</v>
      </c>
      <c r="L29" s="2"/>
      <c r="M29" s="2"/>
    </row>
    <row r="30" spans="1:13" ht="30.75">
      <c r="A30" s="2" t="s">
        <v>65</v>
      </c>
      <c r="B30" s="8">
        <v>94.4</v>
      </c>
      <c r="C30" s="2" t="s">
        <v>34</v>
      </c>
      <c r="D30" s="2" t="s">
        <v>66</v>
      </c>
      <c r="E30" s="2" t="s">
        <v>23</v>
      </c>
      <c r="F30" s="2" t="s">
        <v>28</v>
      </c>
      <c r="G30" s="2">
        <v>24</v>
      </c>
      <c r="H30" s="2">
        <v>14719</v>
      </c>
      <c r="I30" s="2"/>
      <c r="J30" s="2">
        <v>21800</v>
      </c>
      <c r="K30" s="2" t="s">
        <v>26</v>
      </c>
      <c r="L30" s="2"/>
      <c r="M30" s="2"/>
    </row>
    <row r="31" spans="1:13" ht="30.75">
      <c r="A31" s="2" t="s">
        <v>67</v>
      </c>
      <c r="B31" s="8">
        <v>94.4</v>
      </c>
      <c r="C31" s="2" t="s">
        <v>38</v>
      </c>
      <c r="D31" s="2" t="s">
        <v>68</v>
      </c>
      <c r="E31" s="2" t="s">
        <v>23</v>
      </c>
      <c r="F31" s="2" t="s">
        <v>24</v>
      </c>
      <c r="G31" s="2">
        <v>25</v>
      </c>
      <c r="H31" s="2">
        <v>15715</v>
      </c>
      <c r="I31" s="2"/>
      <c r="J31" s="2">
        <v>22990</v>
      </c>
      <c r="K31" s="2" t="s">
        <v>26</v>
      </c>
      <c r="L31" s="2"/>
      <c r="M31" s="2" t="s">
        <v>72</v>
      </c>
    </row>
    <row r="32" spans="1:13" ht="30.75">
      <c r="A32" s="2" t="s">
        <v>69</v>
      </c>
      <c r="B32" s="8">
        <v>94.4</v>
      </c>
      <c r="C32" s="2" t="s">
        <v>41</v>
      </c>
      <c r="D32" s="2" t="s">
        <v>69</v>
      </c>
      <c r="E32" s="2" t="s">
        <v>23</v>
      </c>
      <c r="F32" s="2" t="s">
        <v>28</v>
      </c>
      <c r="G32" s="2">
        <v>26</v>
      </c>
      <c r="H32" s="2">
        <v>15864</v>
      </c>
      <c r="I32" s="2"/>
      <c r="J32" s="2">
        <v>23424</v>
      </c>
      <c r="K32" s="2" t="s">
        <v>26</v>
      </c>
      <c r="L32" s="2"/>
      <c r="M32" s="2"/>
    </row>
    <row r="33" spans="1:14" ht="30.75">
      <c r="A33" s="2" t="s">
        <v>307</v>
      </c>
      <c r="B33" s="8">
        <v>94.4</v>
      </c>
      <c r="C33" s="2" t="s">
        <v>44</v>
      </c>
      <c r="D33" s="2" t="s">
        <v>70</v>
      </c>
      <c r="E33" s="2" t="s">
        <v>23</v>
      </c>
      <c r="F33" s="2" t="s">
        <v>28</v>
      </c>
      <c r="G33" s="2">
        <v>27</v>
      </c>
      <c r="H33" s="2">
        <v>16584</v>
      </c>
      <c r="I33" s="2"/>
      <c r="J33" s="2">
        <v>24938</v>
      </c>
      <c r="K33" s="2" t="s">
        <v>26</v>
      </c>
      <c r="L33" s="2"/>
      <c r="M33" s="2"/>
      <c r="N33">
        <v>4</v>
      </c>
    </row>
    <row r="34" spans="1:14" ht="30.75">
      <c r="A34" s="7">
        <v>45104</v>
      </c>
      <c r="B34" s="8">
        <v>94.4</v>
      </c>
      <c r="C34" s="2" t="s">
        <v>57</v>
      </c>
      <c r="D34" s="7">
        <v>45104</v>
      </c>
      <c r="E34" s="2" t="s">
        <v>23</v>
      </c>
      <c r="F34" s="2" t="s">
        <v>28</v>
      </c>
      <c r="G34" s="2">
        <v>28</v>
      </c>
      <c r="H34" s="2">
        <v>17150</v>
      </c>
      <c r="I34" s="2"/>
      <c r="J34" s="2">
        <v>25643</v>
      </c>
      <c r="K34" s="2" t="s">
        <v>26</v>
      </c>
      <c r="L34" s="2"/>
      <c r="M34" s="2">
        <v>2</v>
      </c>
    </row>
    <row r="35" spans="1:14" ht="30.75">
      <c r="A35" s="7">
        <v>45134</v>
      </c>
      <c r="B35" s="8">
        <v>94.4</v>
      </c>
      <c r="C35" s="2" t="s">
        <v>47</v>
      </c>
      <c r="D35" s="7">
        <v>45134</v>
      </c>
      <c r="E35" s="2" t="s">
        <v>23</v>
      </c>
      <c r="F35" s="2" t="s">
        <v>28</v>
      </c>
      <c r="G35" s="2">
        <v>29</v>
      </c>
      <c r="H35" s="2">
        <v>17972</v>
      </c>
      <c r="I35" s="2"/>
      <c r="J35" s="2">
        <v>26624</v>
      </c>
      <c r="K35" s="2" t="s">
        <v>26</v>
      </c>
      <c r="L35" s="2"/>
      <c r="M35" s="2">
        <v>3.2</v>
      </c>
    </row>
    <row r="36" spans="1:14" ht="30.75">
      <c r="A36" s="7">
        <v>45166</v>
      </c>
      <c r="B36" s="8">
        <v>94.4</v>
      </c>
      <c r="C36" s="2" t="s">
        <v>50</v>
      </c>
      <c r="D36" s="7">
        <v>45166</v>
      </c>
      <c r="E36" s="2" t="s">
        <v>23</v>
      </c>
      <c r="F36" s="2" t="s">
        <v>28</v>
      </c>
      <c r="G36" s="2">
        <v>30</v>
      </c>
      <c r="H36" s="2" t="s">
        <v>1927</v>
      </c>
      <c r="I36" s="2"/>
      <c r="J36" s="2">
        <v>27939</v>
      </c>
      <c r="K36" s="2" t="s">
        <v>26</v>
      </c>
      <c r="L36" s="2"/>
      <c r="M36" s="2">
        <v>6.3</v>
      </c>
    </row>
    <row r="37" spans="1:14" ht="30.75">
      <c r="A37" s="7">
        <v>45198</v>
      </c>
      <c r="B37" s="8">
        <v>94.4</v>
      </c>
      <c r="C37" s="2" t="s">
        <v>22</v>
      </c>
      <c r="D37" s="7">
        <v>45198</v>
      </c>
      <c r="E37" s="2" t="s">
        <v>23</v>
      </c>
      <c r="F37" s="2" t="s">
        <v>28</v>
      </c>
      <c r="G37" s="2">
        <v>31</v>
      </c>
      <c r="H37" s="2" t="s">
        <v>1928</v>
      </c>
      <c r="I37" s="2"/>
      <c r="J37" s="2">
        <v>28906</v>
      </c>
      <c r="K37" s="2" t="s">
        <v>26</v>
      </c>
      <c r="L37" s="2"/>
      <c r="M37" s="2">
        <v>3.2</v>
      </c>
    </row>
    <row r="38" spans="1:14" ht="30.75">
      <c r="A38" s="7">
        <v>45230</v>
      </c>
      <c r="B38" s="8">
        <v>94.4</v>
      </c>
      <c r="C38" s="2" t="s">
        <v>54</v>
      </c>
      <c r="D38" s="7">
        <v>45230</v>
      </c>
      <c r="E38" s="2" t="s">
        <v>23</v>
      </c>
      <c r="F38" s="2" t="s">
        <v>28</v>
      </c>
      <c r="G38" s="2">
        <v>32</v>
      </c>
      <c r="H38" s="2">
        <v>20156</v>
      </c>
      <c r="I38" s="2">
        <v>31859</v>
      </c>
      <c r="J38" s="2">
        <v>29759</v>
      </c>
      <c r="K38" s="2" t="s">
        <v>26</v>
      </c>
      <c r="L38" s="2"/>
      <c r="M38" s="2">
        <v>3.2</v>
      </c>
    </row>
    <row r="39" spans="1:14" ht="30.75">
      <c r="A39" s="7">
        <v>45260</v>
      </c>
      <c r="B39" s="8">
        <v>94.4</v>
      </c>
      <c r="C39" s="2" t="s">
        <v>27</v>
      </c>
      <c r="D39" s="7">
        <v>45260</v>
      </c>
      <c r="E39" s="2" t="s">
        <v>23</v>
      </c>
      <c r="F39" s="2" t="s">
        <v>28</v>
      </c>
      <c r="G39" s="2">
        <v>33</v>
      </c>
      <c r="H39" s="2">
        <v>20861</v>
      </c>
      <c r="I39" s="2">
        <v>32804</v>
      </c>
      <c r="J39" s="2">
        <v>30691</v>
      </c>
      <c r="K39" s="2" t="s">
        <v>26</v>
      </c>
      <c r="L39" s="2"/>
      <c r="M39" s="2">
        <v>4.2</v>
      </c>
    </row>
    <row r="40" spans="1:14" ht="30.75">
      <c r="A40" s="7">
        <v>45289</v>
      </c>
      <c r="B40" s="8">
        <v>94.4</v>
      </c>
      <c r="C40" s="2" t="s">
        <v>30</v>
      </c>
      <c r="D40" s="7">
        <v>45289</v>
      </c>
      <c r="E40" s="2" t="s">
        <v>23</v>
      </c>
      <c r="F40" s="2" t="s">
        <v>28</v>
      </c>
      <c r="G40" s="2">
        <v>34</v>
      </c>
      <c r="H40" s="2">
        <v>21481</v>
      </c>
      <c r="I40" s="2">
        <v>33664</v>
      </c>
      <c r="J40" s="2">
        <v>31525</v>
      </c>
      <c r="K40" s="2" t="s">
        <v>26</v>
      </c>
      <c r="L40" s="2"/>
      <c r="M40" s="2">
        <v>3.2</v>
      </c>
    </row>
    <row r="41" spans="1:14" ht="30.75">
      <c r="A41" s="7">
        <v>45322</v>
      </c>
      <c r="B41" s="8">
        <v>94.4</v>
      </c>
      <c r="C41" s="2" t="s">
        <v>32</v>
      </c>
      <c r="D41" s="7">
        <v>45322</v>
      </c>
      <c r="E41" s="2" t="s">
        <v>23</v>
      </c>
      <c r="F41" s="2" t="s">
        <v>28</v>
      </c>
      <c r="G41" s="2">
        <v>35</v>
      </c>
      <c r="H41" s="2">
        <v>22193</v>
      </c>
      <c r="I41" s="2">
        <v>34564</v>
      </c>
      <c r="J41" s="2">
        <v>32489</v>
      </c>
      <c r="K41" s="2" t="s">
        <v>26</v>
      </c>
      <c r="L41" s="2"/>
      <c r="M41" s="2">
        <v>4.2</v>
      </c>
    </row>
    <row r="42" spans="1:14" ht="30.75">
      <c r="A42" s="7">
        <v>45351</v>
      </c>
      <c r="B42" s="8">
        <v>94.4</v>
      </c>
      <c r="C42" s="2" t="s">
        <v>34</v>
      </c>
      <c r="D42" s="7">
        <v>45351</v>
      </c>
      <c r="E42" s="2" t="s">
        <v>23</v>
      </c>
      <c r="F42" s="2" t="s">
        <v>28</v>
      </c>
      <c r="G42" s="2">
        <v>36</v>
      </c>
      <c r="H42" s="2">
        <v>22852</v>
      </c>
      <c r="I42" s="2">
        <v>35461</v>
      </c>
      <c r="J42" s="2">
        <v>33370</v>
      </c>
      <c r="K42" s="2" t="s">
        <v>26</v>
      </c>
      <c r="L42" s="2"/>
      <c r="M42" s="2">
        <v>4.2</v>
      </c>
    </row>
    <row r="43" spans="1:14" ht="30.75">
      <c r="A43" s="7">
        <v>45377</v>
      </c>
      <c r="B43" s="8">
        <v>94.4</v>
      </c>
      <c r="C43" s="2" t="s">
        <v>38</v>
      </c>
      <c r="D43" s="7">
        <v>45377</v>
      </c>
      <c r="E43" s="2" t="s">
        <v>23</v>
      </c>
      <c r="F43" s="2" t="s">
        <v>28</v>
      </c>
      <c r="G43" s="2">
        <v>37</v>
      </c>
      <c r="H43" s="2">
        <v>22852</v>
      </c>
      <c r="I43" s="2">
        <v>34358</v>
      </c>
      <c r="J43" s="2">
        <v>36294</v>
      </c>
      <c r="K43" s="2" t="s">
        <v>26</v>
      </c>
      <c r="L43" s="2"/>
      <c r="M43" s="2">
        <v>4.2</v>
      </c>
    </row>
    <row r="44" spans="1:14" ht="30.75">
      <c r="A44" s="7">
        <v>45412</v>
      </c>
      <c r="B44" s="8">
        <v>94.4</v>
      </c>
      <c r="C44" s="2" t="s">
        <v>41</v>
      </c>
      <c r="D44" s="7">
        <v>45412</v>
      </c>
      <c r="E44" s="2" t="s">
        <v>23</v>
      </c>
      <c r="F44" s="2" t="s">
        <v>28</v>
      </c>
      <c r="G44" s="2">
        <v>38</v>
      </c>
      <c r="H44" s="2">
        <v>24331</v>
      </c>
      <c r="I44" s="2">
        <v>35361</v>
      </c>
      <c r="J44" s="2">
        <v>37338</v>
      </c>
      <c r="K44" s="2" t="s">
        <v>26</v>
      </c>
      <c r="L44" s="2"/>
      <c r="M44" s="2">
        <v>9.6</v>
      </c>
    </row>
    <row r="45" spans="1:14" ht="30.75">
      <c r="A45" s="7">
        <v>45443</v>
      </c>
      <c r="B45" s="8">
        <v>94.4</v>
      </c>
      <c r="C45" s="2" t="s">
        <v>44</v>
      </c>
      <c r="D45" s="7">
        <v>45443</v>
      </c>
      <c r="E45" s="2" t="s">
        <v>23</v>
      </c>
      <c r="F45" s="2" t="s">
        <v>28</v>
      </c>
      <c r="G45" s="2">
        <v>39</v>
      </c>
      <c r="H45" s="2">
        <v>25072</v>
      </c>
      <c r="I45" s="2">
        <v>38277</v>
      </c>
      <c r="J45" s="2">
        <v>36265</v>
      </c>
      <c r="K45" s="2" t="s">
        <v>26</v>
      </c>
      <c r="L45" s="2"/>
      <c r="M45" s="2">
        <v>4.2</v>
      </c>
    </row>
    <row r="46" spans="1:14" ht="30.75">
      <c r="A46" s="7">
        <v>45471</v>
      </c>
      <c r="B46" s="8">
        <v>94.4</v>
      </c>
      <c r="C46" s="2" t="s">
        <v>57</v>
      </c>
      <c r="D46" s="7">
        <v>45471</v>
      </c>
      <c r="E46" s="2" t="s">
        <v>23</v>
      </c>
      <c r="F46" s="2" t="s">
        <v>28</v>
      </c>
      <c r="G46" s="2">
        <v>40</v>
      </c>
      <c r="H46" s="2">
        <v>25826</v>
      </c>
      <c r="I46" s="2">
        <v>38982</v>
      </c>
      <c r="J46" s="2">
        <v>37189</v>
      </c>
      <c r="K46" s="2" t="s">
        <v>26</v>
      </c>
      <c r="L46" s="2"/>
      <c r="M46" s="2">
        <v>8.1999999999999993</v>
      </c>
    </row>
    <row r="47" spans="1:14" ht="30.75">
      <c r="A47" s="7">
        <v>45504</v>
      </c>
      <c r="B47" s="8">
        <v>94.4</v>
      </c>
      <c r="C47" s="2" t="s">
        <v>47</v>
      </c>
      <c r="D47" s="7">
        <v>45504</v>
      </c>
      <c r="E47" s="2" t="s">
        <v>23</v>
      </c>
      <c r="F47" s="2" t="s">
        <v>28</v>
      </c>
      <c r="G47" s="2">
        <v>41</v>
      </c>
      <c r="H47" s="2">
        <v>26603</v>
      </c>
      <c r="I47" s="2">
        <v>40304</v>
      </c>
      <c r="J47" s="2">
        <v>38167</v>
      </c>
      <c r="K47" s="2" t="s">
        <v>26</v>
      </c>
      <c r="L47" s="2"/>
      <c r="M47" s="2">
        <v>4.8</v>
      </c>
    </row>
    <row r="48" spans="1:14" ht="30.75">
      <c r="A48" s="7">
        <v>45533</v>
      </c>
      <c r="B48" s="8">
        <v>94.4</v>
      </c>
      <c r="C48" s="2" t="s">
        <v>50</v>
      </c>
      <c r="D48" s="7">
        <v>45533</v>
      </c>
      <c r="E48" s="2" t="s">
        <v>23</v>
      </c>
      <c r="F48" s="2" t="s">
        <v>28</v>
      </c>
      <c r="G48" s="2">
        <v>42</v>
      </c>
      <c r="H48" s="2">
        <v>27473</v>
      </c>
      <c r="I48" s="2">
        <v>39207</v>
      </c>
      <c r="J48" s="2">
        <v>41349</v>
      </c>
      <c r="K48" s="2" t="s">
        <v>26</v>
      </c>
      <c r="L48" s="2"/>
      <c r="M48" s="2">
        <v>11</v>
      </c>
    </row>
    <row r="49" spans="1:14" ht="30.75">
      <c r="A49" s="7">
        <v>45563</v>
      </c>
      <c r="B49" s="8">
        <v>94.4</v>
      </c>
      <c r="C49" s="2" t="s">
        <v>22</v>
      </c>
      <c r="D49" s="7">
        <v>45563</v>
      </c>
      <c r="E49" s="2" t="s">
        <v>23</v>
      </c>
      <c r="F49" s="2" t="s">
        <v>28</v>
      </c>
      <c r="G49" s="2">
        <v>43</v>
      </c>
      <c r="H49" s="2">
        <v>28278</v>
      </c>
      <c r="I49" s="2">
        <v>42405</v>
      </c>
      <c r="J49" s="2">
        <v>40224</v>
      </c>
      <c r="K49" s="2" t="s">
        <v>26</v>
      </c>
      <c r="L49" s="2"/>
      <c r="M49" s="2">
        <v>6.5</v>
      </c>
    </row>
    <row r="50" spans="1:14" ht="30.75">
      <c r="A50" s="7">
        <v>45596</v>
      </c>
      <c r="B50" s="8">
        <v>94.4</v>
      </c>
      <c r="C50" s="2" t="s">
        <v>54</v>
      </c>
      <c r="D50" s="7">
        <v>45596</v>
      </c>
      <c r="E50" s="2" t="s">
        <v>23</v>
      </c>
      <c r="F50" s="2" t="s">
        <v>24</v>
      </c>
      <c r="G50" s="2">
        <v>44</v>
      </c>
      <c r="H50" s="310">
        <v>29094</v>
      </c>
      <c r="I50" s="2">
        <v>41305</v>
      </c>
      <c r="J50" s="2">
        <v>43459</v>
      </c>
      <c r="K50" s="2" t="s">
        <v>72</v>
      </c>
      <c r="L50" s="2"/>
      <c r="M50" s="2">
        <v>8.5</v>
      </c>
    </row>
    <row r="51" spans="1:14" ht="30.75">
      <c r="A51" s="7">
        <v>45624</v>
      </c>
      <c r="B51" s="8">
        <v>94.4</v>
      </c>
      <c r="C51" s="2" t="s">
        <v>27</v>
      </c>
      <c r="D51" s="7">
        <v>45625</v>
      </c>
      <c r="E51" s="2" t="s">
        <v>23</v>
      </c>
      <c r="F51" s="2" t="s">
        <v>28</v>
      </c>
      <c r="G51" s="2">
        <v>45</v>
      </c>
      <c r="H51" s="2">
        <v>29847</v>
      </c>
      <c r="I51" s="2">
        <v>42241</v>
      </c>
      <c r="J51" s="2">
        <v>44284</v>
      </c>
      <c r="K51" s="2" t="s">
        <v>26</v>
      </c>
      <c r="L51" s="2"/>
      <c r="M51" s="2">
        <v>5.5</v>
      </c>
    </row>
    <row r="52" spans="1:14" ht="30.75">
      <c r="A52" s="2" t="s">
        <v>1929</v>
      </c>
      <c r="B52" s="8">
        <v>94.4</v>
      </c>
      <c r="C52" s="2" t="s">
        <v>30</v>
      </c>
      <c r="D52" s="7">
        <v>45654</v>
      </c>
      <c r="E52" s="2" t="s">
        <v>23</v>
      </c>
      <c r="F52" s="2" t="s">
        <v>28</v>
      </c>
      <c r="G52" s="2">
        <v>46</v>
      </c>
      <c r="H52" s="2">
        <v>30325</v>
      </c>
      <c r="I52" s="2">
        <v>45442</v>
      </c>
      <c r="J52" s="2">
        <v>43214</v>
      </c>
      <c r="K52" s="2" t="s">
        <v>26</v>
      </c>
      <c r="L52" s="2"/>
      <c r="M52" s="2">
        <v>7.5</v>
      </c>
    </row>
    <row r="53" spans="1:14" ht="30.75">
      <c r="A53" s="2" t="s">
        <v>75</v>
      </c>
      <c r="B53" s="8">
        <v>94.4</v>
      </c>
      <c r="C53" s="2" t="s">
        <v>32</v>
      </c>
      <c r="D53" s="2" t="s">
        <v>75</v>
      </c>
      <c r="E53" s="2" t="s">
        <v>23</v>
      </c>
      <c r="F53" s="2" t="s">
        <v>28</v>
      </c>
      <c r="G53" s="2">
        <v>47</v>
      </c>
      <c r="H53" s="2">
        <v>31510</v>
      </c>
      <c r="I53" s="2">
        <v>44418</v>
      </c>
      <c r="J53" s="2"/>
      <c r="K53" s="2" t="s">
        <v>26</v>
      </c>
      <c r="L53" s="100">
        <v>949</v>
      </c>
      <c r="M53" s="2">
        <v>5.6</v>
      </c>
      <c r="N53" s="290" t="s">
        <v>76</v>
      </c>
    </row>
    <row r="54" spans="1:14" ht="30.75">
      <c r="A54" s="7">
        <v>45716</v>
      </c>
      <c r="B54" s="8">
        <v>94.4</v>
      </c>
      <c r="C54" s="2" t="s">
        <v>34</v>
      </c>
      <c r="D54" s="7">
        <v>45716</v>
      </c>
      <c r="E54" s="2" t="s">
        <v>23</v>
      </c>
      <c r="F54" s="2" t="s">
        <v>28</v>
      </c>
      <c r="G54" s="2">
        <v>48</v>
      </c>
      <c r="H54" s="2">
        <v>32375</v>
      </c>
      <c r="I54" s="2">
        <v>45464</v>
      </c>
      <c r="J54" s="2"/>
      <c r="K54" s="2" t="s">
        <v>26</v>
      </c>
      <c r="L54" s="2"/>
      <c r="M54" s="2">
        <v>4.8</v>
      </c>
    </row>
    <row r="55" spans="1:14" ht="30.75">
      <c r="A55" s="7">
        <v>45744</v>
      </c>
      <c r="B55" s="8">
        <v>94.4</v>
      </c>
      <c r="C55" s="2" t="s">
        <v>38</v>
      </c>
      <c r="D55" s="7">
        <v>45744</v>
      </c>
      <c r="E55" s="2" t="s">
        <v>23</v>
      </c>
      <c r="F55" s="2" t="s">
        <v>28</v>
      </c>
      <c r="G55" s="2">
        <v>49</v>
      </c>
      <c r="H55" s="2">
        <v>33215</v>
      </c>
      <c r="I55" s="2"/>
      <c r="J55" s="2">
        <v>46572</v>
      </c>
      <c r="K55" s="2" t="s">
        <v>26</v>
      </c>
      <c r="L55" s="2"/>
      <c r="M55" s="2">
        <v>6.3</v>
      </c>
    </row>
    <row r="56" spans="1:14" ht="30.75">
      <c r="A56" s="7">
        <v>45776</v>
      </c>
      <c r="B56" s="8">
        <v>94.4</v>
      </c>
      <c r="C56" s="2" t="s">
        <v>41</v>
      </c>
      <c r="D56" s="7">
        <v>45776</v>
      </c>
      <c r="E56" s="2" t="s">
        <v>23</v>
      </c>
      <c r="F56" s="2" t="s">
        <v>28</v>
      </c>
      <c r="G56" s="2">
        <v>50</v>
      </c>
      <c r="H56" s="2">
        <v>34012</v>
      </c>
      <c r="I56" s="2"/>
      <c r="J56" s="2">
        <v>47621</v>
      </c>
      <c r="K56" s="2" t="s">
        <v>26</v>
      </c>
      <c r="L56" s="2"/>
      <c r="M56" s="2">
        <v>8.5</v>
      </c>
    </row>
    <row r="57" spans="1:14" ht="30.75">
      <c r="A57" s="7">
        <v>45805</v>
      </c>
      <c r="B57" s="8">
        <v>94.4</v>
      </c>
      <c r="C57" s="2" t="s">
        <v>44</v>
      </c>
      <c r="D57" s="7">
        <v>45805</v>
      </c>
      <c r="E57" s="2" t="s">
        <v>23</v>
      </c>
      <c r="F57" s="2" t="s">
        <v>28</v>
      </c>
      <c r="G57" s="2">
        <v>51</v>
      </c>
      <c r="H57" s="2">
        <v>34854</v>
      </c>
      <c r="I57" s="2"/>
      <c r="J57" s="2">
        <v>49983</v>
      </c>
      <c r="K57" s="2" t="s">
        <v>26</v>
      </c>
      <c r="L57" s="2"/>
      <c r="M57" s="2">
        <v>8</v>
      </c>
    </row>
    <row r="58" spans="1:14" ht="30.75">
      <c r="A58" s="7">
        <v>45836</v>
      </c>
      <c r="B58" s="8">
        <v>94.4</v>
      </c>
      <c r="C58" s="2" t="s">
        <v>57</v>
      </c>
      <c r="D58" s="7">
        <v>45836</v>
      </c>
      <c r="E58" s="2" t="s">
        <v>23</v>
      </c>
      <c r="F58" s="2" t="s">
        <v>28</v>
      </c>
      <c r="G58" s="2">
        <v>52</v>
      </c>
      <c r="H58" s="2">
        <v>35699</v>
      </c>
      <c r="I58" s="2"/>
      <c r="J58" s="2">
        <v>49984</v>
      </c>
      <c r="K58" s="2" t="s">
        <v>26</v>
      </c>
      <c r="L58" s="2"/>
      <c r="M58" s="2">
        <v>2.5</v>
      </c>
    </row>
    <row r="59" spans="1:14" ht="30.75">
      <c r="A59" s="7">
        <v>45864</v>
      </c>
      <c r="B59" s="8">
        <v>94.4</v>
      </c>
      <c r="C59" s="2" t="s">
        <v>47</v>
      </c>
      <c r="D59" s="7">
        <v>45864</v>
      </c>
      <c r="E59" s="2" t="s">
        <v>23</v>
      </c>
      <c r="F59" s="2" t="s">
        <v>28</v>
      </c>
      <c r="G59" s="2">
        <v>53</v>
      </c>
      <c r="H59" s="2">
        <v>36484</v>
      </c>
      <c r="I59" s="2"/>
      <c r="J59" s="2">
        <v>49985</v>
      </c>
      <c r="K59" s="2" t="s">
        <v>26</v>
      </c>
      <c r="L59" s="2"/>
      <c r="M59" s="2">
        <v>6.5</v>
      </c>
    </row>
    <row r="60" spans="1:14" ht="30.75">
      <c r="A60" s="7">
        <v>45897</v>
      </c>
      <c r="B60" s="8">
        <v>94.4</v>
      </c>
      <c r="C60" s="2" t="s">
        <v>50</v>
      </c>
      <c r="D60" s="7">
        <v>45897</v>
      </c>
      <c r="E60" s="2" t="s">
        <v>23</v>
      </c>
      <c r="F60" s="2" t="s">
        <v>28</v>
      </c>
      <c r="G60" s="2">
        <v>54</v>
      </c>
      <c r="H60" s="2">
        <v>37240</v>
      </c>
      <c r="I60" s="2"/>
      <c r="J60" s="2">
        <v>51331</v>
      </c>
      <c r="K60" s="2" t="s">
        <v>26</v>
      </c>
      <c r="L60" s="2"/>
      <c r="M60" s="2">
        <v>5.3</v>
      </c>
    </row>
    <row r="61" spans="1:14" ht="30.75">
      <c r="A61" s="7">
        <v>45929</v>
      </c>
      <c r="B61" s="8">
        <v>94.4</v>
      </c>
      <c r="C61" s="2" t="s">
        <v>22</v>
      </c>
      <c r="D61" s="7">
        <v>45929</v>
      </c>
      <c r="E61" s="2" t="s">
        <v>23</v>
      </c>
      <c r="F61" s="2" t="s">
        <v>28</v>
      </c>
      <c r="G61" s="2">
        <v>55</v>
      </c>
      <c r="H61" s="2">
        <v>38130</v>
      </c>
      <c r="I61" s="2"/>
      <c r="J61" s="2">
        <v>52116</v>
      </c>
      <c r="K61" s="2" t="s">
        <v>26</v>
      </c>
      <c r="L61" s="2"/>
      <c r="M61" s="2">
        <v>5</v>
      </c>
    </row>
    <row r="62" spans="1:14" ht="30.75">
      <c r="A62" s="7">
        <v>45960</v>
      </c>
      <c r="B62" s="8">
        <v>94.4</v>
      </c>
      <c r="C62" s="2" t="s">
        <v>54</v>
      </c>
      <c r="D62" s="7">
        <v>45960</v>
      </c>
      <c r="E62" s="2" t="s">
        <v>23</v>
      </c>
      <c r="F62" s="2" t="s">
        <v>28</v>
      </c>
      <c r="G62" s="2">
        <v>56</v>
      </c>
      <c r="H62" s="2">
        <v>38992</v>
      </c>
      <c r="I62" s="2"/>
      <c r="J62" s="2">
        <v>53317</v>
      </c>
      <c r="K62" s="2" t="s">
        <v>26</v>
      </c>
      <c r="L62" s="2"/>
      <c r="M62" s="2">
        <v>5</v>
      </c>
    </row>
    <row r="63" spans="1:14" ht="30.75">
      <c r="A63" s="7">
        <v>45988</v>
      </c>
      <c r="B63" s="8">
        <v>94.4</v>
      </c>
      <c r="C63" s="2" t="s">
        <v>27</v>
      </c>
      <c r="D63" s="7">
        <v>45988</v>
      </c>
      <c r="E63" s="2" t="s">
        <v>23</v>
      </c>
      <c r="F63" s="2" t="s">
        <v>28</v>
      </c>
      <c r="G63" s="2">
        <v>57</v>
      </c>
      <c r="H63" s="2">
        <v>39722</v>
      </c>
      <c r="I63" s="2"/>
      <c r="J63" s="2">
        <v>54609</v>
      </c>
      <c r="K63" s="2" t="s">
        <v>56</v>
      </c>
      <c r="L63" s="2"/>
      <c r="M63" s="2">
        <v>6</v>
      </c>
    </row>
    <row r="64" spans="1:14" ht="30.75">
      <c r="A64" s="7">
        <v>46018</v>
      </c>
      <c r="B64" s="8">
        <v>94.4</v>
      </c>
      <c r="C64" s="2" t="s">
        <v>30</v>
      </c>
      <c r="D64" s="7">
        <v>46018</v>
      </c>
      <c r="E64" s="2" t="s">
        <v>23</v>
      </c>
      <c r="F64" s="2" t="s">
        <v>28</v>
      </c>
      <c r="G64" s="2">
        <v>58</v>
      </c>
      <c r="H64" s="2">
        <v>40628</v>
      </c>
      <c r="I64" s="2"/>
      <c r="J64" s="2">
        <v>55634</v>
      </c>
      <c r="K64" s="2" t="s">
        <v>56</v>
      </c>
      <c r="L64" s="2"/>
      <c r="M64" s="2">
        <v>3.5</v>
      </c>
    </row>
    <row r="65" spans="1:13" ht="30.75">
      <c r="A65" s="7">
        <v>46052</v>
      </c>
      <c r="B65" s="8">
        <v>94.4</v>
      </c>
      <c r="C65" s="2" t="s">
        <v>32</v>
      </c>
      <c r="D65" s="7">
        <v>46052</v>
      </c>
      <c r="E65" s="2" t="s">
        <v>23</v>
      </c>
      <c r="F65" s="2" t="s">
        <v>28</v>
      </c>
      <c r="G65" s="2">
        <v>59</v>
      </c>
      <c r="H65" s="2">
        <v>41601</v>
      </c>
      <c r="I65" s="2"/>
      <c r="J65" s="2">
        <v>56461</v>
      </c>
      <c r="K65" s="2" t="s">
        <v>26</v>
      </c>
      <c r="L65" s="2"/>
      <c r="M65" s="2" t="s">
        <v>1930</v>
      </c>
    </row>
    <row r="66" spans="1:13" ht="30.75">
      <c r="A66" s="7">
        <v>46081</v>
      </c>
      <c r="B66" s="8">
        <v>94.4</v>
      </c>
      <c r="C66" s="2" t="s">
        <v>34</v>
      </c>
      <c r="D66" s="7">
        <v>46081</v>
      </c>
      <c r="E66" s="2" t="s">
        <v>23</v>
      </c>
      <c r="F66" s="2" t="s">
        <v>28</v>
      </c>
      <c r="G66" s="2">
        <v>60</v>
      </c>
      <c r="H66" s="2">
        <v>42441</v>
      </c>
      <c r="I66" s="2"/>
      <c r="J66" s="2">
        <v>58374</v>
      </c>
      <c r="K66" s="2" t="s">
        <v>26</v>
      </c>
      <c r="L66" s="2"/>
      <c r="M66" s="2">
        <v>3.1</v>
      </c>
    </row>
    <row r="67" spans="1:13" ht="30.75">
      <c r="A67" s="7">
        <v>46112</v>
      </c>
      <c r="B67" s="8">
        <v>94.4</v>
      </c>
      <c r="C67" s="2" t="s">
        <v>38</v>
      </c>
      <c r="D67" s="7">
        <v>46112</v>
      </c>
      <c r="E67" s="2" t="s">
        <v>23</v>
      </c>
      <c r="F67" s="2" t="s">
        <v>28</v>
      </c>
      <c r="G67" s="2">
        <v>61</v>
      </c>
      <c r="H67" s="2">
        <v>43282</v>
      </c>
      <c r="I67" s="2"/>
      <c r="J67" s="2">
        <v>59605</v>
      </c>
      <c r="K67" s="2" t="s">
        <v>26</v>
      </c>
      <c r="L67" s="2"/>
      <c r="M67" s="2">
        <v>2.8</v>
      </c>
    </row>
    <row r="68" spans="1:13" ht="30.75">
      <c r="A68" s="7">
        <v>46142</v>
      </c>
      <c r="B68" s="8">
        <v>94.4</v>
      </c>
      <c r="C68" s="2" t="s">
        <v>41</v>
      </c>
      <c r="D68" s="7">
        <v>46142</v>
      </c>
      <c r="E68" s="2" t="s">
        <v>23</v>
      </c>
      <c r="F68" s="2" t="s">
        <v>28</v>
      </c>
      <c r="G68" s="2">
        <v>62</v>
      </c>
      <c r="H68" s="2">
        <v>44102</v>
      </c>
      <c r="I68" s="2"/>
      <c r="J68" s="2">
        <v>60972</v>
      </c>
      <c r="K68" s="2" t="s">
        <v>26</v>
      </c>
      <c r="L68" s="2"/>
      <c r="M68" s="2">
        <v>3.2</v>
      </c>
    </row>
    <row r="69" spans="1:13" ht="30.75">
      <c r="A69" s="2"/>
      <c r="B69" s="8">
        <v>94.4</v>
      </c>
      <c r="C69" s="2" t="s">
        <v>44</v>
      </c>
      <c r="D69" s="2"/>
      <c r="E69" s="2" t="s">
        <v>23</v>
      </c>
      <c r="F69" s="2" t="s">
        <v>28</v>
      </c>
      <c r="G69" s="2">
        <v>63</v>
      </c>
      <c r="H69" s="2"/>
      <c r="I69" s="2"/>
      <c r="J69" s="2"/>
      <c r="K69" s="2" t="s">
        <v>26</v>
      </c>
      <c r="L69" s="2"/>
      <c r="M69" s="2"/>
    </row>
    <row r="70" spans="1:13" ht="30.75">
      <c r="A70" s="2"/>
      <c r="B70" s="2"/>
      <c r="C70" s="2"/>
      <c r="D70" s="2"/>
      <c r="E70" s="2" t="s">
        <v>23</v>
      </c>
      <c r="F70" s="2"/>
      <c r="G70" s="2">
        <v>64</v>
      </c>
      <c r="H70" s="2"/>
      <c r="I70" s="2"/>
      <c r="J70" s="2"/>
      <c r="K70" s="2"/>
      <c r="L70" s="2"/>
      <c r="M70" s="2"/>
    </row>
    <row r="71" spans="1:13" ht="30.75">
      <c r="A71" s="2"/>
      <c r="B71" s="2"/>
      <c r="C71" s="2"/>
      <c r="D71" s="2"/>
      <c r="E71" s="2" t="s">
        <v>23</v>
      </c>
      <c r="F71" s="2"/>
      <c r="G71" s="2">
        <v>65</v>
      </c>
      <c r="H71" s="2"/>
      <c r="I71" s="2"/>
      <c r="J71" s="2"/>
      <c r="K71" s="2"/>
      <c r="L71" s="2"/>
      <c r="M71" s="2"/>
    </row>
    <row r="72" spans="1:13" ht="30.75">
      <c r="A72" s="2"/>
      <c r="B72" s="2"/>
      <c r="C72" s="2"/>
      <c r="D72" s="2"/>
      <c r="E72" s="2" t="s">
        <v>23</v>
      </c>
      <c r="F72" s="2"/>
      <c r="G72" s="2">
        <v>66</v>
      </c>
      <c r="H72" s="2"/>
      <c r="I72" s="2"/>
      <c r="J72" s="2"/>
      <c r="K72" s="2"/>
      <c r="L72" s="2"/>
      <c r="M72" s="2"/>
    </row>
    <row r="73" spans="1:13" ht="30.75">
      <c r="A73" s="2"/>
      <c r="B73" s="2"/>
      <c r="C73" s="2"/>
      <c r="D73" s="2"/>
      <c r="E73" s="2" t="s">
        <v>23</v>
      </c>
      <c r="F73" s="2"/>
      <c r="G73" s="2">
        <v>67</v>
      </c>
      <c r="H73" s="2"/>
      <c r="I73" s="2"/>
      <c r="J73" s="2"/>
      <c r="K73" s="2"/>
      <c r="L73" s="2"/>
      <c r="M73" s="2"/>
    </row>
    <row r="74" spans="1:13" ht="30.75">
      <c r="A74" s="2"/>
      <c r="B74" s="2"/>
      <c r="C74" s="2"/>
      <c r="D74" s="2"/>
      <c r="E74" s="2" t="s">
        <v>23</v>
      </c>
      <c r="F74" s="2"/>
      <c r="G74" s="2">
        <v>68</v>
      </c>
      <c r="H74" s="2"/>
      <c r="I74" s="2"/>
      <c r="J74" s="2"/>
      <c r="K74" s="2"/>
      <c r="L74" s="2"/>
      <c r="M74" s="2"/>
    </row>
    <row r="75" spans="1:13" ht="30.75">
      <c r="A75" s="2"/>
      <c r="B75" s="2"/>
      <c r="C75" s="2"/>
      <c r="D75" s="2"/>
      <c r="E75" s="2" t="s">
        <v>23</v>
      </c>
      <c r="F75" s="2"/>
      <c r="G75" s="2">
        <v>69</v>
      </c>
      <c r="H75" s="2"/>
      <c r="I75" s="2"/>
      <c r="J75" s="2"/>
      <c r="K75" s="2"/>
      <c r="L75" s="2"/>
      <c r="M75" s="2"/>
    </row>
    <row r="76" spans="1:13" ht="30.75">
      <c r="A76" s="2"/>
      <c r="B76" s="2"/>
      <c r="C76" s="2"/>
      <c r="D76" s="2"/>
      <c r="E76" s="2" t="s">
        <v>23</v>
      </c>
      <c r="F76" s="2"/>
      <c r="G76" s="2">
        <v>70</v>
      </c>
      <c r="H76" s="2"/>
      <c r="I76" s="2"/>
      <c r="J76" s="2"/>
      <c r="K76" s="2"/>
      <c r="L76" s="2"/>
      <c r="M76" s="2"/>
    </row>
    <row r="77" spans="1:13" ht="30.75">
      <c r="A77" s="2"/>
      <c r="B77" s="2"/>
      <c r="C77" s="2"/>
      <c r="D77" s="2"/>
      <c r="E77" s="2" t="s">
        <v>23</v>
      </c>
      <c r="F77" s="2"/>
      <c r="G77" s="2">
        <v>71</v>
      </c>
      <c r="H77" s="2"/>
      <c r="I77" s="2"/>
      <c r="J77" s="2"/>
      <c r="K77" s="2"/>
      <c r="L77" s="2"/>
      <c r="M77" s="2"/>
    </row>
    <row r="78" spans="1:13" ht="30.75">
      <c r="A78" s="2"/>
      <c r="B78" s="2"/>
      <c r="C78" s="2"/>
      <c r="D78" s="2"/>
      <c r="E78" s="2" t="s">
        <v>23</v>
      </c>
      <c r="F78" s="2"/>
      <c r="G78" s="2">
        <v>72</v>
      </c>
      <c r="H78" s="2"/>
      <c r="I78" s="2"/>
      <c r="J78" s="2"/>
      <c r="K78" s="2"/>
      <c r="L78" s="2"/>
      <c r="M78" s="2"/>
    </row>
    <row r="79" spans="1:13" ht="30.75">
      <c r="A79" s="2"/>
      <c r="B79" s="2"/>
      <c r="C79" s="2"/>
      <c r="D79" s="2"/>
      <c r="E79" s="2" t="s">
        <v>23</v>
      </c>
      <c r="F79" s="2"/>
      <c r="G79" s="2">
        <v>73</v>
      </c>
      <c r="H79" s="2"/>
      <c r="I79" s="2"/>
      <c r="J79" s="2"/>
      <c r="K79" s="2"/>
      <c r="L79" s="2"/>
      <c r="M79" s="2"/>
    </row>
    <row r="80" spans="1:13" ht="30.75">
      <c r="A80" s="2"/>
      <c r="B80" s="2"/>
      <c r="C80" s="2"/>
      <c r="D80" s="2"/>
      <c r="E80" s="2" t="s">
        <v>23</v>
      </c>
      <c r="F80" s="2"/>
      <c r="G80" s="2">
        <v>74</v>
      </c>
      <c r="H80" s="2"/>
      <c r="I80" s="2"/>
      <c r="J80" s="2"/>
      <c r="K80" s="2"/>
      <c r="L80" s="2"/>
      <c r="M80" s="2"/>
    </row>
    <row r="81" spans="1:13" ht="30.75">
      <c r="A81" s="2"/>
      <c r="B81" s="2"/>
      <c r="C81" s="2"/>
      <c r="D81" s="2"/>
      <c r="E81" s="2" t="s">
        <v>23</v>
      </c>
      <c r="F81" s="2"/>
      <c r="G81" s="2">
        <v>75</v>
      </c>
      <c r="H81" s="2"/>
      <c r="I81" s="2"/>
      <c r="J81" s="2"/>
      <c r="K81" s="2"/>
      <c r="L81" s="2"/>
      <c r="M81" s="2"/>
    </row>
    <row r="82" spans="1:13" ht="30.75">
      <c r="A82" s="2"/>
      <c r="B82" s="2"/>
      <c r="C82" s="2"/>
      <c r="D82" s="2"/>
      <c r="E82" s="2" t="s">
        <v>23</v>
      </c>
      <c r="F82" s="2"/>
      <c r="G82" s="2">
        <v>76</v>
      </c>
      <c r="H82" s="2"/>
      <c r="I82" s="2"/>
      <c r="J82" s="2"/>
      <c r="K82" s="2"/>
      <c r="L82" s="2"/>
      <c r="M82" s="2"/>
    </row>
    <row r="83" spans="1:13" ht="30.75">
      <c r="A83" s="2"/>
      <c r="B83" s="2"/>
      <c r="C83" s="2"/>
      <c r="D83" s="2"/>
      <c r="E83" s="2" t="s">
        <v>23</v>
      </c>
      <c r="F83" s="2"/>
      <c r="G83" s="2">
        <v>77</v>
      </c>
      <c r="H83" s="2"/>
      <c r="I83" s="2"/>
      <c r="J83" s="2"/>
      <c r="K83" s="2"/>
      <c r="L83" s="2"/>
      <c r="M83" s="2"/>
    </row>
    <row r="84" spans="1:13" ht="30.75">
      <c r="A84" s="2"/>
      <c r="B84" s="2"/>
      <c r="C84" s="2"/>
      <c r="D84" s="2"/>
      <c r="E84" s="2" t="s">
        <v>23</v>
      </c>
      <c r="F84" s="2"/>
      <c r="G84" s="2">
        <v>78</v>
      </c>
      <c r="H84" s="2"/>
      <c r="I84" s="2"/>
      <c r="J84" s="2"/>
      <c r="K84" s="2"/>
      <c r="L84" s="2"/>
      <c r="M84" s="2"/>
    </row>
    <row r="85" spans="1:13" ht="30.75">
      <c r="A85" s="2"/>
      <c r="B85" s="2"/>
      <c r="C85" s="2"/>
      <c r="D85" s="2"/>
      <c r="E85" s="2" t="s">
        <v>23</v>
      </c>
      <c r="F85" s="2"/>
      <c r="G85" s="2">
        <v>79</v>
      </c>
      <c r="H85" s="2"/>
      <c r="I85" s="2"/>
      <c r="J85" s="2"/>
      <c r="K85" s="2"/>
      <c r="L85" s="2"/>
      <c r="M85" s="2"/>
    </row>
    <row r="86" spans="1:13" ht="30.75">
      <c r="A86" s="2"/>
      <c r="B86" s="2"/>
      <c r="C86" s="2"/>
      <c r="D86" s="2"/>
      <c r="E86" s="2" t="s">
        <v>23</v>
      </c>
      <c r="F86" s="2"/>
      <c r="G86" s="2">
        <v>80</v>
      </c>
      <c r="H86" s="2"/>
      <c r="I86" s="2"/>
      <c r="J86" s="2"/>
      <c r="K86" s="2"/>
      <c r="L86" s="2"/>
      <c r="M86" s="2"/>
    </row>
    <row r="89" spans="1:13" ht="21">
      <c r="A89" s="756" t="s">
        <v>1931</v>
      </c>
      <c r="B89" s="756"/>
      <c r="C89" s="756"/>
      <c r="D89" s="756"/>
      <c r="E89" s="756"/>
    </row>
    <row r="90" spans="1:13">
      <c r="A90" s="2" t="s">
        <v>1</v>
      </c>
      <c r="B90" s="2">
        <v>20600507258</v>
      </c>
    </row>
    <row r="91" spans="1:13" ht="30.75">
      <c r="A91" s="2" t="s">
        <v>2</v>
      </c>
      <c r="B91" s="3" t="s">
        <v>1899</v>
      </c>
    </row>
    <row r="92" spans="1:13" ht="37.5">
      <c r="A92" s="191" t="s">
        <v>4</v>
      </c>
      <c r="B92" s="192">
        <v>43792</v>
      </c>
      <c r="E92" s="757" t="s">
        <v>5</v>
      </c>
      <c r="F92" s="757"/>
      <c r="I92" s="758" t="s">
        <v>1884</v>
      </c>
      <c r="J92" s="758"/>
      <c r="K92" s="758"/>
      <c r="L92" s="636"/>
    </row>
    <row r="94" spans="1:13" ht="57">
      <c r="A94" s="193" t="s">
        <v>7</v>
      </c>
      <c r="B94" s="193" t="s">
        <v>8</v>
      </c>
      <c r="C94" s="193" t="s">
        <v>9</v>
      </c>
      <c r="D94" s="193" t="s">
        <v>10</v>
      </c>
      <c r="E94" s="193" t="s">
        <v>11</v>
      </c>
      <c r="F94" s="193" t="s">
        <v>12</v>
      </c>
      <c r="G94" s="193" t="s">
        <v>13</v>
      </c>
      <c r="H94" s="193" t="s">
        <v>14</v>
      </c>
      <c r="I94" s="193" t="s">
        <v>15</v>
      </c>
      <c r="J94" s="193" t="s">
        <v>16</v>
      </c>
      <c r="K94" s="193" t="s">
        <v>18</v>
      </c>
      <c r="L94" s="551"/>
    </row>
    <row r="95" spans="1:13" ht="30.75">
      <c r="A95" s="7">
        <v>43790</v>
      </c>
      <c r="B95" s="8">
        <v>94.4</v>
      </c>
      <c r="C95" s="2" t="s">
        <v>27</v>
      </c>
      <c r="D95" s="7">
        <v>43827</v>
      </c>
      <c r="E95" s="2" t="s">
        <v>23</v>
      </c>
      <c r="F95" s="2" t="s">
        <v>1742</v>
      </c>
      <c r="G95" s="2">
        <v>1</v>
      </c>
      <c r="H95" s="2">
        <v>100</v>
      </c>
      <c r="I95" s="9" t="s">
        <v>1932</v>
      </c>
      <c r="J95" s="9" t="s">
        <v>1933</v>
      </c>
      <c r="K95" s="2" t="s">
        <v>26</v>
      </c>
      <c r="L95" s="2"/>
    </row>
    <row r="96" spans="1:13" ht="30.75">
      <c r="A96" s="7">
        <v>43867</v>
      </c>
      <c r="B96" s="8">
        <v>94.4</v>
      </c>
      <c r="C96" s="2" t="s">
        <v>30</v>
      </c>
      <c r="D96" s="7">
        <v>43860</v>
      </c>
      <c r="E96" s="2" t="s">
        <v>23</v>
      </c>
      <c r="F96" s="2" t="s">
        <v>24</v>
      </c>
      <c r="G96" s="2">
        <v>2</v>
      </c>
      <c r="H96" s="2">
        <v>204</v>
      </c>
      <c r="I96" s="9" t="s">
        <v>1932</v>
      </c>
      <c r="J96" s="9" t="s">
        <v>1934</v>
      </c>
      <c r="K96" s="2" t="s">
        <v>26</v>
      </c>
      <c r="L96" s="2"/>
    </row>
    <row r="97" spans="1:12" ht="30.75">
      <c r="A97" s="7">
        <v>43890</v>
      </c>
      <c r="B97" s="8">
        <v>94.4</v>
      </c>
      <c r="C97" s="2" t="s">
        <v>32</v>
      </c>
      <c r="D97" s="7">
        <v>43890</v>
      </c>
      <c r="E97" s="2" t="s">
        <v>23</v>
      </c>
      <c r="F97" s="2" t="s">
        <v>24</v>
      </c>
      <c r="G97" s="2">
        <v>3</v>
      </c>
      <c r="H97" s="2">
        <v>256</v>
      </c>
      <c r="I97" s="9" t="s">
        <v>1932</v>
      </c>
      <c r="J97" s="9" t="s">
        <v>1935</v>
      </c>
      <c r="K97" s="2" t="s">
        <v>26</v>
      </c>
      <c r="L97" s="2"/>
    </row>
    <row r="98" spans="1:12" ht="30.75">
      <c r="A98" s="7">
        <v>43941</v>
      </c>
      <c r="B98" s="8">
        <v>94.4</v>
      </c>
      <c r="C98" s="2" t="s">
        <v>34</v>
      </c>
      <c r="D98" s="7">
        <v>43918</v>
      </c>
      <c r="E98" s="2" t="s">
        <v>23</v>
      </c>
      <c r="F98" s="2" t="s">
        <v>24</v>
      </c>
      <c r="G98" s="2">
        <v>4</v>
      </c>
      <c r="H98" s="2">
        <v>304</v>
      </c>
      <c r="I98" s="9" t="s">
        <v>1932</v>
      </c>
      <c r="J98" s="9"/>
      <c r="K98" s="2" t="s">
        <v>26</v>
      </c>
      <c r="L98" s="2"/>
    </row>
    <row r="99" spans="1:12" ht="30.75">
      <c r="A99" s="7">
        <v>43972</v>
      </c>
      <c r="B99" s="8">
        <v>94.4</v>
      </c>
      <c r="C99" s="2" t="s">
        <v>38</v>
      </c>
      <c r="D99" s="7">
        <v>43949</v>
      </c>
      <c r="E99" s="2" t="s">
        <v>23</v>
      </c>
      <c r="F99" s="2" t="s">
        <v>24</v>
      </c>
      <c r="G99" s="2">
        <v>5</v>
      </c>
      <c r="H99" s="2">
        <v>356</v>
      </c>
      <c r="I99" s="9" t="s">
        <v>1932</v>
      </c>
      <c r="J99" s="9"/>
      <c r="K99" s="2" t="s">
        <v>26</v>
      </c>
      <c r="L99" s="2"/>
    </row>
    <row r="100" spans="1:12" ht="30.75">
      <c r="A100" s="7">
        <v>44008</v>
      </c>
      <c r="B100" s="8">
        <v>94.4</v>
      </c>
      <c r="C100" s="2" t="s">
        <v>41</v>
      </c>
      <c r="D100" s="7">
        <v>43981</v>
      </c>
      <c r="E100" s="2" t="s">
        <v>23</v>
      </c>
      <c r="F100" s="2" t="s">
        <v>24</v>
      </c>
      <c r="G100" s="2">
        <v>6</v>
      </c>
      <c r="H100" s="2">
        <v>384</v>
      </c>
      <c r="I100" s="9" t="s">
        <v>1932</v>
      </c>
      <c r="J100" s="9" t="s">
        <v>1936</v>
      </c>
      <c r="K100" s="2" t="s">
        <v>26</v>
      </c>
      <c r="L100" s="2"/>
    </row>
    <row r="101" spans="1:12" ht="30.75">
      <c r="A101" s="7">
        <v>44012</v>
      </c>
      <c r="B101" s="8">
        <v>94.4</v>
      </c>
      <c r="C101" s="2" t="s">
        <v>38</v>
      </c>
      <c r="D101" s="7">
        <v>44012</v>
      </c>
      <c r="E101" s="2" t="s">
        <v>23</v>
      </c>
      <c r="F101" s="2" t="s">
        <v>28</v>
      </c>
      <c r="G101" s="2">
        <v>7</v>
      </c>
      <c r="H101" s="2">
        <v>477</v>
      </c>
      <c r="I101" s="9" t="s">
        <v>1932</v>
      </c>
      <c r="J101" s="9" t="s">
        <v>1937</v>
      </c>
      <c r="K101" s="2" t="s">
        <v>26</v>
      </c>
      <c r="L101" s="2"/>
    </row>
    <row r="102" spans="1:12" ht="30.75">
      <c r="A102" s="7">
        <v>44043</v>
      </c>
      <c r="B102" s="8">
        <v>94.4</v>
      </c>
      <c r="C102" s="2" t="s">
        <v>41</v>
      </c>
      <c r="D102" s="2" t="s">
        <v>1938</v>
      </c>
      <c r="E102" s="2" t="s">
        <v>23</v>
      </c>
      <c r="F102" s="2" t="s">
        <v>28</v>
      </c>
      <c r="G102" s="2">
        <v>8</v>
      </c>
      <c r="H102" s="2">
        <v>640</v>
      </c>
      <c r="I102" s="9" t="s">
        <v>1932</v>
      </c>
      <c r="J102" s="9" t="s">
        <v>1939</v>
      </c>
      <c r="K102" s="2" t="s">
        <v>26</v>
      </c>
      <c r="L102" s="2"/>
    </row>
    <row r="103" spans="1:12" ht="30.75">
      <c r="A103" s="7">
        <v>44072</v>
      </c>
      <c r="B103" s="8">
        <v>94.4</v>
      </c>
      <c r="C103" s="2" t="s">
        <v>44</v>
      </c>
      <c r="D103" s="7">
        <v>44072</v>
      </c>
      <c r="E103" s="2" t="s">
        <v>23</v>
      </c>
      <c r="F103" s="2" t="s">
        <v>28</v>
      </c>
      <c r="G103" s="2">
        <v>9</v>
      </c>
      <c r="H103" s="2">
        <v>754</v>
      </c>
      <c r="I103" s="9" t="s">
        <v>1932</v>
      </c>
      <c r="J103" s="9" t="s">
        <v>1940</v>
      </c>
      <c r="K103" s="2" t="s">
        <v>26</v>
      </c>
      <c r="L103" s="2"/>
    </row>
    <row r="104" spans="1:12" ht="30.75">
      <c r="A104" s="7">
        <v>44103</v>
      </c>
      <c r="B104" s="8">
        <v>94.4</v>
      </c>
      <c r="C104" s="2" t="s">
        <v>57</v>
      </c>
      <c r="D104" s="7">
        <v>44103</v>
      </c>
      <c r="E104" s="2" t="s">
        <v>23</v>
      </c>
      <c r="F104" s="2" t="s">
        <v>28</v>
      </c>
      <c r="G104" s="2">
        <v>10</v>
      </c>
      <c r="H104" s="2">
        <v>1052</v>
      </c>
      <c r="I104" s="9" t="s">
        <v>1932</v>
      </c>
      <c r="J104" s="9" t="s">
        <v>1941</v>
      </c>
      <c r="K104" s="2" t="s">
        <v>26</v>
      </c>
      <c r="L104" s="2"/>
    </row>
    <row r="105" spans="1:12" ht="30.75">
      <c r="A105" s="7">
        <v>44135</v>
      </c>
      <c r="B105" s="8">
        <v>94.4</v>
      </c>
      <c r="C105" s="2" t="s">
        <v>54</v>
      </c>
      <c r="D105" s="7">
        <v>44135</v>
      </c>
      <c r="E105" s="2" t="s">
        <v>23</v>
      </c>
      <c r="F105" s="2" t="s">
        <v>28</v>
      </c>
      <c r="G105" s="2">
        <v>11</v>
      </c>
      <c r="H105" s="2">
        <v>1144</v>
      </c>
      <c r="I105" s="9" t="s">
        <v>1932</v>
      </c>
      <c r="J105" s="9" t="s">
        <v>1942</v>
      </c>
      <c r="K105" s="2" t="s">
        <v>26</v>
      </c>
      <c r="L105" s="2"/>
    </row>
    <row r="106" spans="1:12" ht="30.75">
      <c r="A106" s="7">
        <v>44163</v>
      </c>
      <c r="B106" s="8">
        <v>94.4</v>
      </c>
      <c r="C106" s="2" t="s">
        <v>27</v>
      </c>
      <c r="D106" s="7">
        <v>44163</v>
      </c>
      <c r="E106" s="2" t="s">
        <v>23</v>
      </c>
      <c r="F106" s="2" t="s">
        <v>28</v>
      </c>
      <c r="G106" s="2">
        <v>12</v>
      </c>
      <c r="H106" s="2">
        <v>1334</v>
      </c>
      <c r="I106" s="9" t="s">
        <v>1932</v>
      </c>
      <c r="J106" s="9" t="s">
        <v>1943</v>
      </c>
      <c r="K106" s="2" t="s">
        <v>26</v>
      </c>
      <c r="L106" s="2"/>
    </row>
    <row r="107" spans="1:12" ht="30.75">
      <c r="A107" s="7">
        <v>44196</v>
      </c>
      <c r="B107" s="8">
        <v>94.4</v>
      </c>
      <c r="C107" s="2" t="s">
        <v>30</v>
      </c>
      <c r="D107" s="7">
        <v>44196</v>
      </c>
      <c r="E107" s="2" t="s">
        <v>23</v>
      </c>
      <c r="F107" s="2" t="s">
        <v>28</v>
      </c>
      <c r="G107" s="2">
        <v>13</v>
      </c>
      <c r="H107" s="2">
        <v>1572</v>
      </c>
      <c r="I107" s="9" t="s">
        <v>1944</v>
      </c>
      <c r="J107" s="9" t="s">
        <v>1945</v>
      </c>
      <c r="K107" s="2" t="s">
        <v>26</v>
      </c>
      <c r="L107" s="2"/>
    </row>
    <row r="108" spans="1:12" ht="30.75">
      <c r="A108" s="7">
        <v>44226</v>
      </c>
      <c r="B108" s="8">
        <v>94.4</v>
      </c>
      <c r="C108" s="2" t="s">
        <v>32</v>
      </c>
      <c r="D108" s="7">
        <v>44226</v>
      </c>
      <c r="E108" s="2" t="s">
        <v>23</v>
      </c>
      <c r="F108" s="2" t="s">
        <v>28</v>
      </c>
      <c r="G108" s="2">
        <v>14</v>
      </c>
      <c r="H108" s="2">
        <v>1823</v>
      </c>
      <c r="I108" s="9" t="s">
        <v>1944</v>
      </c>
      <c r="J108" s="9" t="s">
        <v>1946</v>
      </c>
      <c r="K108" s="2" t="s">
        <v>26</v>
      </c>
      <c r="L108" s="2"/>
    </row>
  </sheetData>
  <mergeCells count="6">
    <mergeCell ref="A1:E1"/>
    <mergeCell ref="E4:F4"/>
    <mergeCell ref="I4:K4"/>
    <mergeCell ref="A89:E89"/>
    <mergeCell ref="E92:F92"/>
    <mergeCell ref="I92:K92"/>
  </mergeCells>
  <dataValidations disablePrompts="1" count="2">
    <dataValidation type="list" allowBlank="1" showInputMessage="1" showErrorMessage="1" sqref="F95:F108 F7:F86" xr:uid="{00000000-0002-0000-1900-000000000000}">
      <formula1>"EFECTIVO, CHEQUE, TRANSFERENCIA,DEPOSITO"</formula1>
    </dataValidation>
    <dataValidation type="list" allowBlank="1" showInputMessage="1" showErrorMessage="1" sqref="C95:C108 C7:C86" xr:uid="{00000000-0002-0000-1900-000001000000}">
      <formula1>"ENERO,FEBRERO,MARZO,ABRIL,MAYO,JUNIO,JULIO,AGOSTO,SEPTIEMBRE,OCTUBRE,NOVIEMBRE,DICIEMBRE"</formula1>
    </dataValidation>
  </dataValidations>
  <hyperlinks>
    <hyperlink ref="B3" r:id="rId1" xr:uid="{00000000-0004-0000-1900-000000000000}"/>
    <hyperlink ref="B91" r:id="rId2" xr:uid="{00000000-0004-0000-1900-000001000000}"/>
  </hyperlinks>
  <pageMargins left="0.7" right="0.7" top="0.75" bottom="0.75" header="0.3" footer="0.3"/>
  <pageSetup paperSize="9" orientation="portrait" r:id="rId3"/>
  <tableParts count="2">
    <tablePart r:id="rId4"/>
    <tablePart r:id="rId5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EC61-DE15-47F9-BB47-A8BF8A9FED4C}">
  <dimension ref="A1:S96"/>
  <sheetViews>
    <sheetView workbookViewId="0">
      <selection activeCell="F4" sqref="F4:G4"/>
    </sheetView>
  </sheetViews>
  <sheetFormatPr defaultColWidth="11.42578125" defaultRowHeight="15"/>
  <cols>
    <col min="2" max="2" width="18.140625" customWidth="1"/>
    <col min="7" max="7" width="50.42578125" customWidth="1"/>
  </cols>
  <sheetData>
    <row r="1" spans="1:14" ht="21">
      <c r="A1" s="759" t="s">
        <v>1947</v>
      </c>
      <c r="B1" s="759"/>
      <c r="C1" s="759"/>
      <c r="D1" s="759"/>
      <c r="E1" s="759"/>
    </row>
    <row r="2" spans="1:14" ht="30.75">
      <c r="A2" s="2" t="s">
        <v>93</v>
      </c>
      <c r="B2" s="2" t="s">
        <v>1948</v>
      </c>
      <c r="G2" s="623" t="s">
        <v>1949</v>
      </c>
    </row>
    <row r="3" spans="1:14" ht="25.5" customHeight="1">
      <c r="A3" s="2" t="s">
        <v>1670</v>
      </c>
      <c r="B3" s="609">
        <v>20605041834</v>
      </c>
    </row>
    <row r="4" spans="1:14" ht="37.5">
      <c r="A4" s="194" t="s">
        <v>4</v>
      </c>
      <c r="B4" s="195">
        <v>45699</v>
      </c>
      <c r="F4" s="760" t="s">
        <v>1950</v>
      </c>
      <c r="G4" s="760"/>
      <c r="J4" s="688" t="s">
        <v>1951</v>
      </c>
      <c r="K4" s="688"/>
      <c r="L4" s="688"/>
      <c r="M4" s="688"/>
    </row>
    <row r="6" spans="1:14" ht="57">
      <c r="A6" s="196" t="s">
        <v>7</v>
      </c>
      <c r="B6" s="196" t="s">
        <v>8</v>
      </c>
      <c r="C6" s="196" t="s">
        <v>9</v>
      </c>
      <c r="D6" s="196" t="s">
        <v>10</v>
      </c>
      <c r="E6" s="196" t="s">
        <v>11</v>
      </c>
      <c r="F6" s="196" t="s">
        <v>12</v>
      </c>
      <c r="G6" s="196" t="s">
        <v>13</v>
      </c>
      <c r="H6" s="196" t="s">
        <v>14</v>
      </c>
      <c r="I6" s="196" t="s">
        <v>15</v>
      </c>
      <c r="J6" s="196" t="s">
        <v>16</v>
      </c>
      <c r="K6" s="196" t="s">
        <v>19</v>
      </c>
      <c r="L6" s="196" t="s">
        <v>18</v>
      </c>
      <c r="M6" s="484" t="s">
        <v>99</v>
      </c>
      <c r="N6" s="484" t="s">
        <v>1672</v>
      </c>
    </row>
    <row r="7" spans="1:14" ht="30.75">
      <c r="A7" s="7">
        <v>44254</v>
      </c>
      <c r="B7" s="8">
        <v>94.4</v>
      </c>
      <c r="C7" s="2" t="s">
        <v>27</v>
      </c>
      <c r="D7" s="7">
        <v>44254</v>
      </c>
      <c r="E7" s="2" t="s">
        <v>23</v>
      </c>
      <c r="F7" s="2" t="s">
        <v>28</v>
      </c>
      <c r="G7" s="2">
        <v>1</v>
      </c>
      <c r="H7" s="9" t="s">
        <v>1952</v>
      </c>
      <c r="I7" s="9" t="s">
        <v>1953</v>
      </c>
      <c r="J7" s="9" t="s">
        <v>1954</v>
      </c>
      <c r="K7" s="9"/>
      <c r="L7" s="2" t="s">
        <v>26</v>
      </c>
      <c r="M7" s="2"/>
      <c r="N7" s="2"/>
    </row>
    <row r="8" spans="1:14" ht="30.75">
      <c r="A8" s="7">
        <v>44282</v>
      </c>
      <c r="B8" s="8">
        <v>94.4</v>
      </c>
      <c r="C8" s="2" t="s">
        <v>38</v>
      </c>
      <c r="D8" s="7">
        <v>44282</v>
      </c>
      <c r="E8" s="2" t="s">
        <v>23</v>
      </c>
      <c r="F8" s="2" t="s">
        <v>28</v>
      </c>
      <c r="G8" s="2">
        <v>2</v>
      </c>
      <c r="H8" s="9" t="s">
        <v>1955</v>
      </c>
      <c r="I8" s="9" t="s">
        <v>1953</v>
      </c>
      <c r="J8" s="9" t="s">
        <v>1956</v>
      </c>
      <c r="K8" s="9"/>
      <c r="L8" s="2" t="s">
        <v>26</v>
      </c>
      <c r="M8" s="2"/>
      <c r="N8" s="2"/>
    </row>
    <row r="9" spans="1:14" ht="30.75">
      <c r="A9" s="7">
        <v>44315</v>
      </c>
      <c r="B9" s="8">
        <v>94.4</v>
      </c>
      <c r="C9" s="2" t="s">
        <v>41</v>
      </c>
      <c r="D9" s="7">
        <v>44315</v>
      </c>
      <c r="E9" s="2" t="s">
        <v>23</v>
      </c>
      <c r="F9" s="2" t="s">
        <v>28</v>
      </c>
      <c r="G9" s="2">
        <v>3</v>
      </c>
      <c r="H9" s="9" t="s">
        <v>1957</v>
      </c>
      <c r="I9" s="9" t="s">
        <v>1953</v>
      </c>
      <c r="J9" s="9" t="s">
        <v>1958</v>
      </c>
      <c r="K9" s="9"/>
      <c r="L9" s="2" t="s">
        <v>26</v>
      </c>
      <c r="M9" s="2"/>
      <c r="N9" s="2"/>
    </row>
    <row r="10" spans="1:14" ht="30.75">
      <c r="A10" s="7">
        <v>44345</v>
      </c>
      <c r="B10" s="8">
        <v>94.4</v>
      </c>
      <c r="C10" s="2" t="s">
        <v>44</v>
      </c>
      <c r="D10" s="121">
        <v>44345</v>
      </c>
      <c r="E10" s="2" t="s">
        <v>23</v>
      </c>
      <c r="F10" s="2" t="s">
        <v>28</v>
      </c>
      <c r="G10" s="2">
        <v>4</v>
      </c>
      <c r="H10" s="9" t="s">
        <v>1959</v>
      </c>
      <c r="I10" s="9" t="s">
        <v>1953</v>
      </c>
      <c r="J10" s="9" t="s">
        <v>1960</v>
      </c>
      <c r="K10" s="9"/>
      <c r="L10" s="2" t="s">
        <v>26</v>
      </c>
      <c r="M10" s="2"/>
      <c r="N10" s="2"/>
    </row>
    <row r="11" spans="1:14" ht="30.75">
      <c r="A11" s="7">
        <v>44373</v>
      </c>
      <c r="B11" s="8">
        <v>94.4</v>
      </c>
      <c r="C11" s="2" t="s">
        <v>57</v>
      </c>
      <c r="D11" s="7">
        <v>44373</v>
      </c>
      <c r="E11" s="2" t="s">
        <v>23</v>
      </c>
      <c r="F11" s="2" t="s">
        <v>28</v>
      </c>
      <c r="G11" s="2">
        <v>5</v>
      </c>
      <c r="H11" s="9"/>
      <c r="I11" s="9" t="s">
        <v>1953</v>
      </c>
      <c r="J11" s="9" t="s">
        <v>1961</v>
      </c>
      <c r="K11" s="9"/>
      <c r="L11" s="2" t="s">
        <v>26</v>
      </c>
      <c r="M11" s="2"/>
      <c r="N11" s="2"/>
    </row>
    <row r="12" spans="1:14" ht="30.75">
      <c r="A12" s="7">
        <v>44408</v>
      </c>
      <c r="B12" s="8">
        <v>94.4</v>
      </c>
      <c r="C12" s="2" t="s">
        <v>47</v>
      </c>
      <c r="D12" s="7">
        <v>44408</v>
      </c>
      <c r="E12" s="2" t="s">
        <v>23</v>
      </c>
      <c r="F12" s="2" t="s">
        <v>28</v>
      </c>
      <c r="G12" s="2">
        <v>6</v>
      </c>
      <c r="H12" s="9" t="s">
        <v>1962</v>
      </c>
      <c r="I12" s="9" t="s">
        <v>1953</v>
      </c>
      <c r="J12" s="9" t="s">
        <v>1963</v>
      </c>
      <c r="K12" s="9"/>
      <c r="L12" s="2" t="s">
        <v>26</v>
      </c>
      <c r="M12" s="2"/>
      <c r="N12" s="2"/>
    </row>
    <row r="13" spans="1:14" ht="30.75">
      <c r="A13" s="7">
        <v>44436</v>
      </c>
      <c r="B13" s="8">
        <v>94.4</v>
      </c>
      <c r="C13" s="2" t="s">
        <v>50</v>
      </c>
      <c r="D13" s="7">
        <v>44436</v>
      </c>
      <c r="E13" s="2" t="s">
        <v>23</v>
      </c>
      <c r="F13" s="2" t="s">
        <v>28</v>
      </c>
      <c r="G13" s="2">
        <v>7</v>
      </c>
      <c r="H13" s="9"/>
      <c r="I13" s="9" t="s">
        <v>1953</v>
      </c>
      <c r="J13" s="9" t="s">
        <v>1964</v>
      </c>
      <c r="K13" s="9"/>
      <c r="L13" s="2" t="s">
        <v>26</v>
      </c>
      <c r="M13" s="2"/>
      <c r="N13" s="2"/>
    </row>
    <row r="14" spans="1:14" ht="30.75">
      <c r="A14" s="7">
        <v>44469</v>
      </c>
      <c r="B14" s="8" t="s">
        <v>1858</v>
      </c>
      <c r="C14" s="2" t="s">
        <v>22</v>
      </c>
      <c r="D14" s="7">
        <v>44469</v>
      </c>
      <c r="E14" s="2" t="s">
        <v>23</v>
      </c>
      <c r="F14" s="2" t="s">
        <v>28</v>
      </c>
      <c r="G14" s="2">
        <v>8</v>
      </c>
      <c r="H14" s="9" t="s">
        <v>1965</v>
      </c>
      <c r="I14" s="9" t="s">
        <v>1953</v>
      </c>
      <c r="J14" s="9" t="s">
        <v>1966</v>
      </c>
      <c r="K14" s="9"/>
      <c r="L14" s="2" t="s">
        <v>26</v>
      </c>
      <c r="M14" s="2"/>
      <c r="N14" s="2"/>
    </row>
    <row r="15" spans="1:14" ht="30.75">
      <c r="A15" s="7">
        <v>44499</v>
      </c>
      <c r="B15" s="8" t="s">
        <v>1858</v>
      </c>
      <c r="C15" s="2" t="s">
        <v>54</v>
      </c>
      <c r="D15" s="7">
        <v>44499</v>
      </c>
      <c r="E15" s="2" t="s">
        <v>23</v>
      </c>
      <c r="F15" s="2" t="s">
        <v>28</v>
      </c>
      <c r="G15" s="2">
        <v>9</v>
      </c>
      <c r="H15" s="9" t="s">
        <v>1967</v>
      </c>
      <c r="I15" s="9" t="s">
        <v>1953</v>
      </c>
      <c r="J15" s="9" t="s">
        <v>1968</v>
      </c>
      <c r="K15" s="9"/>
      <c r="L15" s="2" t="s">
        <v>56</v>
      </c>
      <c r="M15" s="2"/>
      <c r="N15" s="2"/>
    </row>
    <row r="16" spans="1:14" ht="30.75">
      <c r="A16" s="7">
        <v>44527</v>
      </c>
      <c r="B16" s="8" t="s">
        <v>1858</v>
      </c>
      <c r="C16" s="2" t="s">
        <v>27</v>
      </c>
      <c r="D16" s="7">
        <v>44527</v>
      </c>
      <c r="E16" s="2" t="s">
        <v>23</v>
      </c>
      <c r="F16" s="2" t="s">
        <v>28</v>
      </c>
      <c r="G16" s="2">
        <v>10</v>
      </c>
      <c r="H16" s="9" t="s">
        <v>1969</v>
      </c>
      <c r="I16" s="9" t="s">
        <v>1953</v>
      </c>
      <c r="J16" s="9" t="s">
        <v>1970</v>
      </c>
      <c r="K16" s="9"/>
      <c r="L16" s="2" t="s">
        <v>56</v>
      </c>
      <c r="M16" s="2"/>
      <c r="N16" s="2"/>
    </row>
    <row r="17" spans="1:14" ht="30.75">
      <c r="A17" s="7">
        <v>44558</v>
      </c>
      <c r="B17" s="8" t="s">
        <v>1858</v>
      </c>
      <c r="C17" s="2" t="s">
        <v>30</v>
      </c>
      <c r="D17" s="7">
        <v>44558</v>
      </c>
      <c r="E17" s="2" t="s">
        <v>23</v>
      </c>
      <c r="F17" s="2" t="s">
        <v>28</v>
      </c>
      <c r="G17" s="2">
        <v>11</v>
      </c>
      <c r="H17" s="9" t="s">
        <v>1971</v>
      </c>
      <c r="I17" s="9" t="s">
        <v>1953</v>
      </c>
      <c r="J17" s="9" t="s">
        <v>1972</v>
      </c>
      <c r="K17" s="9"/>
      <c r="L17" s="2" t="s">
        <v>56</v>
      </c>
      <c r="M17" s="2"/>
      <c r="N17" s="2"/>
    </row>
    <row r="18" spans="1:14" ht="30.75">
      <c r="A18" s="7">
        <v>44592</v>
      </c>
      <c r="B18" s="8" t="s">
        <v>1858</v>
      </c>
      <c r="C18" s="2" t="s">
        <v>32</v>
      </c>
      <c r="D18" s="7">
        <v>44592</v>
      </c>
      <c r="E18" s="2" t="s">
        <v>23</v>
      </c>
      <c r="F18" s="2" t="s">
        <v>28</v>
      </c>
      <c r="G18" s="2">
        <v>12</v>
      </c>
      <c r="H18" s="9" t="s">
        <v>1973</v>
      </c>
      <c r="I18" s="9" t="s">
        <v>1953</v>
      </c>
      <c r="J18" s="9" t="s">
        <v>1974</v>
      </c>
      <c r="K18" s="9"/>
      <c r="L18" s="2" t="s">
        <v>56</v>
      </c>
      <c r="M18" s="2"/>
      <c r="N18" s="2"/>
    </row>
    <row r="19" spans="1:14" ht="30.75">
      <c r="A19" s="7">
        <v>44622</v>
      </c>
      <c r="B19" s="8">
        <v>94.4</v>
      </c>
      <c r="C19" s="2" t="s">
        <v>34</v>
      </c>
      <c r="D19" s="7">
        <v>44622</v>
      </c>
      <c r="E19" s="2" t="s">
        <v>23</v>
      </c>
      <c r="F19" s="2" t="s">
        <v>28</v>
      </c>
      <c r="G19" s="2">
        <v>13</v>
      </c>
      <c r="H19" s="2">
        <v>7185</v>
      </c>
      <c r="I19" s="9" t="s">
        <v>1953</v>
      </c>
      <c r="J19" s="2">
        <v>11179</v>
      </c>
      <c r="K19" s="2"/>
      <c r="L19" s="2" t="s">
        <v>56</v>
      </c>
      <c r="M19" s="2"/>
      <c r="N19" s="2"/>
    </row>
    <row r="20" spans="1:14" ht="30.75">
      <c r="A20" s="7">
        <v>44650</v>
      </c>
      <c r="B20" s="8">
        <v>94.4</v>
      </c>
      <c r="C20" s="2" t="s">
        <v>38</v>
      </c>
      <c r="D20" s="7">
        <v>44650</v>
      </c>
      <c r="E20" s="2" t="s">
        <v>23</v>
      </c>
      <c r="F20" s="2" t="s">
        <v>28</v>
      </c>
      <c r="G20" s="2">
        <v>14</v>
      </c>
      <c r="H20" s="2">
        <v>7185</v>
      </c>
      <c r="I20" s="2"/>
      <c r="J20" s="2">
        <v>12004</v>
      </c>
      <c r="K20" s="2"/>
      <c r="L20" s="2" t="s">
        <v>56</v>
      </c>
      <c r="M20" s="2"/>
      <c r="N20" s="2"/>
    </row>
    <row r="21" spans="1:14" ht="30.75">
      <c r="A21" s="2" t="s">
        <v>1975</v>
      </c>
      <c r="B21" s="8">
        <v>94.4</v>
      </c>
      <c r="C21" s="2" t="s">
        <v>41</v>
      </c>
      <c r="D21" s="7">
        <v>44681</v>
      </c>
      <c r="E21" s="2" t="s">
        <v>23</v>
      </c>
      <c r="F21" s="2" t="s">
        <v>28</v>
      </c>
      <c r="G21" s="2">
        <v>15</v>
      </c>
      <c r="H21" s="2">
        <v>7185</v>
      </c>
      <c r="I21" s="2"/>
      <c r="J21" s="2">
        <v>12876</v>
      </c>
      <c r="K21" s="2"/>
      <c r="L21" s="2" t="s">
        <v>56</v>
      </c>
      <c r="M21" s="2"/>
      <c r="N21" s="2"/>
    </row>
    <row r="22" spans="1:14" ht="30.75">
      <c r="A22" s="7">
        <v>44712</v>
      </c>
      <c r="B22" s="8">
        <v>94.4</v>
      </c>
      <c r="C22" s="2" t="s">
        <v>44</v>
      </c>
      <c r="D22" s="7">
        <v>44712</v>
      </c>
      <c r="E22" s="2" t="s">
        <v>23</v>
      </c>
      <c r="F22" s="2" t="s">
        <v>28</v>
      </c>
      <c r="G22" s="2">
        <v>16</v>
      </c>
      <c r="H22" s="2">
        <v>8559</v>
      </c>
      <c r="I22" s="2"/>
      <c r="J22" s="2">
        <v>13995</v>
      </c>
      <c r="K22" s="2"/>
      <c r="L22" s="2" t="s">
        <v>26</v>
      </c>
      <c r="M22" s="2"/>
      <c r="N22" s="2"/>
    </row>
    <row r="23" spans="1:14" ht="30.75">
      <c r="A23" s="7">
        <v>44743</v>
      </c>
      <c r="B23" s="8">
        <v>94.4</v>
      </c>
      <c r="C23" s="2" t="s">
        <v>47</v>
      </c>
      <c r="D23" s="7">
        <v>44743</v>
      </c>
      <c r="E23" s="2" t="s">
        <v>23</v>
      </c>
      <c r="F23" s="2" t="s">
        <v>28</v>
      </c>
      <c r="G23" s="2"/>
      <c r="H23" s="2">
        <v>8678</v>
      </c>
      <c r="I23" s="2"/>
      <c r="J23" s="2">
        <v>14833</v>
      </c>
      <c r="K23" s="2"/>
      <c r="L23" s="2" t="s">
        <v>26</v>
      </c>
      <c r="M23" s="2"/>
      <c r="N23" s="2"/>
    </row>
    <row r="24" spans="1:14" ht="30.75">
      <c r="A24" s="7">
        <v>44772</v>
      </c>
      <c r="B24" s="8">
        <v>94.4</v>
      </c>
      <c r="C24" s="7" t="s">
        <v>47</v>
      </c>
      <c r="D24" s="7">
        <v>44772</v>
      </c>
      <c r="E24" s="2" t="s">
        <v>23</v>
      </c>
      <c r="F24" s="2" t="s">
        <v>28</v>
      </c>
      <c r="G24" s="2">
        <v>18</v>
      </c>
      <c r="H24" s="2">
        <v>9853</v>
      </c>
      <c r="I24" s="2"/>
      <c r="J24" s="2">
        <v>15736</v>
      </c>
      <c r="K24" s="2"/>
      <c r="L24" s="2" t="s">
        <v>26</v>
      </c>
      <c r="M24" s="2"/>
      <c r="N24" s="2"/>
    </row>
    <row r="25" spans="1:14" ht="30.75">
      <c r="A25" s="7">
        <v>44806</v>
      </c>
      <c r="B25" s="8">
        <v>94.4</v>
      </c>
      <c r="C25" s="7" t="s">
        <v>50</v>
      </c>
      <c r="D25" s="7">
        <v>44806</v>
      </c>
      <c r="E25" s="2" t="s">
        <v>23</v>
      </c>
      <c r="F25" s="2" t="s">
        <v>28</v>
      </c>
      <c r="G25" s="2">
        <v>19</v>
      </c>
      <c r="H25" s="2">
        <v>10368</v>
      </c>
      <c r="I25" s="2"/>
      <c r="J25" s="2">
        <v>16772</v>
      </c>
      <c r="K25" s="2"/>
      <c r="L25" s="2" t="s">
        <v>26</v>
      </c>
      <c r="M25" s="2"/>
      <c r="N25" s="2"/>
    </row>
    <row r="26" spans="1:14" ht="30.75">
      <c r="A26" s="2" t="s">
        <v>58</v>
      </c>
      <c r="B26" s="8">
        <v>94.4</v>
      </c>
      <c r="C26" s="7" t="s">
        <v>22</v>
      </c>
      <c r="D26" s="7">
        <v>44834</v>
      </c>
      <c r="E26" s="2" t="s">
        <v>23</v>
      </c>
      <c r="F26" s="2" t="s">
        <v>28</v>
      </c>
      <c r="G26" s="2">
        <v>20</v>
      </c>
      <c r="H26" s="2">
        <v>11209</v>
      </c>
      <c r="I26" s="2"/>
      <c r="J26" s="2">
        <v>17697</v>
      </c>
      <c r="K26" s="2"/>
      <c r="L26" s="2" t="s">
        <v>26</v>
      </c>
      <c r="M26" s="2"/>
      <c r="N26" s="2"/>
    </row>
    <row r="27" spans="1:14" ht="30.75">
      <c r="A27" s="2" t="s">
        <v>59</v>
      </c>
      <c r="B27" s="8">
        <v>94.4</v>
      </c>
      <c r="C27" s="7" t="s">
        <v>54</v>
      </c>
      <c r="D27" s="2" t="s">
        <v>60</v>
      </c>
      <c r="E27" s="2" t="s">
        <v>23</v>
      </c>
      <c r="F27" s="2" t="s">
        <v>28</v>
      </c>
      <c r="G27" s="2">
        <v>21</v>
      </c>
      <c r="H27" s="2">
        <v>11666</v>
      </c>
      <c r="I27" s="2"/>
      <c r="J27" s="2">
        <v>18232</v>
      </c>
      <c r="K27" s="2"/>
      <c r="L27" s="2" t="s">
        <v>26</v>
      </c>
      <c r="M27" s="2"/>
      <c r="N27" s="2"/>
    </row>
    <row r="28" spans="1:14" ht="30.75">
      <c r="A28" s="2" t="s">
        <v>180</v>
      </c>
      <c r="B28" s="8">
        <v>94.4</v>
      </c>
      <c r="C28" s="7" t="s">
        <v>27</v>
      </c>
      <c r="D28" s="2" t="s">
        <v>180</v>
      </c>
      <c r="E28" s="2" t="s">
        <v>23</v>
      </c>
      <c r="F28" s="2" t="s">
        <v>28</v>
      </c>
      <c r="G28" s="2">
        <v>22</v>
      </c>
      <c r="H28" s="2">
        <v>12333</v>
      </c>
      <c r="I28" s="2"/>
      <c r="J28" s="2"/>
      <c r="K28" s="2"/>
      <c r="L28" s="2" t="s">
        <v>26</v>
      </c>
      <c r="M28" s="2"/>
      <c r="N28" s="2"/>
    </row>
    <row r="29" spans="1:14" ht="30.75">
      <c r="A29" s="2" t="s">
        <v>62</v>
      </c>
      <c r="B29" s="8">
        <v>94.4</v>
      </c>
      <c r="C29" s="7" t="s">
        <v>30</v>
      </c>
      <c r="D29" s="2" t="s">
        <v>62</v>
      </c>
      <c r="E29" s="2" t="s">
        <v>23</v>
      </c>
      <c r="F29" s="2" t="s">
        <v>28</v>
      </c>
      <c r="G29" s="2">
        <v>23</v>
      </c>
      <c r="H29" s="2">
        <v>13132</v>
      </c>
      <c r="I29" s="2"/>
      <c r="J29" s="2">
        <v>20442</v>
      </c>
      <c r="K29" s="2"/>
      <c r="L29" s="2" t="s">
        <v>26</v>
      </c>
      <c r="M29" s="2"/>
      <c r="N29" s="2"/>
    </row>
    <row r="30" spans="1:14" ht="30.75">
      <c r="A30" s="2" t="s">
        <v>63</v>
      </c>
      <c r="B30" s="8">
        <v>94.4</v>
      </c>
      <c r="C30" s="7" t="s">
        <v>32</v>
      </c>
      <c r="D30" s="2" t="s">
        <v>64</v>
      </c>
      <c r="E30" s="2" t="s">
        <v>23</v>
      </c>
      <c r="F30" s="2" t="s">
        <v>28</v>
      </c>
      <c r="G30" s="2">
        <v>24</v>
      </c>
      <c r="H30" s="2">
        <v>14128</v>
      </c>
      <c r="I30" s="2"/>
      <c r="J30" s="2">
        <v>21278</v>
      </c>
      <c r="K30" s="2"/>
      <c r="L30" s="2" t="s">
        <v>26</v>
      </c>
      <c r="M30" s="2"/>
      <c r="N30" s="2"/>
    </row>
    <row r="31" spans="1:14" ht="30.75">
      <c r="A31" s="2" t="s">
        <v>65</v>
      </c>
      <c r="B31" s="8">
        <v>94.4</v>
      </c>
      <c r="C31" s="7" t="s">
        <v>34</v>
      </c>
      <c r="D31" s="2" t="s">
        <v>66</v>
      </c>
      <c r="E31" s="2" t="s">
        <v>23</v>
      </c>
      <c r="F31" s="2" t="s">
        <v>28</v>
      </c>
      <c r="G31" s="2">
        <v>25</v>
      </c>
      <c r="H31" s="2">
        <v>14721</v>
      </c>
      <c r="I31" s="2"/>
      <c r="J31" s="2">
        <v>21802</v>
      </c>
      <c r="K31" s="2"/>
      <c r="L31" s="2" t="s">
        <v>26</v>
      </c>
      <c r="M31" s="2"/>
      <c r="N31" s="2"/>
    </row>
    <row r="32" spans="1:14" ht="30.75">
      <c r="A32" s="2" t="s">
        <v>67</v>
      </c>
      <c r="B32" s="8">
        <v>94.4</v>
      </c>
      <c r="C32" s="7" t="s">
        <v>38</v>
      </c>
      <c r="D32" s="2" t="s">
        <v>68</v>
      </c>
      <c r="E32" s="2" t="s">
        <v>23</v>
      </c>
      <c r="F32" s="2" t="s">
        <v>28</v>
      </c>
      <c r="G32" s="2">
        <v>26</v>
      </c>
      <c r="H32" s="2">
        <v>15725</v>
      </c>
      <c r="I32" s="2"/>
      <c r="J32" s="2">
        <v>22992</v>
      </c>
      <c r="K32" s="2"/>
      <c r="L32" s="2" t="s">
        <v>26</v>
      </c>
      <c r="M32" s="2"/>
      <c r="N32" s="2"/>
    </row>
    <row r="33" spans="1:14" ht="30.75">
      <c r="A33" s="2" t="s">
        <v>69</v>
      </c>
      <c r="B33" s="8">
        <v>94.4</v>
      </c>
      <c r="C33" s="2" t="s">
        <v>41</v>
      </c>
      <c r="D33" s="2" t="s">
        <v>69</v>
      </c>
      <c r="E33" s="2" t="s">
        <v>23</v>
      </c>
      <c r="F33" s="2" t="s">
        <v>28</v>
      </c>
      <c r="G33" s="2">
        <v>27</v>
      </c>
      <c r="H33" s="2">
        <v>15865</v>
      </c>
      <c r="I33" s="2"/>
      <c r="J33" s="2"/>
      <c r="K33" s="2"/>
      <c r="L33" s="2" t="s">
        <v>26</v>
      </c>
      <c r="M33" s="2"/>
      <c r="N33" s="2"/>
    </row>
    <row r="34" spans="1:14" ht="30.75">
      <c r="A34" s="2" t="s">
        <v>307</v>
      </c>
      <c r="B34" s="8">
        <v>94.4</v>
      </c>
      <c r="C34" s="2" t="s">
        <v>44</v>
      </c>
      <c r="D34" s="2" t="s">
        <v>70</v>
      </c>
      <c r="E34" s="2" t="s">
        <v>23</v>
      </c>
      <c r="F34" s="2" t="s">
        <v>28</v>
      </c>
      <c r="G34" s="2">
        <v>28</v>
      </c>
      <c r="H34" s="2">
        <v>16585</v>
      </c>
      <c r="I34" s="2"/>
      <c r="J34" s="2">
        <v>24940</v>
      </c>
      <c r="K34" s="2"/>
      <c r="L34" s="2" t="s">
        <v>26</v>
      </c>
      <c r="M34" s="2">
        <v>3</v>
      </c>
      <c r="N34" s="2"/>
    </row>
    <row r="35" spans="1:14" ht="30.75">
      <c r="A35" s="7">
        <v>45104</v>
      </c>
      <c r="B35" s="8">
        <v>94.4</v>
      </c>
      <c r="C35" s="2" t="s">
        <v>57</v>
      </c>
      <c r="D35" s="7">
        <v>45104</v>
      </c>
      <c r="E35" s="2" t="s">
        <v>23</v>
      </c>
      <c r="F35" s="2" t="s">
        <v>28</v>
      </c>
      <c r="G35" s="2">
        <v>29</v>
      </c>
      <c r="H35" s="2">
        <v>17153</v>
      </c>
      <c r="I35" s="2"/>
      <c r="J35" s="2">
        <v>25648</v>
      </c>
      <c r="K35" s="2"/>
      <c r="L35" s="2" t="s">
        <v>26</v>
      </c>
      <c r="M35" s="2">
        <v>3</v>
      </c>
      <c r="N35" s="2"/>
    </row>
    <row r="36" spans="1:14" ht="30.75">
      <c r="A36" s="7">
        <v>45134</v>
      </c>
      <c r="B36" s="8">
        <v>94.4</v>
      </c>
      <c r="C36" s="2" t="s">
        <v>47</v>
      </c>
      <c r="D36" s="7">
        <v>45134</v>
      </c>
      <c r="E36" s="2" t="s">
        <v>23</v>
      </c>
      <c r="F36" s="2" t="s">
        <v>28</v>
      </c>
      <c r="G36" s="2">
        <v>30</v>
      </c>
      <c r="H36" s="2">
        <v>17973</v>
      </c>
      <c r="I36" s="2"/>
      <c r="J36" s="2">
        <v>26625</v>
      </c>
      <c r="K36" s="2"/>
      <c r="L36" s="2" t="s">
        <v>26</v>
      </c>
      <c r="M36" s="2">
        <v>3.2</v>
      </c>
      <c r="N36" s="2"/>
    </row>
    <row r="37" spans="1:14" ht="30.75">
      <c r="A37" s="7">
        <v>45166</v>
      </c>
      <c r="B37" s="8">
        <v>94.4</v>
      </c>
      <c r="C37" s="2" t="s">
        <v>50</v>
      </c>
      <c r="D37" s="7">
        <v>45166</v>
      </c>
      <c r="E37" s="2" t="s">
        <v>23</v>
      </c>
      <c r="F37" s="2" t="s">
        <v>28</v>
      </c>
      <c r="G37" s="2">
        <v>31</v>
      </c>
      <c r="H37" s="2" t="s">
        <v>1976</v>
      </c>
      <c r="I37" s="2"/>
      <c r="J37" s="2">
        <v>27940</v>
      </c>
      <c r="K37" s="2"/>
      <c r="L37" s="2" t="s">
        <v>26</v>
      </c>
      <c r="M37" s="2">
        <v>2.2000000000000002</v>
      </c>
      <c r="N37" s="2"/>
    </row>
    <row r="38" spans="1:14" ht="30.75">
      <c r="A38" s="7">
        <v>45198</v>
      </c>
      <c r="B38" s="8">
        <v>94.4</v>
      </c>
      <c r="C38" s="2" t="s">
        <v>22</v>
      </c>
      <c r="D38" s="7">
        <v>45198</v>
      </c>
      <c r="E38" s="2" t="s">
        <v>23</v>
      </c>
      <c r="F38" s="2" t="s">
        <v>28</v>
      </c>
      <c r="G38" s="2">
        <v>32</v>
      </c>
      <c r="H38" s="2">
        <v>19418</v>
      </c>
      <c r="I38" s="2"/>
      <c r="J38" s="2">
        <v>28907</v>
      </c>
      <c r="K38" s="2"/>
      <c r="L38" s="2" t="s">
        <v>26</v>
      </c>
      <c r="M38" s="2">
        <v>3.2</v>
      </c>
      <c r="N38" s="2"/>
    </row>
    <row r="39" spans="1:14" ht="30.75">
      <c r="A39" s="7">
        <v>45230</v>
      </c>
      <c r="B39" s="8">
        <v>94.4</v>
      </c>
      <c r="C39" s="2" t="s">
        <v>54</v>
      </c>
      <c r="D39" s="7">
        <v>45230</v>
      </c>
      <c r="E39" s="2" t="s">
        <v>23</v>
      </c>
      <c r="F39" s="2" t="s">
        <v>28</v>
      </c>
      <c r="G39" s="2">
        <v>33</v>
      </c>
      <c r="H39" s="2">
        <v>20158</v>
      </c>
      <c r="I39" s="2"/>
      <c r="J39" s="2">
        <v>29760</v>
      </c>
      <c r="K39" s="2">
        <v>31860</v>
      </c>
      <c r="L39" s="2" t="s">
        <v>26</v>
      </c>
      <c r="M39" s="2">
        <v>3.2</v>
      </c>
      <c r="N39" s="2"/>
    </row>
    <row r="40" spans="1:14" ht="30.75">
      <c r="A40" s="7">
        <v>45260</v>
      </c>
      <c r="B40" s="8">
        <v>94.4</v>
      </c>
      <c r="C40" s="2" t="s">
        <v>27</v>
      </c>
      <c r="D40" s="7">
        <v>45260</v>
      </c>
      <c r="E40" s="2" t="s">
        <v>23</v>
      </c>
      <c r="F40" s="2" t="s">
        <v>28</v>
      </c>
      <c r="G40" s="2">
        <v>34</v>
      </c>
      <c r="H40" s="2">
        <v>21067</v>
      </c>
      <c r="I40" s="2"/>
      <c r="J40" s="2">
        <v>30697</v>
      </c>
      <c r="K40" s="2">
        <v>32805</v>
      </c>
      <c r="L40" s="2" t="s">
        <v>26</v>
      </c>
      <c r="M40" s="2">
        <v>2.2000000000000002</v>
      </c>
      <c r="N40" s="2"/>
    </row>
    <row r="41" spans="1:14" ht="30.75">
      <c r="A41" s="7">
        <v>45289</v>
      </c>
      <c r="B41" s="8">
        <v>94.4</v>
      </c>
      <c r="C41" s="2" t="s">
        <v>30</v>
      </c>
      <c r="D41" s="7">
        <v>45289</v>
      </c>
      <c r="E41" s="2" t="s">
        <v>23</v>
      </c>
      <c r="F41" s="2" t="s">
        <v>28</v>
      </c>
      <c r="G41" s="2">
        <v>35</v>
      </c>
      <c r="H41" s="2">
        <v>21067</v>
      </c>
      <c r="I41" s="2"/>
      <c r="J41" s="2">
        <v>31526</v>
      </c>
      <c r="K41" s="2">
        <v>33665</v>
      </c>
      <c r="L41" s="2" t="s">
        <v>26</v>
      </c>
      <c r="M41" s="2">
        <v>2.2000000000000002</v>
      </c>
      <c r="N41" s="2"/>
    </row>
    <row r="42" spans="1:14" ht="30.75">
      <c r="A42" s="7">
        <v>45322</v>
      </c>
      <c r="B42" s="8">
        <v>94.4</v>
      </c>
      <c r="C42" s="2" t="s">
        <v>32</v>
      </c>
      <c r="D42" s="7">
        <v>45322</v>
      </c>
      <c r="E42" s="2" t="s">
        <v>23</v>
      </c>
      <c r="F42" s="2" t="s">
        <v>28</v>
      </c>
      <c r="G42" s="2">
        <v>36</v>
      </c>
      <c r="H42" s="2">
        <v>22194</v>
      </c>
      <c r="I42" s="2"/>
      <c r="J42" s="2">
        <v>32490</v>
      </c>
      <c r="K42" s="2">
        <v>34565</v>
      </c>
      <c r="L42" s="2" t="s">
        <v>26</v>
      </c>
      <c r="M42" s="2">
        <v>3.2</v>
      </c>
      <c r="N42" s="2"/>
    </row>
    <row r="43" spans="1:14" ht="30.75">
      <c r="A43" s="7">
        <v>45351</v>
      </c>
      <c r="B43" s="8">
        <v>94.4</v>
      </c>
      <c r="C43" s="2" t="s">
        <v>34</v>
      </c>
      <c r="D43" s="7">
        <v>45351</v>
      </c>
      <c r="E43" s="2" t="s">
        <v>23</v>
      </c>
      <c r="F43" s="2" t="s">
        <v>28</v>
      </c>
      <c r="G43" s="2">
        <v>37</v>
      </c>
      <c r="H43" s="2">
        <v>22853</v>
      </c>
      <c r="I43" s="2"/>
      <c r="J43" s="2">
        <v>33371</v>
      </c>
      <c r="K43" s="2">
        <v>35462</v>
      </c>
      <c r="L43" s="2" t="s">
        <v>26</v>
      </c>
      <c r="M43" s="2">
        <v>3.2</v>
      </c>
      <c r="N43" s="2"/>
    </row>
    <row r="44" spans="1:14" ht="30.75">
      <c r="A44" s="7">
        <v>45377</v>
      </c>
      <c r="B44" s="8">
        <v>94.4</v>
      </c>
      <c r="C44" s="2" t="s">
        <v>38</v>
      </c>
      <c r="D44" s="7">
        <v>45377</v>
      </c>
      <c r="E44" s="2" t="s">
        <v>23</v>
      </c>
      <c r="F44" s="2" t="s">
        <v>28</v>
      </c>
      <c r="G44" s="2">
        <v>38</v>
      </c>
      <c r="H44" s="2">
        <v>23456</v>
      </c>
      <c r="I44" s="2"/>
      <c r="J44" s="2">
        <v>34359</v>
      </c>
      <c r="K44" s="2">
        <v>36295</v>
      </c>
      <c r="L44" s="2" t="s">
        <v>26</v>
      </c>
      <c r="M44" s="2">
        <v>3.2</v>
      </c>
      <c r="N44" s="2"/>
    </row>
    <row r="45" spans="1:14" ht="30.75">
      <c r="A45" s="7">
        <v>45412</v>
      </c>
      <c r="B45" s="8">
        <v>94.4</v>
      </c>
      <c r="C45" s="2" t="s">
        <v>41</v>
      </c>
      <c r="D45" s="7">
        <v>45412</v>
      </c>
      <c r="E45" s="2" t="s">
        <v>23</v>
      </c>
      <c r="F45" s="2" t="s">
        <v>28</v>
      </c>
      <c r="G45" s="2">
        <v>39</v>
      </c>
      <c r="H45" s="2">
        <v>24333</v>
      </c>
      <c r="I45" s="2"/>
      <c r="J45" s="2">
        <v>35362</v>
      </c>
      <c r="K45" s="2">
        <v>37339</v>
      </c>
      <c r="L45" s="2" t="s">
        <v>26</v>
      </c>
      <c r="M45" s="2">
        <v>8.3000000000000007</v>
      </c>
      <c r="N45" s="2"/>
    </row>
    <row r="46" spans="1:14" ht="30.75">
      <c r="A46" s="7">
        <v>45443</v>
      </c>
      <c r="B46" s="8">
        <v>94.4</v>
      </c>
      <c r="C46" s="2" t="s">
        <v>44</v>
      </c>
      <c r="D46" s="7">
        <v>45443</v>
      </c>
      <c r="E46" s="2" t="s">
        <v>23</v>
      </c>
      <c r="F46" s="2" t="s">
        <v>28</v>
      </c>
      <c r="G46" s="2">
        <v>40</v>
      </c>
      <c r="H46" s="2">
        <v>25073</v>
      </c>
      <c r="I46" s="2"/>
      <c r="J46" s="2">
        <v>36266</v>
      </c>
      <c r="K46" s="2">
        <v>38278</v>
      </c>
      <c r="L46" s="2" t="s">
        <v>26</v>
      </c>
      <c r="M46" s="2">
        <v>3.8</v>
      </c>
      <c r="N46" s="2"/>
    </row>
    <row r="47" spans="1:14" ht="30.75">
      <c r="A47" s="7">
        <v>45471</v>
      </c>
      <c r="B47" s="8">
        <v>94.4</v>
      </c>
      <c r="C47" s="2" t="s">
        <v>57</v>
      </c>
      <c r="D47" s="7">
        <v>45471</v>
      </c>
      <c r="E47" s="2" t="s">
        <v>23</v>
      </c>
      <c r="F47" s="2" t="s">
        <v>28</v>
      </c>
      <c r="G47" s="2">
        <v>41</v>
      </c>
      <c r="H47" s="2">
        <v>25827</v>
      </c>
      <c r="I47" s="2"/>
      <c r="J47" s="2">
        <v>37190</v>
      </c>
      <c r="K47" s="2">
        <v>38984</v>
      </c>
      <c r="L47" s="2" t="s">
        <v>26</v>
      </c>
      <c r="M47" s="2">
        <v>2.8</v>
      </c>
      <c r="N47" s="2"/>
    </row>
    <row r="48" spans="1:14" ht="30.75">
      <c r="A48" s="7">
        <v>45504</v>
      </c>
      <c r="B48" s="8">
        <v>94.4</v>
      </c>
      <c r="C48" s="2" t="s">
        <v>47</v>
      </c>
      <c r="D48" s="7">
        <v>45504</v>
      </c>
      <c r="E48" s="2" t="s">
        <v>23</v>
      </c>
      <c r="F48" s="2" t="s">
        <v>28</v>
      </c>
      <c r="G48" s="2">
        <v>42</v>
      </c>
      <c r="H48" s="2">
        <v>26602</v>
      </c>
      <c r="I48" s="2"/>
      <c r="J48" s="2">
        <v>38172</v>
      </c>
      <c r="K48" s="2">
        <v>40305</v>
      </c>
      <c r="L48" s="2" t="s">
        <v>26</v>
      </c>
      <c r="M48" s="2">
        <v>3.2</v>
      </c>
      <c r="N48" s="2"/>
    </row>
    <row r="49" spans="1:19" ht="30.75">
      <c r="A49" s="7">
        <v>45533</v>
      </c>
      <c r="B49" s="8">
        <v>94.4</v>
      </c>
      <c r="C49" s="2" t="s">
        <v>50</v>
      </c>
      <c r="D49" s="7">
        <v>45533</v>
      </c>
      <c r="E49" s="2" t="s">
        <v>23</v>
      </c>
      <c r="F49" s="2" t="s">
        <v>28</v>
      </c>
      <c r="G49" s="2">
        <v>43</v>
      </c>
      <c r="H49" s="2">
        <v>27479</v>
      </c>
      <c r="I49" s="2"/>
      <c r="J49" s="2">
        <v>39213</v>
      </c>
      <c r="K49" s="2">
        <v>41355</v>
      </c>
      <c r="L49" s="2" t="s">
        <v>26</v>
      </c>
      <c r="M49" s="2">
        <v>10</v>
      </c>
      <c r="N49" s="2"/>
    </row>
    <row r="50" spans="1:19" ht="30.75">
      <c r="A50" s="7">
        <v>45563</v>
      </c>
      <c r="B50" s="8">
        <v>94.4</v>
      </c>
      <c r="C50" s="2" t="s">
        <v>22</v>
      </c>
      <c r="D50" s="7">
        <v>45563</v>
      </c>
      <c r="E50" s="2" t="s">
        <v>23</v>
      </c>
      <c r="F50" s="2" t="s">
        <v>28</v>
      </c>
      <c r="G50" s="2">
        <v>44</v>
      </c>
      <c r="H50" s="2">
        <v>28282</v>
      </c>
      <c r="I50" s="2"/>
      <c r="J50" s="2">
        <v>40230</v>
      </c>
      <c r="K50" s="2">
        <v>42411</v>
      </c>
      <c r="L50" s="2" t="s">
        <v>26</v>
      </c>
      <c r="M50" s="2">
        <v>5</v>
      </c>
      <c r="N50" s="2"/>
      <c r="S50" t="s">
        <v>36</v>
      </c>
    </row>
    <row r="51" spans="1:19" ht="30.75">
      <c r="A51" s="7">
        <v>45596</v>
      </c>
      <c r="B51" s="8">
        <v>94.4</v>
      </c>
      <c r="C51" s="2" t="s">
        <v>54</v>
      </c>
      <c r="D51" s="7">
        <v>45596</v>
      </c>
      <c r="E51" s="2" t="s">
        <v>23</v>
      </c>
      <c r="F51" s="2"/>
      <c r="G51" s="2">
        <v>45</v>
      </c>
      <c r="H51" s="310">
        <v>29098</v>
      </c>
      <c r="I51" s="2"/>
      <c r="J51" s="2">
        <v>41311</v>
      </c>
      <c r="K51" s="2">
        <v>43465</v>
      </c>
      <c r="L51" s="2" t="s">
        <v>26</v>
      </c>
      <c r="M51" s="2">
        <v>7.5</v>
      </c>
      <c r="N51" s="2"/>
    </row>
    <row r="52" spans="1:19" ht="30.75">
      <c r="A52" s="7">
        <v>45258</v>
      </c>
      <c r="B52" s="8">
        <v>94.4</v>
      </c>
      <c r="C52" s="2" t="s">
        <v>27</v>
      </c>
      <c r="D52" s="2" t="s">
        <v>1977</v>
      </c>
      <c r="E52" s="2" t="s">
        <v>23</v>
      </c>
      <c r="F52" s="2" t="s">
        <v>28</v>
      </c>
      <c r="G52" s="2">
        <v>46</v>
      </c>
      <c r="H52" s="2">
        <v>29852</v>
      </c>
      <c r="I52" s="2"/>
      <c r="J52" s="2">
        <v>42247</v>
      </c>
      <c r="K52" s="2">
        <v>44292</v>
      </c>
      <c r="L52" s="2" t="s">
        <v>26</v>
      </c>
      <c r="M52" s="2">
        <v>5.5</v>
      </c>
      <c r="N52" s="2"/>
    </row>
    <row r="53" spans="1:19" ht="30.75">
      <c r="A53" s="7">
        <v>45654</v>
      </c>
      <c r="B53" s="8">
        <v>94.4</v>
      </c>
      <c r="C53" s="2" t="s">
        <v>30</v>
      </c>
      <c r="D53" s="7">
        <v>45654</v>
      </c>
      <c r="E53" s="2" t="s">
        <v>23</v>
      </c>
      <c r="F53" s="2" t="s">
        <v>28</v>
      </c>
      <c r="G53" s="2">
        <v>47</v>
      </c>
      <c r="H53" s="2">
        <v>30329</v>
      </c>
      <c r="I53" s="2"/>
      <c r="J53" s="2">
        <v>43220</v>
      </c>
      <c r="K53" s="2">
        <v>45448</v>
      </c>
      <c r="L53" s="2" t="s">
        <v>26</v>
      </c>
      <c r="M53" s="2">
        <v>5.5</v>
      </c>
      <c r="N53" s="2"/>
    </row>
    <row r="54" spans="1:19" ht="30.75">
      <c r="A54" s="7">
        <v>45321</v>
      </c>
      <c r="B54" s="8">
        <v>94.4</v>
      </c>
      <c r="C54" s="2" t="s">
        <v>32</v>
      </c>
      <c r="D54" s="2" t="s">
        <v>274</v>
      </c>
      <c r="E54" s="2" t="s">
        <v>23</v>
      </c>
      <c r="F54" s="2" t="s">
        <v>28</v>
      </c>
      <c r="G54" s="2">
        <v>48</v>
      </c>
      <c r="H54" s="2">
        <v>31514</v>
      </c>
      <c r="I54" s="2"/>
      <c r="J54" s="2">
        <v>44424</v>
      </c>
      <c r="K54" s="2"/>
      <c r="L54" s="2" t="s">
        <v>26</v>
      </c>
      <c r="M54" s="2">
        <v>5.3</v>
      </c>
      <c r="N54" s="2"/>
    </row>
    <row r="55" spans="1:19" ht="30.75">
      <c r="A55" s="7">
        <v>45716</v>
      </c>
      <c r="B55" s="8">
        <v>94.4</v>
      </c>
      <c r="C55" s="2" t="s">
        <v>34</v>
      </c>
      <c r="D55" s="7">
        <v>45716</v>
      </c>
      <c r="E55" s="2" t="s">
        <v>23</v>
      </c>
      <c r="F55" s="2" t="s">
        <v>28</v>
      </c>
      <c r="G55" s="2">
        <v>49</v>
      </c>
      <c r="H55" s="2">
        <v>32380</v>
      </c>
      <c r="I55" s="100">
        <v>948</v>
      </c>
      <c r="J55" s="2">
        <v>45470</v>
      </c>
      <c r="K55" s="2"/>
      <c r="L55" s="2" t="s">
        <v>26</v>
      </c>
      <c r="M55" s="2">
        <v>3.4</v>
      </c>
      <c r="N55" s="100" t="s">
        <v>76</v>
      </c>
    </row>
    <row r="56" spans="1:19" ht="30.75">
      <c r="A56" s="7">
        <v>45744</v>
      </c>
      <c r="B56" s="8">
        <v>94.4</v>
      </c>
      <c r="C56" s="2" t="s">
        <v>38</v>
      </c>
      <c r="D56" s="7">
        <v>45744</v>
      </c>
      <c r="E56" s="2" t="s">
        <v>23</v>
      </c>
      <c r="F56" s="2" t="s">
        <v>28</v>
      </c>
      <c r="G56" s="2">
        <v>50</v>
      </c>
      <c r="H56" s="2">
        <v>33221</v>
      </c>
      <c r="I56" s="2"/>
      <c r="J56" s="2">
        <v>46578</v>
      </c>
      <c r="K56" s="2"/>
      <c r="L56" s="2" t="s">
        <v>26</v>
      </c>
      <c r="M56" s="2">
        <v>2.78</v>
      </c>
      <c r="N56" s="2"/>
    </row>
    <row r="57" spans="1:19" ht="30.75">
      <c r="A57" s="7">
        <v>45776</v>
      </c>
      <c r="B57" s="8">
        <v>94.4</v>
      </c>
      <c r="C57" s="2" t="s">
        <v>41</v>
      </c>
      <c r="D57" s="7">
        <v>45776</v>
      </c>
      <c r="E57" s="2" t="s">
        <v>23</v>
      </c>
      <c r="F57" s="2" t="s">
        <v>28</v>
      </c>
      <c r="G57" s="2">
        <v>51</v>
      </c>
      <c r="H57" s="2">
        <v>34027</v>
      </c>
      <c r="I57" s="2"/>
      <c r="J57" s="2">
        <v>47627</v>
      </c>
      <c r="K57" s="2"/>
      <c r="L57" s="2" t="s">
        <v>26</v>
      </c>
      <c r="M57" s="2">
        <v>4.5</v>
      </c>
      <c r="N57" s="2"/>
    </row>
    <row r="58" spans="1:19" ht="30.75">
      <c r="A58" s="7">
        <v>45805</v>
      </c>
      <c r="B58" s="8">
        <v>94.4</v>
      </c>
      <c r="C58" s="2" t="s">
        <v>44</v>
      </c>
      <c r="D58" s="7">
        <v>45805</v>
      </c>
      <c r="E58" s="2" t="s">
        <v>23</v>
      </c>
      <c r="F58" s="2" t="s">
        <v>28</v>
      </c>
      <c r="G58" s="2">
        <v>52</v>
      </c>
      <c r="H58" s="2">
        <v>34860</v>
      </c>
      <c r="I58" s="2"/>
      <c r="J58" s="2">
        <v>50008</v>
      </c>
      <c r="K58" s="2"/>
      <c r="L58" s="2" t="s">
        <v>26</v>
      </c>
      <c r="M58" s="2">
        <v>6.5</v>
      </c>
      <c r="N58" s="2"/>
    </row>
    <row r="59" spans="1:19" ht="30.75">
      <c r="A59" s="7">
        <v>45836</v>
      </c>
      <c r="B59" s="8">
        <v>94.4</v>
      </c>
      <c r="C59" s="2" t="s">
        <v>57</v>
      </c>
      <c r="D59" s="2" t="s">
        <v>1978</v>
      </c>
      <c r="E59" s="2" t="s">
        <v>23</v>
      </c>
      <c r="F59" s="2" t="s">
        <v>28</v>
      </c>
      <c r="G59" s="2">
        <v>53</v>
      </c>
      <c r="H59" s="2">
        <v>35704</v>
      </c>
      <c r="I59" s="2"/>
      <c r="J59" s="2">
        <v>51337</v>
      </c>
      <c r="K59" s="2"/>
      <c r="L59" s="2" t="s">
        <v>26</v>
      </c>
      <c r="M59" s="2">
        <v>6.5</v>
      </c>
      <c r="N59" s="2"/>
    </row>
    <row r="60" spans="1:19" ht="30.75">
      <c r="A60" s="7">
        <v>45864</v>
      </c>
      <c r="B60" s="8">
        <v>94.4</v>
      </c>
      <c r="C60" s="2" t="s">
        <v>47</v>
      </c>
      <c r="D60" s="7">
        <v>45864</v>
      </c>
      <c r="E60" s="2" t="s">
        <v>23</v>
      </c>
      <c r="F60" s="2" t="s">
        <v>28</v>
      </c>
      <c r="G60" s="2">
        <v>54</v>
      </c>
      <c r="H60" s="2">
        <v>36489</v>
      </c>
      <c r="I60" s="2"/>
      <c r="J60" s="2">
        <v>50009</v>
      </c>
      <c r="K60" s="2"/>
      <c r="L60" s="2" t="s">
        <v>26</v>
      </c>
      <c r="M60" s="2">
        <v>5</v>
      </c>
      <c r="N60" s="2"/>
    </row>
    <row r="61" spans="1:19" ht="30.75">
      <c r="A61" s="7">
        <v>45897</v>
      </c>
      <c r="B61" s="8">
        <v>94.4</v>
      </c>
      <c r="C61" s="2" t="s">
        <v>50</v>
      </c>
      <c r="D61" s="7">
        <v>45897</v>
      </c>
      <c r="E61" s="2" t="s">
        <v>23</v>
      </c>
      <c r="F61" s="2" t="s">
        <v>28</v>
      </c>
      <c r="G61" s="2">
        <v>55</v>
      </c>
      <c r="H61" s="2">
        <v>37250</v>
      </c>
      <c r="I61" s="2"/>
      <c r="J61" s="2">
        <v>51345</v>
      </c>
      <c r="K61" s="2"/>
      <c r="L61" s="2" t="s">
        <v>26</v>
      </c>
      <c r="M61" s="2">
        <v>3.5</v>
      </c>
      <c r="N61" s="2"/>
    </row>
    <row r="62" spans="1:19" ht="30.75">
      <c r="A62" s="7">
        <v>45929</v>
      </c>
      <c r="B62" s="8">
        <v>94.4</v>
      </c>
      <c r="C62" s="2" t="s">
        <v>22</v>
      </c>
      <c r="D62" s="7">
        <v>45929</v>
      </c>
      <c r="E62" s="2" t="s">
        <v>23</v>
      </c>
      <c r="F62" s="2" t="s">
        <v>28</v>
      </c>
      <c r="G62" s="2">
        <v>56</v>
      </c>
      <c r="H62" s="2">
        <v>38137</v>
      </c>
      <c r="I62" s="2"/>
      <c r="J62" s="2">
        <v>52122</v>
      </c>
      <c r="K62" s="2"/>
      <c r="L62" s="2" t="s">
        <v>26</v>
      </c>
      <c r="M62" s="2">
        <v>1.5</v>
      </c>
      <c r="N62" s="2"/>
    </row>
    <row r="63" spans="1:19" ht="30.75">
      <c r="A63" s="7">
        <v>45960</v>
      </c>
      <c r="B63" s="8">
        <v>94.4</v>
      </c>
      <c r="C63" s="2" t="s">
        <v>54</v>
      </c>
      <c r="D63" s="7">
        <v>45960</v>
      </c>
      <c r="E63" s="2" t="s">
        <v>23</v>
      </c>
      <c r="F63" s="2" t="s">
        <v>28</v>
      </c>
      <c r="G63" s="2">
        <v>57</v>
      </c>
      <c r="H63" s="2">
        <v>38996</v>
      </c>
      <c r="I63" s="2"/>
      <c r="J63" s="2">
        <v>53323</v>
      </c>
      <c r="K63" s="2"/>
      <c r="L63" s="2" t="s">
        <v>26</v>
      </c>
      <c r="M63" s="2">
        <v>3</v>
      </c>
      <c r="N63" s="2"/>
    </row>
    <row r="64" spans="1:19" ht="30.75">
      <c r="A64" s="7">
        <v>45988</v>
      </c>
      <c r="B64" s="8">
        <v>94.4</v>
      </c>
      <c r="C64" s="2" t="s">
        <v>27</v>
      </c>
      <c r="D64" s="7">
        <v>45988</v>
      </c>
      <c r="E64" s="2" t="s">
        <v>23</v>
      </c>
      <c r="F64" s="2" t="s">
        <v>28</v>
      </c>
      <c r="G64" s="2">
        <v>58</v>
      </c>
      <c r="H64" s="2">
        <v>39837</v>
      </c>
      <c r="I64" s="2"/>
      <c r="J64" s="2">
        <v>54615</v>
      </c>
      <c r="K64" s="2"/>
      <c r="L64" s="2" t="s">
        <v>26</v>
      </c>
      <c r="M64" s="2">
        <v>2.5</v>
      </c>
      <c r="N64" s="2"/>
    </row>
    <row r="65" spans="1:14" ht="30.75">
      <c r="A65" s="7">
        <v>46018</v>
      </c>
      <c r="B65" s="8">
        <v>94.4</v>
      </c>
      <c r="C65" s="2" t="s">
        <v>30</v>
      </c>
      <c r="D65" s="7">
        <v>46018</v>
      </c>
      <c r="E65" s="2" t="s">
        <v>23</v>
      </c>
      <c r="F65" s="2" t="s">
        <v>28</v>
      </c>
      <c r="G65" s="2">
        <v>59</v>
      </c>
      <c r="H65" s="2">
        <v>40636</v>
      </c>
      <c r="I65" s="2"/>
      <c r="J65" s="2">
        <v>55640</v>
      </c>
      <c r="K65" s="2"/>
      <c r="L65" s="2" t="s">
        <v>26</v>
      </c>
      <c r="M65" s="2">
        <v>1.3</v>
      </c>
      <c r="N65" s="2"/>
    </row>
    <row r="66" spans="1:14" ht="30.75">
      <c r="A66" s="7">
        <v>46052</v>
      </c>
      <c r="B66" s="8">
        <v>94.4</v>
      </c>
      <c r="C66" s="2" t="s">
        <v>32</v>
      </c>
      <c r="D66" s="7">
        <v>46052</v>
      </c>
      <c r="E66" s="2" t="s">
        <v>23</v>
      </c>
      <c r="F66" s="2" t="s">
        <v>28</v>
      </c>
      <c r="G66" s="2">
        <v>60</v>
      </c>
      <c r="H66" s="2">
        <v>41602</v>
      </c>
      <c r="I66" s="2"/>
      <c r="J66" s="2">
        <v>56462</v>
      </c>
      <c r="K66" s="2"/>
      <c r="L66" s="2" t="s">
        <v>26</v>
      </c>
      <c r="M66" s="2" t="s">
        <v>1979</v>
      </c>
      <c r="N66" s="2"/>
    </row>
    <row r="67" spans="1:14" ht="30.75">
      <c r="A67" s="7">
        <v>46081</v>
      </c>
      <c r="B67" s="8">
        <v>94.4</v>
      </c>
      <c r="C67" s="2" t="s">
        <v>34</v>
      </c>
      <c r="D67" s="7">
        <v>46081</v>
      </c>
      <c r="E67" s="2" t="s">
        <v>23</v>
      </c>
      <c r="F67" s="2" t="s">
        <v>28</v>
      </c>
      <c r="G67" s="2">
        <v>61</v>
      </c>
      <c r="H67" s="2">
        <v>42442</v>
      </c>
      <c r="I67" s="2"/>
      <c r="J67" s="2">
        <v>58375</v>
      </c>
      <c r="K67" s="2"/>
      <c r="L67" s="2" t="s">
        <v>26</v>
      </c>
      <c r="M67" s="2">
        <v>2.1</v>
      </c>
      <c r="N67" s="2"/>
    </row>
    <row r="68" spans="1:14" ht="30.75">
      <c r="A68" s="7">
        <v>46112</v>
      </c>
      <c r="B68" s="8">
        <v>94.4</v>
      </c>
      <c r="C68" s="2" t="s">
        <v>38</v>
      </c>
      <c r="D68" s="7">
        <v>46112</v>
      </c>
      <c r="E68" s="2" t="s">
        <v>23</v>
      </c>
      <c r="F68" s="2" t="s">
        <v>28</v>
      </c>
      <c r="G68" s="2">
        <v>62</v>
      </c>
      <c r="H68" s="2">
        <v>43283</v>
      </c>
      <c r="I68" s="2"/>
      <c r="J68" s="2">
        <v>59606</v>
      </c>
      <c r="K68" s="2"/>
      <c r="L68" s="2" t="s">
        <v>26</v>
      </c>
      <c r="M68" s="2">
        <v>8.5</v>
      </c>
      <c r="N68" s="2"/>
    </row>
    <row r="69" spans="1:14" ht="30.75">
      <c r="A69" s="7">
        <v>46142</v>
      </c>
      <c r="B69" s="8">
        <v>94.4</v>
      </c>
      <c r="C69" s="2" t="s">
        <v>41</v>
      </c>
      <c r="D69" s="7">
        <v>46142</v>
      </c>
      <c r="E69" s="2" t="s">
        <v>23</v>
      </c>
      <c r="F69" s="2" t="s">
        <v>28</v>
      </c>
      <c r="G69" s="2">
        <v>63</v>
      </c>
      <c r="H69" s="2">
        <v>44103</v>
      </c>
      <c r="I69" s="2"/>
      <c r="J69" s="2">
        <v>60973</v>
      </c>
      <c r="K69" s="2"/>
      <c r="L69" s="2" t="s">
        <v>26</v>
      </c>
      <c r="M69" s="2">
        <v>1.1000000000000001</v>
      </c>
      <c r="N69" s="2"/>
    </row>
    <row r="70" spans="1:14" ht="30.75">
      <c r="A70" s="2"/>
      <c r="B70" s="2">
        <v>94.4</v>
      </c>
      <c r="C70" s="2" t="s">
        <v>44</v>
      </c>
      <c r="D70" s="7">
        <v>46170</v>
      </c>
      <c r="E70" s="2" t="s">
        <v>23</v>
      </c>
      <c r="F70" s="2"/>
      <c r="G70" s="2">
        <v>64</v>
      </c>
      <c r="H70" s="2"/>
      <c r="I70" s="2"/>
      <c r="J70" s="2">
        <v>62076</v>
      </c>
      <c r="K70" s="2"/>
      <c r="L70" s="2"/>
      <c r="M70" s="2">
        <v>2</v>
      </c>
      <c r="N70" s="2"/>
    </row>
    <row r="71" spans="1:14" ht="30.75">
      <c r="A71" s="2"/>
      <c r="B71" s="2"/>
      <c r="C71" s="2"/>
      <c r="D71" s="2"/>
      <c r="E71" s="2" t="s">
        <v>23</v>
      </c>
      <c r="F71" s="2"/>
      <c r="G71" s="2">
        <v>65</v>
      </c>
      <c r="H71" s="2"/>
      <c r="I71" s="2"/>
      <c r="J71" s="2"/>
      <c r="K71" s="2"/>
      <c r="L71" s="2"/>
      <c r="M71" s="2"/>
      <c r="N71" s="2"/>
    </row>
    <row r="72" spans="1:14" ht="30.75">
      <c r="A72" s="2"/>
      <c r="B72" s="2"/>
      <c r="C72" s="2"/>
      <c r="D72" s="2"/>
      <c r="E72" s="2" t="s">
        <v>23</v>
      </c>
      <c r="F72" s="2"/>
      <c r="G72" s="2">
        <v>66</v>
      </c>
      <c r="H72" s="2"/>
      <c r="I72" s="2"/>
      <c r="J72" s="2"/>
      <c r="K72" s="2"/>
      <c r="L72" s="2"/>
      <c r="M72" s="2"/>
      <c r="N72" s="2"/>
    </row>
    <row r="73" spans="1:14" ht="30.75">
      <c r="A73" s="2"/>
      <c r="B73" s="2"/>
      <c r="C73" s="2"/>
      <c r="D73" s="2"/>
      <c r="E73" s="2" t="s">
        <v>23</v>
      </c>
      <c r="F73" s="2"/>
      <c r="G73" s="2">
        <v>67</v>
      </c>
      <c r="H73" s="2"/>
      <c r="I73" s="2"/>
      <c r="J73" s="2"/>
      <c r="K73" s="2"/>
      <c r="L73" s="2"/>
      <c r="M73" s="2"/>
      <c r="N73" s="2"/>
    </row>
    <row r="74" spans="1:14" ht="30.75">
      <c r="A74" s="2"/>
      <c r="B74" s="2"/>
      <c r="C74" s="2"/>
      <c r="D74" s="2"/>
      <c r="E74" s="2" t="s">
        <v>23</v>
      </c>
      <c r="F74" s="2"/>
      <c r="G74" s="2">
        <v>68</v>
      </c>
      <c r="H74" s="2"/>
      <c r="I74" s="2"/>
      <c r="J74" s="2"/>
      <c r="K74" s="2"/>
      <c r="L74" s="2"/>
      <c r="M74" s="2"/>
      <c r="N74" s="2"/>
    </row>
    <row r="81" spans="1:13" ht="21">
      <c r="A81" s="759" t="s">
        <v>1980</v>
      </c>
      <c r="B81" s="759"/>
      <c r="C81" s="759"/>
      <c r="D81" s="759"/>
      <c r="E81" s="759"/>
    </row>
    <row r="82" spans="1:13" ht="30.75">
      <c r="A82" s="2" t="s">
        <v>93</v>
      </c>
      <c r="B82" s="2" t="s">
        <v>1948</v>
      </c>
    </row>
    <row r="83" spans="1:13">
      <c r="A83" s="2" t="s">
        <v>1670</v>
      </c>
      <c r="B83" s="3">
        <v>20605041834</v>
      </c>
    </row>
    <row r="84" spans="1:13" ht="37.5">
      <c r="A84" s="194" t="s">
        <v>4</v>
      </c>
      <c r="B84" s="195">
        <v>43792</v>
      </c>
      <c r="F84" s="760" t="s">
        <v>5</v>
      </c>
      <c r="G84" s="760"/>
      <c r="J84" s="758" t="s">
        <v>1884</v>
      </c>
      <c r="K84" s="758"/>
      <c r="L84" s="758"/>
      <c r="M84" s="758"/>
    </row>
    <row r="86" spans="1:13" ht="57">
      <c r="A86" s="196" t="s">
        <v>7</v>
      </c>
      <c r="B86" s="196" t="s">
        <v>8</v>
      </c>
      <c r="C86" s="196" t="s">
        <v>9</v>
      </c>
      <c r="D86" s="196" t="s">
        <v>10</v>
      </c>
      <c r="E86" s="196" t="s">
        <v>11</v>
      </c>
      <c r="F86" s="196" t="s">
        <v>12</v>
      </c>
      <c r="G86" s="196" t="s">
        <v>13</v>
      </c>
      <c r="H86" s="196" t="s">
        <v>14</v>
      </c>
      <c r="I86" s="196" t="s">
        <v>15</v>
      </c>
      <c r="J86" s="196" t="s">
        <v>16</v>
      </c>
      <c r="K86" s="196"/>
      <c r="L86" s="196" t="s">
        <v>18</v>
      </c>
    </row>
    <row r="87" spans="1:13" ht="30.75">
      <c r="A87" s="7">
        <v>43790</v>
      </c>
      <c r="B87" s="8">
        <v>94.4</v>
      </c>
      <c r="C87" s="2" t="s">
        <v>27</v>
      </c>
      <c r="D87" s="7">
        <v>43827</v>
      </c>
      <c r="E87" s="2" t="s">
        <v>23</v>
      </c>
      <c r="F87" s="2" t="s">
        <v>1742</v>
      </c>
      <c r="G87" s="2">
        <v>1</v>
      </c>
      <c r="H87" s="2">
        <v>101</v>
      </c>
      <c r="I87" s="9" t="s">
        <v>1944</v>
      </c>
      <c r="J87" s="9" t="s">
        <v>1981</v>
      </c>
      <c r="K87" s="9"/>
      <c r="L87" s="2" t="s">
        <v>26</v>
      </c>
    </row>
    <row r="88" spans="1:13" ht="30.75">
      <c r="A88" s="7">
        <v>43867</v>
      </c>
      <c r="B88" s="8">
        <v>94.4</v>
      </c>
      <c r="C88" s="2" t="s">
        <v>30</v>
      </c>
      <c r="D88" s="7">
        <v>43860</v>
      </c>
      <c r="E88" s="2" t="s">
        <v>23</v>
      </c>
      <c r="F88" s="2" t="s">
        <v>24</v>
      </c>
      <c r="G88" s="2">
        <v>2</v>
      </c>
      <c r="H88" s="2">
        <v>205</v>
      </c>
      <c r="I88" s="9" t="s">
        <v>1944</v>
      </c>
      <c r="J88" s="9" t="s">
        <v>1982</v>
      </c>
      <c r="K88" s="9"/>
      <c r="L88" s="2" t="s">
        <v>26</v>
      </c>
    </row>
    <row r="89" spans="1:13" ht="30.75">
      <c r="A89" s="7">
        <v>43890</v>
      </c>
      <c r="B89" s="8">
        <v>94.4</v>
      </c>
      <c r="C89" s="2" t="s">
        <v>32</v>
      </c>
      <c r="D89" s="7">
        <v>43890</v>
      </c>
      <c r="E89" s="2" t="s">
        <v>23</v>
      </c>
      <c r="F89" s="2" t="s">
        <v>24</v>
      </c>
      <c r="G89" s="2">
        <v>3</v>
      </c>
      <c r="H89" s="2">
        <v>257</v>
      </c>
      <c r="I89" s="9" t="s">
        <v>1944</v>
      </c>
      <c r="J89" s="9" t="s">
        <v>1983</v>
      </c>
      <c r="K89" s="9"/>
      <c r="L89" s="2" t="s">
        <v>26</v>
      </c>
    </row>
    <row r="90" spans="1:13" ht="30.75">
      <c r="A90" s="7">
        <v>44043</v>
      </c>
      <c r="B90" s="8">
        <v>94.4</v>
      </c>
      <c r="C90" s="2" t="s">
        <v>34</v>
      </c>
      <c r="D90" s="121">
        <v>44043</v>
      </c>
      <c r="E90" s="2" t="s">
        <v>23</v>
      </c>
      <c r="F90" s="2" t="s">
        <v>28</v>
      </c>
      <c r="G90" s="2">
        <v>4</v>
      </c>
      <c r="H90" s="2">
        <v>639</v>
      </c>
      <c r="I90" s="9" t="s">
        <v>1944</v>
      </c>
      <c r="J90" s="9" t="s">
        <v>1984</v>
      </c>
      <c r="K90" s="9"/>
      <c r="L90" s="2" t="s">
        <v>26</v>
      </c>
    </row>
    <row r="91" spans="1:13" ht="30.75">
      <c r="A91" s="7">
        <v>44072</v>
      </c>
      <c r="B91" s="8">
        <v>94.4</v>
      </c>
      <c r="C91" s="2" t="s">
        <v>38</v>
      </c>
      <c r="D91" s="7">
        <v>44072</v>
      </c>
      <c r="E91" s="2" t="s">
        <v>23</v>
      </c>
      <c r="F91" s="2" t="s">
        <v>28</v>
      </c>
      <c r="G91" s="2">
        <v>5</v>
      </c>
      <c r="H91" s="2">
        <v>753</v>
      </c>
      <c r="I91" s="9" t="s">
        <v>1944</v>
      </c>
      <c r="J91" s="9" t="s">
        <v>1985</v>
      </c>
      <c r="K91" s="9"/>
      <c r="L91" s="2" t="s">
        <v>26</v>
      </c>
    </row>
    <row r="92" spans="1:13" ht="30.75">
      <c r="A92" s="7">
        <v>44103</v>
      </c>
      <c r="B92" s="8">
        <v>94.4</v>
      </c>
      <c r="C92" s="2" t="s">
        <v>41</v>
      </c>
      <c r="D92" s="7">
        <v>44103</v>
      </c>
      <c r="E92" s="2" t="s">
        <v>23</v>
      </c>
      <c r="F92" s="2" t="s">
        <v>28</v>
      </c>
      <c r="G92" s="2">
        <v>6</v>
      </c>
      <c r="H92" s="2">
        <v>1053</v>
      </c>
      <c r="I92" s="9" t="s">
        <v>1944</v>
      </c>
      <c r="J92" s="9" t="s">
        <v>1986</v>
      </c>
      <c r="K92" s="9"/>
      <c r="L92" s="2" t="s">
        <v>26</v>
      </c>
    </row>
    <row r="93" spans="1:13" ht="30.75">
      <c r="A93" s="7">
        <v>44135</v>
      </c>
      <c r="B93" s="8">
        <v>94.4</v>
      </c>
      <c r="C93" s="2" t="s">
        <v>54</v>
      </c>
      <c r="D93" s="7">
        <v>44135</v>
      </c>
      <c r="E93" s="2" t="s">
        <v>23</v>
      </c>
      <c r="F93" s="2" t="s">
        <v>28</v>
      </c>
      <c r="G93" s="2">
        <v>7</v>
      </c>
      <c r="H93" s="2">
        <v>1145</v>
      </c>
      <c r="I93" s="9" t="s">
        <v>1944</v>
      </c>
      <c r="J93" s="9" t="s">
        <v>1987</v>
      </c>
      <c r="K93" s="9"/>
      <c r="L93" s="2" t="s">
        <v>26</v>
      </c>
    </row>
    <row r="94" spans="1:13" ht="30.75">
      <c r="A94" s="7">
        <v>44163</v>
      </c>
      <c r="B94" s="8">
        <v>94.4</v>
      </c>
      <c r="C94" s="2" t="s">
        <v>27</v>
      </c>
      <c r="D94" s="7">
        <v>44163</v>
      </c>
      <c r="E94" s="2" t="s">
        <v>23</v>
      </c>
      <c r="F94" s="2" t="s">
        <v>28</v>
      </c>
      <c r="G94" s="2">
        <v>8</v>
      </c>
      <c r="H94" s="2">
        <v>1335</v>
      </c>
      <c r="I94" s="9" t="s">
        <v>1944</v>
      </c>
      <c r="J94" s="9" t="s">
        <v>1988</v>
      </c>
      <c r="K94" s="9"/>
      <c r="L94" s="2" t="s">
        <v>26</v>
      </c>
    </row>
    <row r="95" spans="1:13" ht="30.75">
      <c r="A95" s="7">
        <v>44196</v>
      </c>
      <c r="B95" s="8">
        <v>94.4</v>
      </c>
      <c r="C95" s="2" t="s">
        <v>30</v>
      </c>
      <c r="D95" s="7">
        <v>44196</v>
      </c>
      <c r="E95" s="2" t="s">
        <v>23</v>
      </c>
      <c r="F95" s="2" t="s">
        <v>28</v>
      </c>
      <c r="G95" s="2">
        <v>9</v>
      </c>
      <c r="H95" s="2">
        <v>1571</v>
      </c>
      <c r="I95" s="9" t="s">
        <v>1944</v>
      </c>
      <c r="J95" s="9" t="s">
        <v>1989</v>
      </c>
      <c r="K95" s="9"/>
      <c r="L95" s="2" t="s">
        <v>26</v>
      </c>
    </row>
    <row r="96" spans="1:13" ht="30.75">
      <c r="A96" s="7">
        <v>44226</v>
      </c>
      <c r="B96" s="8">
        <v>94.4</v>
      </c>
      <c r="C96" s="2" t="s">
        <v>32</v>
      </c>
      <c r="D96" s="7">
        <v>44226</v>
      </c>
      <c r="E96" s="2" t="s">
        <v>23</v>
      </c>
      <c r="F96" s="2" t="s">
        <v>28</v>
      </c>
      <c r="G96" s="2">
        <v>10</v>
      </c>
      <c r="H96" s="2">
        <v>1824</v>
      </c>
      <c r="I96" s="9" t="s">
        <v>1944</v>
      </c>
      <c r="J96" s="9" t="s">
        <v>1990</v>
      </c>
      <c r="K96" s="9"/>
      <c r="L96" s="2" t="s">
        <v>26</v>
      </c>
    </row>
  </sheetData>
  <mergeCells count="6">
    <mergeCell ref="A1:E1"/>
    <mergeCell ref="F4:G4"/>
    <mergeCell ref="J4:M4"/>
    <mergeCell ref="A81:E81"/>
    <mergeCell ref="F84:G84"/>
    <mergeCell ref="J84:M84"/>
  </mergeCells>
  <dataValidations count="2">
    <dataValidation type="list" allowBlank="1" showInputMessage="1" showErrorMessage="1" sqref="C87:C96 C7:C74" xr:uid="{00000000-0002-0000-1A00-000000000000}">
      <formula1>"ENERO,FEBRERO,MARZO,ABRIL,MAYO,JUNIO,JULIO,AGOSTO,SEPTIEMBRE,OCTUBRE,NOVIEMBRE,DICIEMBRE"</formula1>
    </dataValidation>
    <dataValidation type="list" allowBlank="1" showInputMessage="1" showErrorMessage="1" sqref="F87:F96 F7:F74" xr:uid="{00000000-0002-0000-1A00-000001000000}">
      <formula1>"EFECTIVO, CHEQUE, TRANSFERENCIA,DEPOSITO"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846F-0AF7-467A-BC56-F7A2D40CBEE8}">
  <sheetPr>
    <tabColor rgb="FFFF0000"/>
  </sheetPr>
  <dimension ref="A1:M34"/>
  <sheetViews>
    <sheetView topLeftCell="B3" workbookViewId="0">
      <selection activeCell="B3" sqref="B3"/>
    </sheetView>
  </sheetViews>
  <sheetFormatPr defaultColWidth="11.42578125" defaultRowHeight="15"/>
  <cols>
    <col min="2" max="2" width="18.7109375" customWidth="1"/>
    <col min="6" max="6" width="18.28515625" customWidth="1"/>
  </cols>
  <sheetData>
    <row r="1" spans="1:12" ht="21">
      <c r="A1" s="761" t="s">
        <v>1991</v>
      </c>
      <c r="B1" s="761"/>
      <c r="C1" s="761"/>
      <c r="D1" s="761"/>
      <c r="E1" s="761"/>
    </row>
    <row r="2" spans="1:12" ht="30">
      <c r="A2" s="2" t="s">
        <v>93</v>
      </c>
      <c r="B2" s="2" t="s">
        <v>1992</v>
      </c>
    </row>
    <row r="3" spans="1:12">
      <c r="A3" s="2" t="s">
        <v>1670</v>
      </c>
      <c r="B3" s="3">
        <v>10705171667</v>
      </c>
    </row>
    <row r="4" spans="1:12" ht="39.75">
      <c r="A4" s="197" t="s">
        <v>4</v>
      </c>
      <c r="B4" s="198">
        <v>43803</v>
      </c>
      <c r="F4" s="762" t="s">
        <v>5</v>
      </c>
      <c r="G4" s="762"/>
      <c r="I4" s="763" t="s">
        <v>1993</v>
      </c>
      <c r="J4" s="763"/>
      <c r="K4" s="763"/>
      <c r="L4" s="763"/>
    </row>
    <row r="6" spans="1:12" ht="75.75" thickBot="1">
      <c r="A6" s="199" t="s">
        <v>7</v>
      </c>
      <c r="B6" s="199" t="s">
        <v>8</v>
      </c>
      <c r="C6" s="199" t="s">
        <v>9</v>
      </c>
      <c r="D6" s="199" t="s">
        <v>10</v>
      </c>
      <c r="E6" s="199" t="s">
        <v>11</v>
      </c>
      <c r="F6" s="199" t="s">
        <v>12</v>
      </c>
      <c r="G6" s="199" t="s">
        <v>13</v>
      </c>
      <c r="H6" s="199" t="s">
        <v>14</v>
      </c>
      <c r="I6" s="199" t="s">
        <v>15</v>
      </c>
      <c r="J6" s="199" t="s">
        <v>16</v>
      </c>
      <c r="K6" s="199" t="s">
        <v>18</v>
      </c>
    </row>
    <row r="7" spans="1:12" ht="30">
      <c r="A7" s="7">
        <v>43802</v>
      </c>
      <c r="B7" s="8">
        <v>94.4</v>
      </c>
      <c r="C7" s="2" t="s">
        <v>27</v>
      </c>
      <c r="D7" s="7">
        <v>43827</v>
      </c>
      <c r="E7" s="2" t="s">
        <v>23</v>
      </c>
      <c r="F7" s="2" t="s">
        <v>1742</v>
      </c>
      <c r="G7" s="2">
        <v>1</v>
      </c>
      <c r="H7" s="2">
        <v>118</v>
      </c>
      <c r="I7" s="9" t="s">
        <v>1994</v>
      </c>
      <c r="J7" s="9" t="s">
        <v>1995</v>
      </c>
      <c r="K7" s="2" t="s">
        <v>26</v>
      </c>
    </row>
    <row r="8" spans="1:12" ht="30">
      <c r="A8" s="7">
        <v>43860</v>
      </c>
      <c r="B8" s="8">
        <v>94.4</v>
      </c>
      <c r="C8" s="2" t="s">
        <v>30</v>
      </c>
      <c r="D8" s="7">
        <v>43860</v>
      </c>
      <c r="E8" s="2" t="s">
        <v>23</v>
      </c>
      <c r="F8" s="2" t="s">
        <v>28</v>
      </c>
      <c r="G8" s="2">
        <v>2</v>
      </c>
      <c r="H8" s="2">
        <v>206</v>
      </c>
      <c r="I8" s="9" t="s">
        <v>1994</v>
      </c>
      <c r="J8" s="9" t="s">
        <v>1996</v>
      </c>
      <c r="K8" s="2" t="s">
        <v>26</v>
      </c>
    </row>
    <row r="9" spans="1:12" ht="30">
      <c r="A9" s="7">
        <v>44012</v>
      </c>
      <c r="B9" s="8">
        <v>94.4</v>
      </c>
      <c r="C9" s="2" t="s">
        <v>32</v>
      </c>
      <c r="D9" s="7">
        <v>43981</v>
      </c>
      <c r="E9" s="2" t="s">
        <v>23</v>
      </c>
      <c r="F9" s="2" t="s">
        <v>28</v>
      </c>
      <c r="G9" s="2">
        <v>3</v>
      </c>
      <c r="H9" s="2">
        <v>382</v>
      </c>
      <c r="I9" s="9" t="s">
        <v>1994</v>
      </c>
      <c r="J9" s="9" t="s">
        <v>1997</v>
      </c>
      <c r="K9" s="2" t="s">
        <v>26</v>
      </c>
    </row>
    <row r="10" spans="1:12" ht="30">
      <c r="A10" s="7">
        <v>44012</v>
      </c>
      <c r="B10" s="8">
        <v>94.4</v>
      </c>
      <c r="C10" s="2" t="s">
        <v>34</v>
      </c>
      <c r="D10" s="7">
        <v>44012</v>
      </c>
      <c r="E10" s="2" t="s">
        <v>23</v>
      </c>
      <c r="F10" s="2" t="s">
        <v>28</v>
      </c>
      <c r="G10" s="2">
        <v>4</v>
      </c>
      <c r="H10" s="2">
        <v>474</v>
      </c>
      <c r="I10" s="9" t="s">
        <v>1994</v>
      </c>
      <c r="J10" s="9" t="s">
        <v>1998</v>
      </c>
      <c r="K10" s="2" t="s">
        <v>26</v>
      </c>
    </row>
    <row r="11" spans="1:12" ht="30">
      <c r="A11" s="7">
        <v>44072</v>
      </c>
      <c r="B11" s="8">
        <v>94.4</v>
      </c>
      <c r="C11" s="2" t="s">
        <v>38</v>
      </c>
      <c r="D11" s="7">
        <v>44043</v>
      </c>
      <c r="E11" s="2" t="s">
        <v>23</v>
      </c>
      <c r="F11" s="2" t="s">
        <v>28</v>
      </c>
      <c r="G11" s="2">
        <v>5</v>
      </c>
      <c r="H11" s="2">
        <v>641</v>
      </c>
      <c r="I11" s="9" t="s">
        <v>1994</v>
      </c>
      <c r="J11" s="9" t="s">
        <v>1999</v>
      </c>
      <c r="K11" s="2" t="s">
        <v>26</v>
      </c>
    </row>
    <row r="12" spans="1:12" ht="30">
      <c r="A12" s="7">
        <v>44072</v>
      </c>
      <c r="B12" s="8">
        <v>94.4</v>
      </c>
      <c r="C12" s="2" t="s">
        <v>41</v>
      </c>
      <c r="D12" s="7">
        <v>44072</v>
      </c>
      <c r="E12" s="2" t="s">
        <v>23</v>
      </c>
      <c r="F12" s="2" t="s">
        <v>28</v>
      </c>
      <c r="G12" s="2">
        <v>6</v>
      </c>
      <c r="H12" s="2">
        <v>751</v>
      </c>
      <c r="I12" s="9" t="s">
        <v>1994</v>
      </c>
      <c r="J12" s="9" t="s">
        <v>2000</v>
      </c>
      <c r="K12" s="2" t="s">
        <v>26</v>
      </c>
    </row>
    <row r="13" spans="1:12" ht="30">
      <c r="A13" s="7">
        <v>44198</v>
      </c>
      <c r="B13" s="8">
        <v>94.4</v>
      </c>
      <c r="C13" s="2" t="s">
        <v>44</v>
      </c>
      <c r="D13" s="7">
        <v>44103</v>
      </c>
      <c r="E13" s="2" t="s">
        <v>23</v>
      </c>
      <c r="F13" s="2" t="s">
        <v>24</v>
      </c>
      <c r="G13" s="2">
        <v>7</v>
      </c>
      <c r="H13" s="2">
        <v>1054</v>
      </c>
      <c r="I13" s="9" t="s">
        <v>1994</v>
      </c>
      <c r="J13" s="9" t="s">
        <v>2001</v>
      </c>
      <c r="K13" s="2" t="s">
        <v>26</v>
      </c>
    </row>
    <row r="14" spans="1:12" ht="30">
      <c r="A14" s="7">
        <v>44198</v>
      </c>
      <c r="B14" s="8">
        <v>94.4</v>
      </c>
      <c r="C14" s="2" t="s">
        <v>54</v>
      </c>
      <c r="D14" s="7">
        <v>44135</v>
      </c>
      <c r="E14" s="2" t="s">
        <v>23</v>
      </c>
      <c r="F14" s="2" t="s">
        <v>24</v>
      </c>
      <c r="G14" s="2">
        <v>8</v>
      </c>
      <c r="H14" s="2">
        <v>1142</v>
      </c>
      <c r="I14" s="9" t="s">
        <v>1994</v>
      </c>
      <c r="J14" s="9" t="s">
        <v>2002</v>
      </c>
      <c r="K14" s="2" t="s">
        <v>26</v>
      </c>
    </row>
    <row r="15" spans="1:12" ht="30">
      <c r="A15" s="7">
        <v>44198</v>
      </c>
      <c r="B15" s="8">
        <v>94.4</v>
      </c>
      <c r="C15" s="2" t="s">
        <v>27</v>
      </c>
      <c r="D15" s="7">
        <v>44163</v>
      </c>
      <c r="E15" s="2" t="s">
        <v>23</v>
      </c>
      <c r="F15" s="2" t="s">
        <v>24</v>
      </c>
      <c r="G15" s="2">
        <v>9</v>
      </c>
      <c r="H15" s="2">
        <v>1331</v>
      </c>
      <c r="I15" s="9" t="s">
        <v>1994</v>
      </c>
      <c r="J15" s="9" t="s">
        <v>2003</v>
      </c>
      <c r="K15" s="2" t="s">
        <v>26</v>
      </c>
    </row>
    <row r="16" spans="1:12" ht="30">
      <c r="A16" s="7">
        <v>44198</v>
      </c>
      <c r="B16" s="8">
        <v>94.4</v>
      </c>
      <c r="C16" s="2" t="s">
        <v>30</v>
      </c>
      <c r="D16" s="7">
        <v>44198</v>
      </c>
      <c r="E16" s="2" t="s">
        <v>23</v>
      </c>
      <c r="F16" s="2" t="s">
        <v>24</v>
      </c>
      <c r="G16" s="2">
        <v>10</v>
      </c>
      <c r="H16" s="2">
        <v>1531</v>
      </c>
      <c r="I16" s="9" t="s">
        <v>1994</v>
      </c>
      <c r="J16" s="9" t="s">
        <v>2004</v>
      </c>
      <c r="K16" s="2" t="s">
        <v>26</v>
      </c>
    </row>
    <row r="17" spans="1:13" ht="30">
      <c r="A17" s="2"/>
      <c r="B17" s="8"/>
      <c r="C17" s="2"/>
      <c r="D17" s="2"/>
      <c r="E17" s="2" t="s">
        <v>23</v>
      </c>
      <c r="F17" s="2"/>
      <c r="G17" s="2"/>
      <c r="H17" s="2"/>
      <c r="I17" s="9" t="s">
        <v>1994</v>
      </c>
      <c r="J17" s="9"/>
      <c r="K17" s="2"/>
    </row>
    <row r="18" spans="1:13" ht="30">
      <c r="A18" s="2"/>
      <c r="B18" s="8"/>
      <c r="C18" s="2"/>
      <c r="D18" s="2"/>
      <c r="E18" s="2" t="s">
        <v>23</v>
      </c>
      <c r="F18" s="2"/>
      <c r="G18" s="2"/>
      <c r="H18" s="2"/>
      <c r="I18" s="9" t="s">
        <v>1994</v>
      </c>
      <c r="J18" s="9"/>
      <c r="K18" s="2"/>
    </row>
    <row r="20" spans="1:13">
      <c r="A20" s="200"/>
      <c r="B20" s="201"/>
      <c r="C20" s="201"/>
      <c r="D20" s="201"/>
      <c r="E20" s="201"/>
      <c r="F20" s="201"/>
      <c r="G20" s="201"/>
      <c r="H20" s="201"/>
      <c r="I20" s="201"/>
    </row>
    <row r="22" spans="1:13" ht="47.25">
      <c r="A22" s="202" t="s">
        <v>7</v>
      </c>
      <c r="B22" s="202" t="s">
        <v>8</v>
      </c>
      <c r="C22" s="203" t="s">
        <v>9</v>
      </c>
      <c r="D22" s="203" t="s">
        <v>1755</v>
      </c>
      <c r="E22" s="203" t="s">
        <v>10</v>
      </c>
      <c r="F22" s="202" t="s">
        <v>11</v>
      </c>
      <c r="G22" s="203" t="s">
        <v>12</v>
      </c>
      <c r="H22" s="203" t="s">
        <v>1756</v>
      </c>
      <c r="I22" s="203" t="s">
        <v>13</v>
      </c>
      <c r="J22" s="203" t="s">
        <v>1757</v>
      </c>
      <c r="L22" s="728" t="s">
        <v>2005</v>
      </c>
      <c r="M22" s="728"/>
    </row>
    <row r="23" spans="1:13" ht="30">
      <c r="A23" s="153">
        <v>43827</v>
      </c>
      <c r="B23" s="154">
        <v>14.16</v>
      </c>
      <c r="C23" t="s">
        <v>27</v>
      </c>
      <c r="D23">
        <v>2</v>
      </c>
      <c r="E23" s="153">
        <v>43827</v>
      </c>
      <c r="F23" s="2" t="s">
        <v>1758</v>
      </c>
      <c r="G23" t="s">
        <v>28</v>
      </c>
      <c r="H23">
        <v>153</v>
      </c>
      <c r="I23">
        <v>1</v>
      </c>
      <c r="K23" s="2"/>
      <c r="L23" s="728"/>
      <c r="M23" s="728"/>
    </row>
    <row r="24" spans="1:13" ht="30">
      <c r="A24" s="153">
        <v>43890</v>
      </c>
      <c r="B24" s="154">
        <v>14.16</v>
      </c>
      <c r="C24" t="s">
        <v>30</v>
      </c>
      <c r="D24">
        <v>2</v>
      </c>
      <c r="E24" s="153" t="s">
        <v>2006</v>
      </c>
      <c r="F24" s="2" t="s">
        <v>1758</v>
      </c>
      <c r="G24" t="s">
        <v>28</v>
      </c>
      <c r="H24">
        <v>259</v>
      </c>
      <c r="I24">
        <v>2</v>
      </c>
      <c r="J24" s="2" t="s">
        <v>26</v>
      </c>
    </row>
    <row r="25" spans="1:13" ht="30">
      <c r="A25" s="153">
        <v>44012</v>
      </c>
      <c r="B25" s="154">
        <v>14.16</v>
      </c>
      <c r="C25" t="s">
        <v>32</v>
      </c>
      <c r="D25">
        <v>2</v>
      </c>
      <c r="E25" s="153">
        <v>43981</v>
      </c>
      <c r="F25" s="2" t="s">
        <v>1758</v>
      </c>
      <c r="G25" t="s">
        <v>28</v>
      </c>
      <c r="H25">
        <v>383</v>
      </c>
      <c r="I25">
        <v>3</v>
      </c>
      <c r="J25" s="2" t="s">
        <v>26</v>
      </c>
    </row>
    <row r="26" spans="1:13" ht="30">
      <c r="A26" s="153">
        <v>44012</v>
      </c>
      <c r="B26" s="154">
        <v>14.16</v>
      </c>
      <c r="C26" t="s">
        <v>34</v>
      </c>
      <c r="D26">
        <v>2</v>
      </c>
      <c r="E26" s="153">
        <v>44012</v>
      </c>
      <c r="F26" s="2" t="s">
        <v>1758</v>
      </c>
      <c r="G26" t="s">
        <v>28</v>
      </c>
      <c r="H26">
        <v>475</v>
      </c>
      <c r="I26">
        <v>4</v>
      </c>
      <c r="J26" s="2" t="s">
        <v>26</v>
      </c>
    </row>
    <row r="27" spans="1:13" ht="30">
      <c r="A27" s="153">
        <v>44072</v>
      </c>
      <c r="B27" s="154">
        <v>14.16</v>
      </c>
      <c r="C27" t="s">
        <v>38</v>
      </c>
      <c r="D27">
        <v>2</v>
      </c>
      <c r="E27" s="153">
        <v>44043</v>
      </c>
      <c r="F27" s="2" t="s">
        <v>1758</v>
      </c>
      <c r="H27">
        <v>642</v>
      </c>
      <c r="I27">
        <v>5</v>
      </c>
      <c r="J27" s="2" t="s">
        <v>26</v>
      </c>
    </row>
    <row r="28" spans="1:13" ht="30">
      <c r="B28" s="154"/>
      <c r="F28" s="2" t="s">
        <v>1758</v>
      </c>
      <c r="L28" t="s">
        <v>36</v>
      </c>
    </row>
    <row r="29" spans="1:13" ht="30">
      <c r="B29" s="154"/>
      <c r="F29" s="2" t="s">
        <v>1758</v>
      </c>
    </row>
    <row r="30" spans="1:13" ht="30">
      <c r="B30" s="154"/>
      <c r="F30" s="2" t="s">
        <v>1758</v>
      </c>
    </row>
    <row r="31" spans="1:13" ht="30">
      <c r="B31" s="154"/>
      <c r="F31" s="2" t="s">
        <v>1758</v>
      </c>
    </row>
    <row r="32" spans="1:13" ht="30">
      <c r="B32" s="154"/>
      <c r="F32" s="2" t="s">
        <v>1758</v>
      </c>
    </row>
    <row r="33" spans="2:6" ht="30">
      <c r="B33" s="154"/>
      <c r="F33" s="2" t="s">
        <v>1758</v>
      </c>
    </row>
    <row r="34" spans="2:6">
      <c r="B34" s="154"/>
    </row>
  </sheetData>
  <mergeCells count="4">
    <mergeCell ref="A1:E1"/>
    <mergeCell ref="F4:G4"/>
    <mergeCell ref="L22:M23"/>
    <mergeCell ref="I4:L4"/>
  </mergeCells>
  <dataValidations count="2">
    <dataValidation type="list" allowBlank="1" showInputMessage="1" showErrorMessage="1" sqref="F7:F18 F20 G23:G34" xr:uid="{00000000-0002-0000-1B00-000000000000}">
      <formula1>"EFECTIVO, CHEQUE, TRANSFERENCIA,DEPOSITO"</formula1>
    </dataValidation>
    <dataValidation type="list" allowBlank="1" showInputMessage="1" showErrorMessage="1" sqref="C7:C18 B20 C23:C34" xr:uid="{00000000-0002-0000-1B00-000001000000}">
      <formula1>"ENERO,FEBRERO,MARZO,ABRIL,MAYO,JUNIO,JULIO,AGOSTO,SEPTIEMBRE,OCTUBRE,NOVIEMBRE,DICIEMBRE"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4768-6C4A-4AB5-8F6C-1B4514B280A4}">
  <sheetPr>
    <tabColor rgb="FFFF0000"/>
  </sheetPr>
  <dimension ref="A1:L23"/>
  <sheetViews>
    <sheetView workbookViewId="0">
      <selection activeCell="D9" sqref="D9"/>
    </sheetView>
  </sheetViews>
  <sheetFormatPr defaultColWidth="11.42578125" defaultRowHeight="15"/>
  <cols>
    <col min="2" max="2" width="18.7109375" customWidth="1"/>
    <col min="6" max="6" width="18.28515625" customWidth="1"/>
  </cols>
  <sheetData>
    <row r="1" spans="1:12" ht="21">
      <c r="A1" s="764" t="s">
        <v>2007</v>
      </c>
      <c r="B1" s="764"/>
      <c r="C1" s="764"/>
      <c r="D1" s="764"/>
      <c r="E1" s="764"/>
    </row>
    <row r="2" spans="1:12" ht="30">
      <c r="A2" s="2" t="s">
        <v>93</v>
      </c>
      <c r="B2" s="2" t="s">
        <v>2008</v>
      </c>
      <c r="H2" s="766" t="s">
        <v>2009</v>
      </c>
      <c r="I2" s="766"/>
      <c r="J2" s="766"/>
      <c r="K2" s="766"/>
    </row>
    <row r="3" spans="1:12">
      <c r="A3" s="2" t="s">
        <v>1670</v>
      </c>
      <c r="B3" s="3">
        <v>10421950054</v>
      </c>
      <c r="H3" s="766"/>
      <c r="I3" s="766"/>
      <c r="J3" s="766"/>
      <c r="K3" s="766"/>
    </row>
    <row r="4" spans="1:12" ht="39.75">
      <c r="A4" s="204" t="s">
        <v>4</v>
      </c>
      <c r="B4" s="205">
        <v>43858</v>
      </c>
      <c r="F4" s="765" t="s">
        <v>2010</v>
      </c>
      <c r="G4" s="765"/>
    </row>
    <row r="6" spans="1:12" ht="75.75" thickBot="1">
      <c r="A6" s="206" t="s">
        <v>7</v>
      </c>
      <c r="B6" s="206" t="s">
        <v>8</v>
      </c>
      <c r="C6" s="206" t="s">
        <v>9</v>
      </c>
      <c r="D6" s="206" t="s">
        <v>10</v>
      </c>
      <c r="E6" s="206" t="s">
        <v>11</v>
      </c>
      <c r="F6" s="206" t="s">
        <v>12</v>
      </c>
      <c r="G6" s="206" t="s">
        <v>13</v>
      </c>
      <c r="H6" s="206" t="s">
        <v>14</v>
      </c>
      <c r="I6" s="206" t="s">
        <v>15</v>
      </c>
      <c r="J6" s="206" t="s">
        <v>16</v>
      </c>
      <c r="K6" s="206" t="s">
        <v>18</v>
      </c>
      <c r="L6" s="206" t="s">
        <v>99</v>
      </c>
    </row>
    <row r="7" spans="1:12" ht="30">
      <c r="A7" s="7">
        <v>43857</v>
      </c>
      <c r="B7" s="8">
        <v>94.4</v>
      </c>
      <c r="C7" s="2" t="s">
        <v>32</v>
      </c>
      <c r="D7" s="7">
        <v>43888</v>
      </c>
      <c r="E7" s="2" t="s">
        <v>23</v>
      </c>
      <c r="F7" s="2" t="s">
        <v>1742</v>
      </c>
      <c r="G7" s="2">
        <v>1</v>
      </c>
      <c r="H7" s="2">
        <v>198</v>
      </c>
      <c r="I7" s="9" t="s">
        <v>2011</v>
      </c>
      <c r="J7" s="9" t="s">
        <v>2012</v>
      </c>
      <c r="K7" s="2" t="s">
        <v>26</v>
      </c>
      <c r="L7" s="2"/>
    </row>
    <row r="8" spans="1:12" ht="30">
      <c r="A8" s="7">
        <v>44007</v>
      </c>
      <c r="B8" s="8">
        <v>94.4</v>
      </c>
      <c r="C8" s="2" t="s">
        <v>34</v>
      </c>
      <c r="D8" s="7">
        <v>43923</v>
      </c>
      <c r="E8" s="2" t="s">
        <v>23</v>
      </c>
      <c r="F8" s="2" t="s">
        <v>1742</v>
      </c>
      <c r="G8" s="2">
        <v>2</v>
      </c>
      <c r="H8" s="2">
        <v>315</v>
      </c>
      <c r="I8" s="9" t="s">
        <v>2011</v>
      </c>
      <c r="J8" s="9" t="s">
        <v>2013</v>
      </c>
      <c r="K8" s="2" t="s">
        <v>26</v>
      </c>
      <c r="L8" s="2"/>
    </row>
    <row r="9" spans="1:12" ht="30">
      <c r="A9" s="7"/>
      <c r="B9" s="8">
        <v>94.4</v>
      </c>
      <c r="C9" s="2" t="s">
        <v>38</v>
      </c>
      <c r="D9" s="7">
        <v>44070</v>
      </c>
      <c r="E9" s="2" t="s">
        <v>23</v>
      </c>
      <c r="F9" s="2" t="s">
        <v>24</v>
      </c>
      <c r="G9" s="2">
        <v>3</v>
      </c>
      <c r="H9" s="2">
        <v>748</v>
      </c>
      <c r="I9" s="9" t="s">
        <v>2011</v>
      </c>
      <c r="J9" s="9" t="s">
        <v>2014</v>
      </c>
      <c r="K9" s="2" t="s">
        <v>1590</v>
      </c>
      <c r="L9" s="2"/>
    </row>
    <row r="10" spans="1:12" ht="30">
      <c r="A10" s="7">
        <v>44133</v>
      </c>
      <c r="B10" s="8">
        <v>94.4</v>
      </c>
      <c r="C10" s="2" t="s">
        <v>41</v>
      </c>
      <c r="D10" s="7">
        <v>44104</v>
      </c>
      <c r="E10" s="2" t="s">
        <v>23</v>
      </c>
      <c r="F10" s="2" t="s">
        <v>24</v>
      </c>
      <c r="G10" s="2">
        <v>4</v>
      </c>
      <c r="H10" s="2">
        <v>929</v>
      </c>
      <c r="I10" s="9" t="s">
        <v>2011</v>
      </c>
      <c r="J10" s="9" t="s">
        <v>2015</v>
      </c>
      <c r="K10" s="2" t="s">
        <v>26</v>
      </c>
      <c r="L10" s="2"/>
    </row>
    <row r="11" spans="1:12" ht="30">
      <c r="A11" s="7">
        <v>44133</v>
      </c>
      <c r="B11" s="8">
        <v>94.4</v>
      </c>
      <c r="C11" s="2" t="s">
        <v>44</v>
      </c>
      <c r="D11" s="7">
        <v>44133</v>
      </c>
      <c r="E11" s="2" t="s">
        <v>23</v>
      </c>
      <c r="F11" s="2" t="s">
        <v>28</v>
      </c>
      <c r="G11" s="2">
        <v>5</v>
      </c>
      <c r="H11" s="2">
        <v>1111</v>
      </c>
      <c r="I11" s="9" t="s">
        <v>2011</v>
      </c>
      <c r="J11" s="9" t="s">
        <v>2016</v>
      </c>
      <c r="K11" s="2" t="s">
        <v>26</v>
      </c>
      <c r="L11" s="2"/>
    </row>
    <row r="12" spans="1:12" ht="30">
      <c r="A12" s="2"/>
      <c r="B12" s="8"/>
      <c r="C12" s="2"/>
      <c r="D12" s="2"/>
      <c r="E12" s="2" t="s">
        <v>23</v>
      </c>
      <c r="F12" s="2"/>
      <c r="G12" s="2"/>
      <c r="H12" s="2"/>
      <c r="I12" s="9" t="s">
        <v>2011</v>
      </c>
      <c r="J12" s="9"/>
      <c r="K12" s="2"/>
      <c r="L12" s="2"/>
    </row>
    <row r="13" spans="1:12" ht="30">
      <c r="A13" s="2"/>
      <c r="B13" s="8"/>
      <c r="C13" s="2"/>
      <c r="D13" s="2"/>
      <c r="E13" s="2" t="s">
        <v>23</v>
      </c>
      <c r="F13" s="2"/>
      <c r="G13" s="2"/>
      <c r="H13" s="2"/>
      <c r="I13" s="9" t="s">
        <v>2011</v>
      </c>
      <c r="J13" s="9"/>
      <c r="K13" s="2"/>
      <c r="L13" s="2"/>
    </row>
    <row r="14" spans="1:12" ht="30">
      <c r="A14" s="2"/>
      <c r="B14" s="8"/>
      <c r="C14" s="2"/>
      <c r="D14" s="2"/>
      <c r="E14" s="2" t="s">
        <v>23</v>
      </c>
      <c r="F14" s="2"/>
      <c r="G14" s="2"/>
      <c r="H14" s="2"/>
      <c r="I14" s="9" t="s">
        <v>2011</v>
      </c>
      <c r="J14" s="9"/>
      <c r="K14" s="2"/>
      <c r="L14" s="2"/>
    </row>
    <row r="15" spans="1:12" ht="30">
      <c r="A15" s="2"/>
      <c r="B15" s="8"/>
      <c r="C15" s="2"/>
      <c r="D15" s="2"/>
      <c r="E15" s="2" t="s">
        <v>23</v>
      </c>
      <c r="F15" s="2"/>
      <c r="G15" s="2"/>
      <c r="H15" s="2"/>
      <c r="I15" s="9" t="s">
        <v>2011</v>
      </c>
      <c r="J15" s="9"/>
      <c r="K15" s="2"/>
      <c r="L15" s="2"/>
    </row>
    <row r="16" spans="1:12" ht="30">
      <c r="A16" s="2"/>
      <c r="B16" s="8"/>
      <c r="C16" s="2"/>
      <c r="D16" s="2"/>
      <c r="E16" s="2" t="s">
        <v>23</v>
      </c>
      <c r="F16" s="2"/>
      <c r="G16" s="2"/>
      <c r="H16" s="2"/>
      <c r="I16" s="9" t="s">
        <v>2011</v>
      </c>
      <c r="J16" s="9"/>
      <c r="K16" s="2"/>
      <c r="L16" s="2"/>
    </row>
    <row r="17" spans="1:12" ht="30">
      <c r="A17" s="2"/>
      <c r="B17" s="8"/>
      <c r="C17" s="2"/>
      <c r="D17" s="2"/>
      <c r="E17" s="2" t="s">
        <v>23</v>
      </c>
      <c r="F17" s="2"/>
      <c r="G17" s="2"/>
      <c r="H17" s="2"/>
      <c r="I17" s="9" t="s">
        <v>2011</v>
      </c>
      <c r="J17" s="9"/>
      <c r="K17" s="2"/>
      <c r="L17" s="2"/>
    </row>
    <row r="18" spans="1:12" ht="30">
      <c r="A18" s="2"/>
      <c r="B18" s="8"/>
      <c r="C18" s="2"/>
      <c r="D18" s="2"/>
      <c r="E18" s="2" t="s">
        <v>23</v>
      </c>
      <c r="F18" s="2"/>
      <c r="G18" s="2"/>
      <c r="H18" s="2"/>
      <c r="I18" s="9" t="s">
        <v>2011</v>
      </c>
      <c r="J18" s="9"/>
      <c r="K18" s="2"/>
      <c r="L18" s="2"/>
    </row>
    <row r="22" spans="1:12">
      <c r="B22" s="728"/>
      <c r="C22" s="728"/>
    </row>
    <row r="23" spans="1:12">
      <c r="A23" s="2"/>
      <c r="B23" s="728"/>
      <c r="C23" s="728"/>
    </row>
  </sheetData>
  <mergeCells count="4">
    <mergeCell ref="A1:E1"/>
    <mergeCell ref="F4:G4"/>
    <mergeCell ref="B22:C23"/>
    <mergeCell ref="H2:K3"/>
  </mergeCells>
  <dataValidations count="2">
    <dataValidation type="list" allowBlank="1" showInputMessage="1" showErrorMessage="1" sqref="C7:C18" xr:uid="{00000000-0002-0000-1C00-000000000000}">
      <formula1>"ENERO,FEBRERO,MARZO,ABRIL,MAYO,JUNIO,JULIO,AGOSTO,SEPTIEMBRE,OCTUBRE,NOVIEMBRE,DICIEMBRE"</formula1>
    </dataValidation>
    <dataValidation type="list" allowBlank="1" showInputMessage="1" showErrorMessage="1" sqref="F7:F18" xr:uid="{00000000-0002-0000-1C00-000001000000}">
      <formula1>"EFECTIVO, CHEQUE, TRANSFERENCIA,DEPOSITO"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D6DE-BA70-4AAD-B359-22BEDE129E46}">
  <sheetPr>
    <tabColor rgb="FFFF0000"/>
  </sheetPr>
  <dimension ref="A1:N32"/>
  <sheetViews>
    <sheetView workbookViewId="0">
      <selection activeCell="B2" sqref="B2"/>
    </sheetView>
  </sheetViews>
  <sheetFormatPr defaultColWidth="11.42578125" defaultRowHeight="15"/>
  <cols>
    <col min="2" max="2" width="18.7109375" customWidth="1"/>
    <col min="6" max="6" width="18.28515625" customWidth="1"/>
  </cols>
  <sheetData>
    <row r="1" spans="1:14" ht="21">
      <c r="A1" s="767" t="s">
        <v>2017</v>
      </c>
      <c r="B1" s="767"/>
      <c r="C1" s="767"/>
      <c r="D1" s="767"/>
      <c r="E1" s="767"/>
    </row>
    <row r="2" spans="1:14" ht="30">
      <c r="A2" s="2" t="s">
        <v>93</v>
      </c>
      <c r="B2" s="638" t="s">
        <v>2018</v>
      </c>
      <c r="C2" s="638"/>
      <c r="D2" t="s">
        <v>36</v>
      </c>
      <c r="G2" s="2"/>
      <c r="H2" s="2"/>
      <c r="I2" s="2"/>
      <c r="J2" s="2"/>
      <c r="K2" s="2"/>
    </row>
    <row r="3" spans="1:14">
      <c r="A3" s="2" t="s">
        <v>1670</v>
      </c>
      <c r="B3" s="3">
        <v>10425067139</v>
      </c>
      <c r="D3" s="639" t="s">
        <v>2019</v>
      </c>
      <c r="E3" s="639"/>
      <c r="F3" s="639"/>
      <c r="G3" s="639"/>
    </row>
    <row r="4" spans="1:14" ht="39.75">
      <c r="A4" s="207" t="s">
        <v>4</v>
      </c>
      <c r="B4" s="208">
        <v>44012</v>
      </c>
      <c r="F4" s="768" t="s">
        <v>5</v>
      </c>
      <c r="G4" s="768"/>
      <c r="K4" t="s">
        <v>2020</v>
      </c>
    </row>
    <row r="6" spans="1:14" ht="75.75" thickBot="1">
      <c r="A6" s="209" t="s">
        <v>7</v>
      </c>
      <c r="B6" s="209" t="s">
        <v>8</v>
      </c>
      <c r="C6" s="209" t="s">
        <v>9</v>
      </c>
      <c r="D6" s="209" t="s">
        <v>10</v>
      </c>
      <c r="E6" s="209" t="s">
        <v>11</v>
      </c>
      <c r="F6" s="209" t="s">
        <v>12</v>
      </c>
      <c r="G6" s="209" t="s">
        <v>13</v>
      </c>
      <c r="H6" s="209" t="s">
        <v>14</v>
      </c>
      <c r="I6" s="209" t="s">
        <v>15</v>
      </c>
      <c r="J6" s="209" t="s">
        <v>16</v>
      </c>
      <c r="K6" s="209" t="s">
        <v>18</v>
      </c>
      <c r="L6" s="209" t="s">
        <v>99</v>
      </c>
    </row>
    <row r="7" spans="1:14" ht="30">
      <c r="A7" s="7">
        <v>44012</v>
      </c>
      <c r="B7" s="8">
        <v>94.4</v>
      </c>
      <c r="C7" s="2" t="s">
        <v>57</v>
      </c>
      <c r="D7" s="7">
        <v>44043</v>
      </c>
      <c r="E7" s="2" t="s">
        <v>23</v>
      </c>
      <c r="F7" s="2" t="s">
        <v>28</v>
      </c>
      <c r="G7" s="2">
        <v>1</v>
      </c>
      <c r="H7" s="2">
        <v>483</v>
      </c>
      <c r="I7" s="9" t="s">
        <v>2021</v>
      </c>
      <c r="J7" s="9" t="s">
        <v>2022</v>
      </c>
      <c r="K7" s="2" t="s">
        <v>318</v>
      </c>
      <c r="L7" s="2"/>
    </row>
    <row r="8" spans="1:14" ht="30">
      <c r="A8" s="7">
        <v>44071</v>
      </c>
      <c r="B8" s="8">
        <v>94.4</v>
      </c>
      <c r="C8" s="2" t="s">
        <v>47</v>
      </c>
      <c r="D8" s="7">
        <v>44072</v>
      </c>
      <c r="E8" s="2" t="s">
        <v>23</v>
      </c>
      <c r="F8" s="2" t="s">
        <v>24</v>
      </c>
      <c r="G8" s="2">
        <v>2</v>
      </c>
      <c r="H8" s="2">
        <v>752</v>
      </c>
      <c r="I8" s="9" t="s">
        <v>2021</v>
      </c>
      <c r="J8" s="9" t="s">
        <v>2023</v>
      </c>
      <c r="K8" s="2" t="s">
        <v>318</v>
      </c>
      <c r="L8" s="2"/>
    </row>
    <row r="9" spans="1:14" ht="30">
      <c r="A9" s="7">
        <v>44103</v>
      </c>
      <c r="B9" s="8">
        <v>94.4</v>
      </c>
      <c r="C9" s="2" t="s">
        <v>50</v>
      </c>
      <c r="D9" s="7">
        <v>44103</v>
      </c>
      <c r="E9" s="2" t="s">
        <v>23</v>
      </c>
      <c r="F9" s="2" t="s">
        <v>24</v>
      </c>
      <c r="G9" s="2">
        <v>3</v>
      </c>
      <c r="H9" s="2">
        <v>1055</v>
      </c>
      <c r="I9" s="9" t="s">
        <v>2021</v>
      </c>
      <c r="J9" s="9" t="s">
        <v>2024</v>
      </c>
      <c r="K9" s="2" t="s">
        <v>318</v>
      </c>
      <c r="L9" s="2"/>
    </row>
    <row r="10" spans="1:14" ht="30">
      <c r="A10" s="7">
        <v>44135</v>
      </c>
      <c r="B10" s="8">
        <v>94.4</v>
      </c>
      <c r="C10" s="2" t="s">
        <v>54</v>
      </c>
      <c r="D10" s="7">
        <v>44135</v>
      </c>
      <c r="E10" s="2" t="s">
        <v>23</v>
      </c>
      <c r="F10" s="2" t="s">
        <v>28</v>
      </c>
      <c r="G10" s="2">
        <v>4</v>
      </c>
      <c r="H10" s="2">
        <v>1146</v>
      </c>
      <c r="I10" s="9" t="s">
        <v>2021</v>
      </c>
      <c r="J10" s="9" t="s">
        <v>2025</v>
      </c>
      <c r="K10" s="2" t="s">
        <v>318</v>
      </c>
      <c r="L10" s="2"/>
    </row>
    <row r="11" spans="1:14" ht="30">
      <c r="A11" s="7">
        <v>44163</v>
      </c>
      <c r="B11" s="8">
        <v>94.4</v>
      </c>
      <c r="C11" s="2" t="s">
        <v>27</v>
      </c>
      <c r="D11" s="7">
        <v>44163</v>
      </c>
      <c r="E11" s="2" t="s">
        <v>23</v>
      </c>
      <c r="F11" s="2" t="s">
        <v>28</v>
      </c>
      <c r="G11" s="2">
        <v>5</v>
      </c>
      <c r="H11" s="2">
        <v>1255</v>
      </c>
      <c r="I11" s="9" t="s">
        <v>2021</v>
      </c>
      <c r="J11" s="9" t="s">
        <v>2026</v>
      </c>
      <c r="K11" s="2" t="s">
        <v>318</v>
      </c>
      <c r="L11" s="2"/>
    </row>
    <row r="12" spans="1:14" ht="30">
      <c r="A12" s="2" t="s">
        <v>2027</v>
      </c>
      <c r="B12" s="8">
        <v>94.4</v>
      </c>
      <c r="C12" s="2" t="s">
        <v>30</v>
      </c>
      <c r="D12" s="7">
        <v>44196</v>
      </c>
      <c r="E12" s="2" t="s">
        <v>23</v>
      </c>
      <c r="F12" s="2" t="s">
        <v>28</v>
      </c>
      <c r="G12" s="2">
        <v>6</v>
      </c>
      <c r="H12" s="2">
        <v>1575</v>
      </c>
      <c r="I12" s="9" t="s">
        <v>2021</v>
      </c>
      <c r="J12" s="9" t="s">
        <v>2028</v>
      </c>
      <c r="K12" s="2" t="s">
        <v>318</v>
      </c>
      <c r="L12" s="2"/>
    </row>
    <row r="13" spans="1:14" ht="30">
      <c r="A13" s="7">
        <v>44226</v>
      </c>
      <c r="B13" s="8">
        <v>94.4</v>
      </c>
      <c r="C13" s="2" t="s">
        <v>32</v>
      </c>
      <c r="D13" s="7">
        <v>44226</v>
      </c>
      <c r="E13" s="2" t="s">
        <v>23</v>
      </c>
      <c r="F13" s="2" t="s">
        <v>28</v>
      </c>
      <c r="G13" s="2">
        <v>7</v>
      </c>
      <c r="H13" s="2">
        <v>1803</v>
      </c>
      <c r="I13" s="9" t="s">
        <v>2021</v>
      </c>
      <c r="J13" s="9" t="s">
        <v>2029</v>
      </c>
      <c r="K13" s="2" t="s">
        <v>318</v>
      </c>
      <c r="L13" s="2"/>
      <c r="N13" t="s">
        <v>2030</v>
      </c>
    </row>
    <row r="14" spans="1:14" ht="30">
      <c r="A14" s="7">
        <v>44254</v>
      </c>
      <c r="B14" s="8">
        <v>94.4</v>
      </c>
      <c r="C14" s="2" t="s">
        <v>34</v>
      </c>
      <c r="D14" s="7">
        <v>44254</v>
      </c>
      <c r="E14" s="2" t="s">
        <v>23</v>
      </c>
      <c r="F14" s="2" t="s">
        <v>28</v>
      </c>
      <c r="G14" s="2">
        <v>8</v>
      </c>
      <c r="H14" s="9" t="s">
        <v>2031</v>
      </c>
      <c r="I14" s="9" t="s">
        <v>2021</v>
      </c>
      <c r="J14" s="9" t="s">
        <v>2032</v>
      </c>
      <c r="K14" s="2" t="s">
        <v>318</v>
      </c>
      <c r="L14" s="2"/>
    </row>
    <row r="15" spans="1:14" ht="30">
      <c r="A15" s="7">
        <v>44282</v>
      </c>
      <c r="B15" s="8">
        <v>94.4</v>
      </c>
      <c r="C15" s="2" t="s">
        <v>38</v>
      </c>
      <c r="D15" s="7">
        <v>44282</v>
      </c>
      <c r="E15" s="2" t="s">
        <v>23</v>
      </c>
      <c r="F15" s="2" t="s">
        <v>28</v>
      </c>
      <c r="G15" s="2">
        <v>9</v>
      </c>
      <c r="H15" s="9" t="s">
        <v>2033</v>
      </c>
      <c r="I15" s="9" t="s">
        <v>2021</v>
      </c>
      <c r="J15" s="9" t="s">
        <v>2034</v>
      </c>
      <c r="K15" s="2" t="s">
        <v>318</v>
      </c>
      <c r="L15" s="2"/>
    </row>
    <row r="16" spans="1:14" ht="30">
      <c r="A16" s="7">
        <v>44345</v>
      </c>
      <c r="B16" s="8">
        <v>94.4</v>
      </c>
      <c r="C16" s="2" t="s">
        <v>44</v>
      </c>
      <c r="D16" s="7">
        <v>44345</v>
      </c>
      <c r="E16" s="2" t="s">
        <v>23</v>
      </c>
      <c r="F16" s="2" t="s">
        <v>28</v>
      </c>
      <c r="G16" s="2">
        <v>10</v>
      </c>
      <c r="H16" s="9" t="s">
        <v>2035</v>
      </c>
      <c r="I16" s="9" t="s">
        <v>2021</v>
      </c>
      <c r="J16" s="9" t="s">
        <v>2036</v>
      </c>
      <c r="K16" s="2" t="s">
        <v>318</v>
      </c>
      <c r="L16" s="2"/>
    </row>
    <row r="17" spans="1:12" ht="30">
      <c r="A17" s="7">
        <v>44373</v>
      </c>
      <c r="B17" s="8">
        <v>94.4</v>
      </c>
      <c r="C17" s="2" t="s">
        <v>57</v>
      </c>
      <c r="D17" s="7">
        <v>44373</v>
      </c>
      <c r="E17" s="2" t="s">
        <v>23</v>
      </c>
      <c r="F17" s="2" t="s">
        <v>28</v>
      </c>
      <c r="G17" s="2">
        <v>11</v>
      </c>
      <c r="H17" s="9" t="s">
        <v>2037</v>
      </c>
      <c r="I17" s="9" t="s">
        <v>2021</v>
      </c>
      <c r="J17" s="9" t="s">
        <v>2038</v>
      </c>
      <c r="K17" s="2" t="s">
        <v>318</v>
      </c>
      <c r="L17" s="2"/>
    </row>
    <row r="18" spans="1:12" ht="30">
      <c r="A18" s="7">
        <v>44408</v>
      </c>
      <c r="B18" s="8">
        <v>94.4</v>
      </c>
      <c r="C18" s="2" t="s">
        <v>47</v>
      </c>
      <c r="D18" s="7">
        <v>44408</v>
      </c>
      <c r="E18" s="2" t="s">
        <v>23</v>
      </c>
      <c r="F18" s="2" t="s">
        <v>28</v>
      </c>
      <c r="G18" s="2">
        <v>12</v>
      </c>
      <c r="H18" s="9" t="s">
        <v>2039</v>
      </c>
      <c r="I18" s="9" t="s">
        <v>2021</v>
      </c>
      <c r="J18" s="9" t="s">
        <v>2040</v>
      </c>
      <c r="K18" s="2" t="s">
        <v>318</v>
      </c>
      <c r="L18" s="2"/>
    </row>
    <row r="19" spans="1:12" ht="30">
      <c r="A19" s="7">
        <v>44469</v>
      </c>
      <c r="B19" s="8">
        <v>94.4</v>
      </c>
      <c r="C19" s="2" t="s">
        <v>50</v>
      </c>
      <c r="D19" s="7">
        <v>44436</v>
      </c>
      <c r="E19" s="2" t="s">
        <v>23</v>
      </c>
      <c r="F19" s="2" t="s">
        <v>28</v>
      </c>
      <c r="G19" s="2">
        <v>13</v>
      </c>
      <c r="H19" s="2">
        <v>2803</v>
      </c>
      <c r="I19" s="9" t="s">
        <v>2021</v>
      </c>
      <c r="J19" s="2">
        <v>5503</v>
      </c>
      <c r="K19" s="2" t="s">
        <v>318</v>
      </c>
      <c r="L19" s="2"/>
    </row>
    <row r="20" spans="1:12" ht="30">
      <c r="A20" s="7">
        <v>44469</v>
      </c>
      <c r="B20" s="8">
        <v>94.4</v>
      </c>
      <c r="C20" s="2" t="s">
        <v>22</v>
      </c>
      <c r="D20" s="7">
        <v>44469</v>
      </c>
      <c r="E20" s="2" t="s">
        <v>23</v>
      </c>
      <c r="F20" s="2" t="s">
        <v>28</v>
      </c>
      <c r="G20" s="2">
        <v>14</v>
      </c>
      <c r="H20" s="2">
        <v>2803</v>
      </c>
      <c r="I20" s="2"/>
      <c r="J20" s="2">
        <v>6355</v>
      </c>
      <c r="K20" s="2" t="s">
        <v>318</v>
      </c>
      <c r="L20" s="2"/>
    </row>
    <row r="21" spans="1:12" ht="30">
      <c r="A21" s="7">
        <v>44499</v>
      </c>
      <c r="B21" s="2" t="s">
        <v>1858</v>
      </c>
      <c r="C21" s="2" t="s">
        <v>54</v>
      </c>
      <c r="D21" s="7">
        <v>44499</v>
      </c>
      <c r="E21" s="2" t="s">
        <v>23</v>
      </c>
      <c r="F21" s="2" t="s">
        <v>28</v>
      </c>
      <c r="G21" s="2">
        <v>15</v>
      </c>
      <c r="H21" s="2">
        <v>3412</v>
      </c>
      <c r="I21" s="2"/>
      <c r="J21" s="2">
        <v>7091</v>
      </c>
      <c r="K21" s="2" t="s">
        <v>329</v>
      </c>
      <c r="L21" s="2"/>
    </row>
    <row r="22" spans="1:12" ht="30">
      <c r="A22" s="7">
        <v>44558</v>
      </c>
      <c r="B22" s="2" t="s">
        <v>1858</v>
      </c>
      <c r="C22" s="2" t="s">
        <v>27</v>
      </c>
      <c r="D22" s="7">
        <v>44527</v>
      </c>
      <c r="E22" s="2" t="s">
        <v>23</v>
      </c>
      <c r="F22" s="2" t="s">
        <v>28</v>
      </c>
      <c r="G22" s="2">
        <v>16</v>
      </c>
      <c r="H22" s="2">
        <v>3985</v>
      </c>
      <c r="I22" s="2"/>
      <c r="J22" s="2">
        <v>7872</v>
      </c>
      <c r="K22" s="2" t="s">
        <v>329</v>
      </c>
      <c r="L22" s="2"/>
    </row>
    <row r="23" spans="1:12" ht="30">
      <c r="A23" s="7">
        <v>44558</v>
      </c>
      <c r="B23" s="2" t="s">
        <v>1858</v>
      </c>
      <c r="C23" s="2" t="s">
        <v>30</v>
      </c>
      <c r="D23" s="7">
        <v>44558</v>
      </c>
      <c r="E23" s="2" t="s">
        <v>23</v>
      </c>
      <c r="F23" s="2" t="s">
        <v>28</v>
      </c>
      <c r="G23" s="2">
        <v>17</v>
      </c>
      <c r="H23" s="2">
        <v>4528</v>
      </c>
      <c r="I23" s="2"/>
      <c r="J23" s="2">
        <v>8678</v>
      </c>
      <c r="K23" s="2" t="s">
        <v>329</v>
      </c>
      <c r="L23" s="2"/>
    </row>
    <row r="24" spans="1:12" ht="30">
      <c r="A24" s="2"/>
      <c r="B24" s="2"/>
      <c r="C24" s="2"/>
      <c r="D24" s="2"/>
      <c r="E24" s="2" t="s">
        <v>23</v>
      </c>
      <c r="F24" s="2"/>
      <c r="G24" s="2"/>
      <c r="H24" s="2"/>
      <c r="I24" s="2"/>
      <c r="J24" s="2"/>
      <c r="K24" s="2"/>
      <c r="L24" s="2"/>
    </row>
    <row r="25" spans="1:12" ht="30">
      <c r="A25" s="2"/>
      <c r="B25" s="2"/>
      <c r="C25" s="2"/>
      <c r="D25" s="2"/>
      <c r="E25" s="2" t="s">
        <v>23</v>
      </c>
      <c r="F25" s="2"/>
      <c r="G25" s="2"/>
      <c r="H25" s="2"/>
      <c r="I25" s="2"/>
      <c r="J25" s="2"/>
      <c r="K25" s="2"/>
      <c r="L25" s="2"/>
    </row>
    <row r="26" spans="1:12" ht="30">
      <c r="A26" s="2"/>
      <c r="B26" s="2"/>
      <c r="C26" s="2"/>
      <c r="D26" s="2"/>
      <c r="E26" s="2" t="s">
        <v>23</v>
      </c>
      <c r="F26" s="2"/>
      <c r="G26" s="2"/>
      <c r="H26" s="2"/>
      <c r="I26" s="2"/>
      <c r="J26" s="2"/>
      <c r="K26" s="2"/>
      <c r="L26" s="2"/>
    </row>
    <row r="27" spans="1:12" ht="30">
      <c r="A27" s="2"/>
      <c r="B27" s="2"/>
      <c r="C27" s="2"/>
      <c r="D27" s="2"/>
      <c r="E27" s="2" t="s">
        <v>23</v>
      </c>
      <c r="F27" s="2"/>
      <c r="G27" s="2"/>
      <c r="H27" s="2"/>
      <c r="I27" s="2"/>
      <c r="J27" s="2"/>
      <c r="K27" s="2"/>
      <c r="L27" s="2"/>
    </row>
    <row r="28" spans="1:12" ht="30">
      <c r="A28" s="2"/>
      <c r="B28" s="2"/>
      <c r="C28" s="2"/>
      <c r="D28" s="2"/>
      <c r="E28" s="2" t="s">
        <v>23</v>
      </c>
      <c r="F28" s="2"/>
      <c r="G28" s="2"/>
      <c r="H28" s="2"/>
      <c r="I28" s="2"/>
      <c r="J28" s="2"/>
      <c r="K28" s="2"/>
      <c r="L28" s="2"/>
    </row>
    <row r="29" spans="1:12" ht="30">
      <c r="A29" s="2"/>
      <c r="B29" s="2"/>
      <c r="C29" s="2"/>
      <c r="D29" s="2"/>
      <c r="E29" s="2" t="s">
        <v>23</v>
      </c>
      <c r="F29" s="2"/>
      <c r="G29" s="2"/>
      <c r="H29" s="2"/>
      <c r="I29" s="2"/>
      <c r="J29" s="2"/>
      <c r="K29" s="2"/>
      <c r="L29" s="2"/>
    </row>
    <row r="30" spans="1:12" ht="30">
      <c r="A30" s="2"/>
      <c r="B30" s="2"/>
      <c r="C30" s="2"/>
      <c r="D30" s="2"/>
      <c r="E30" s="2" t="s">
        <v>23</v>
      </c>
      <c r="F30" s="2"/>
      <c r="G30" s="2"/>
      <c r="H30" s="2"/>
      <c r="I30" s="2"/>
      <c r="J30" s="2"/>
      <c r="K30" s="2"/>
      <c r="L30" s="2"/>
    </row>
    <row r="31" spans="1:12">
      <c r="B31" s="728"/>
      <c r="C31" s="728"/>
    </row>
    <row r="32" spans="1:12">
      <c r="A32" s="2"/>
      <c r="B32" s="728"/>
      <c r="C32" s="728"/>
    </row>
  </sheetData>
  <mergeCells count="5">
    <mergeCell ref="A1:E1"/>
    <mergeCell ref="F4:G4"/>
    <mergeCell ref="B31:C32"/>
    <mergeCell ref="B2:C2"/>
    <mergeCell ref="D3:G3"/>
  </mergeCells>
  <dataValidations count="2">
    <dataValidation type="list" allowBlank="1" showInputMessage="1" showErrorMessage="1" sqref="F7:F30" xr:uid="{00000000-0002-0000-1D00-000000000000}">
      <formula1>"EFECTIVO, CHEQUE, TRANSFERENCIA,DEPOSITO"</formula1>
    </dataValidation>
    <dataValidation type="list" allowBlank="1" showInputMessage="1" showErrorMessage="1" sqref="C7:C30" xr:uid="{00000000-0002-0000-1D00-000001000000}">
      <formula1>"ENERO,FEBRERO,MARZO,ABRIL,MAYO,JUNIO,JULIO,AGOSTO,SEPTIEMBRE,OCTUBRE,NOVIEMBRE,DICIEMBRE"</formula1>
    </dataValidation>
  </dataValidations>
  <hyperlinks>
    <hyperlink ref="D3" r:id="rId1" xr:uid="{00000000-0004-0000-1D00-000000000000}"/>
  </hyperlinks>
  <pageMargins left="0.7" right="0.7" top="0.75" bottom="0.75" header="0.3" footer="0.3"/>
  <pageSetup orientation="portrait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0A8A-C61D-4E28-809F-F83DF3293966}">
  <sheetPr>
    <tabColor rgb="FFFF0000"/>
  </sheetPr>
  <dimension ref="A1:L35"/>
  <sheetViews>
    <sheetView workbookViewId="0"/>
  </sheetViews>
  <sheetFormatPr defaultColWidth="11.42578125" defaultRowHeight="15"/>
  <cols>
    <col min="2" max="2" width="18.7109375" customWidth="1"/>
    <col min="6" max="6" width="18.28515625" customWidth="1"/>
  </cols>
  <sheetData>
    <row r="1" spans="1:12" ht="21">
      <c r="A1" s="769" t="s">
        <v>2041</v>
      </c>
      <c r="B1" s="769"/>
      <c r="C1" s="769"/>
      <c r="D1" s="769"/>
      <c r="E1" s="769"/>
    </row>
    <row r="2" spans="1:12" ht="30">
      <c r="A2" s="2" t="s">
        <v>93</v>
      </c>
      <c r="B2" s="638" t="s">
        <v>2042</v>
      </c>
      <c r="C2" s="638"/>
      <c r="F2" s="639" t="s">
        <v>2043</v>
      </c>
      <c r="G2" s="639"/>
      <c r="H2" s="639"/>
      <c r="I2" s="639"/>
      <c r="J2" s="639"/>
    </row>
    <row r="3" spans="1:12">
      <c r="A3" s="2" t="s">
        <v>1670</v>
      </c>
      <c r="B3" s="3">
        <v>20535015164</v>
      </c>
    </row>
    <row r="4" spans="1:12" ht="37.5">
      <c r="A4" s="210" t="s">
        <v>4</v>
      </c>
      <c r="B4" s="211">
        <v>44070</v>
      </c>
      <c r="F4" s="770" t="s">
        <v>1125</v>
      </c>
      <c r="G4" s="770"/>
      <c r="I4" s="771" t="s">
        <v>2044</v>
      </c>
      <c r="J4" s="771"/>
      <c r="K4" s="771"/>
      <c r="L4" s="771"/>
    </row>
    <row r="6" spans="1:12" ht="75.75" thickBot="1">
      <c r="A6" s="178" t="s">
        <v>7</v>
      </c>
      <c r="B6" s="178" t="s">
        <v>8</v>
      </c>
      <c r="C6" s="178" t="s">
        <v>9</v>
      </c>
      <c r="D6" s="178" t="s">
        <v>10</v>
      </c>
      <c r="E6" s="178" t="s">
        <v>11</v>
      </c>
      <c r="F6" s="178" t="s">
        <v>12</v>
      </c>
      <c r="G6" s="178" t="s">
        <v>13</v>
      </c>
      <c r="H6" s="178" t="s">
        <v>14</v>
      </c>
      <c r="I6" s="178" t="s">
        <v>15</v>
      </c>
      <c r="J6" s="178" t="s">
        <v>16</v>
      </c>
      <c r="K6" s="178" t="s">
        <v>18</v>
      </c>
    </row>
    <row r="7" spans="1:12" ht="30">
      <c r="A7" s="7">
        <v>44070</v>
      </c>
      <c r="B7" s="8">
        <v>94.4</v>
      </c>
      <c r="C7" s="2" t="s">
        <v>57</v>
      </c>
      <c r="D7" s="7">
        <v>44070</v>
      </c>
      <c r="E7" s="2" t="s">
        <v>23</v>
      </c>
      <c r="F7" s="2" t="s">
        <v>28</v>
      </c>
      <c r="G7" s="2">
        <v>1</v>
      </c>
      <c r="H7" s="2">
        <v>749</v>
      </c>
      <c r="I7" s="9" t="s">
        <v>2045</v>
      </c>
      <c r="J7" s="9" t="s">
        <v>2046</v>
      </c>
      <c r="K7" s="2" t="s">
        <v>318</v>
      </c>
    </row>
    <row r="8" spans="1:12" ht="30">
      <c r="A8" s="7">
        <v>44104</v>
      </c>
      <c r="B8" s="8">
        <v>94.4</v>
      </c>
      <c r="C8" s="2" t="s">
        <v>47</v>
      </c>
      <c r="D8" s="7">
        <v>44104</v>
      </c>
      <c r="E8" s="2" t="s">
        <v>23</v>
      </c>
      <c r="F8" s="2" t="s">
        <v>28</v>
      </c>
      <c r="G8" s="2">
        <v>2</v>
      </c>
      <c r="H8" s="2">
        <v>930</v>
      </c>
      <c r="I8" s="9" t="s">
        <v>2045</v>
      </c>
      <c r="J8" s="9" t="s">
        <v>2047</v>
      </c>
      <c r="K8" s="2" t="s">
        <v>318</v>
      </c>
    </row>
    <row r="9" spans="1:12" ht="30">
      <c r="A9" s="7">
        <v>44133</v>
      </c>
      <c r="B9" s="8">
        <v>94.4</v>
      </c>
      <c r="C9" s="2" t="s">
        <v>50</v>
      </c>
      <c r="D9" s="7">
        <v>44133</v>
      </c>
      <c r="E9" s="2" t="s">
        <v>23</v>
      </c>
      <c r="F9" s="2" t="s">
        <v>28</v>
      </c>
      <c r="G9" s="2">
        <v>3</v>
      </c>
      <c r="H9" s="2">
        <v>1110</v>
      </c>
      <c r="I9" s="9" t="s">
        <v>2045</v>
      </c>
      <c r="J9" s="9" t="s">
        <v>2048</v>
      </c>
      <c r="K9" s="2" t="s">
        <v>318</v>
      </c>
    </row>
    <row r="10" spans="1:12" ht="30">
      <c r="A10" s="7">
        <v>44226</v>
      </c>
      <c r="B10" s="8">
        <v>94.4</v>
      </c>
      <c r="C10" s="2" t="s">
        <v>27</v>
      </c>
      <c r="D10" s="7">
        <v>44161</v>
      </c>
      <c r="E10" s="2" t="s">
        <v>23</v>
      </c>
      <c r="F10" s="2" t="s">
        <v>28</v>
      </c>
      <c r="G10" s="2">
        <v>4</v>
      </c>
      <c r="H10" s="2">
        <v>1313</v>
      </c>
      <c r="I10" s="9" t="s">
        <v>2045</v>
      </c>
      <c r="J10" s="9" t="s">
        <v>2049</v>
      </c>
      <c r="K10" s="2" t="s">
        <v>318</v>
      </c>
    </row>
    <row r="11" spans="1:12" ht="30">
      <c r="A11" s="7">
        <v>44198</v>
      </c>
      <c r="B11" s="8">
        <v>94.4</v>
      </c>
      <c r="C11" s="2" t="s">
        <v>30</v>
      </c>
      <c r="D11" s="7">
        <v>44185</v>
      </c>
      <c r="E11" s="2" t="s">
        <v>23</v>
      </c>
      <c r="F11" s="2" t="s">
        <v>28</v>
      </c>
      <c r="G11" s="2">
        <v>5</v>
      </c>
      <c r="H11" s="2">
        <v>1597</v>
      </c>
      <c r="I11" s="9" t="s">
        <v>2045</v>
      </c>
      <c r="J11" s="9" t="s">
        <v>2050</v>
      </c>
      <c r="K11" s="2" t="s">
        <v>318</v>
      </c>
    </row>
    <row r="12" spans="1:12" ht="30">
      <c r="A12" s="7">
        <v>44226</v>
      </c>
      <c r="B12" s="8">
        <v>94.4</v>
      </c>
      <c r="C12" s="2" t="s">
        <v>32</v>
      </c>
      <c r="D12" s="7">
        <v>44226</v>
      </c>
      <c r="E12" s="2" t="s">
        <v>23</v>
      </c>
      <c r="F12" s="2" t="s">
        <v>28</v>
      </c>
      <c r="G12" s="2">
        <v>6</v>
      </c>
      <c r="H12" s="2">
        <v>1866</v>
      </c>
      <c r="I12" s="9" t="s">
        <v>2045</v>
      </c>
      <c r="J12" s="9" t="s">
        <v>2051</v>
      </c>
      <c r="K12" s="2" t="s">
        <v>318</v>
      </c>
    </row>
    <row r="13" spans="1:12" ht="30">
      <c r="A13" s="7">
        <v>44257</v>
      </c>
      <c r="B13" s="8">
        <v>94.4</v>
      </c>
      <c r="C13" s="2" t="s">
        <v>38</v>
      </c>
      <c r="D13" s="7">
        <v>44257</v>
      </c>
      <c r="E13" s="2" t="s">
        <v>23</v>
      </c>
      <c r="F13" s="2" t="s">
        <v>24</v>
      </c>
      <c r="G13" s="2">
        <v>7</v>
      </c>
      <c r="H13" s="9" t="s">
        <v>2052</v>
      </c>
      <c r="I13" s="9" t="s">
        <v>2045</v>
      </c>
      <c r="J13" s="9" t="s">
        <v>2053</v>
      </c>
      <c r="K13" s="2" t="s">
        <v>318</v>
      </c>
    </row>
    <row r="14" spans="1:12" ht="30">
      <c r="A14" s="7">
        <v>44377</v>
      </c>
      <c r="B14" s="8">
        <v>94.4</v>
      </c>
      <c r="C14" s="2" t="s">
        <v>57</v>
      </c>
      <c r="D14" s="7">
        <v>44377</v>
      </c>
      <c r="E14" s="2" t="s">
        <v>23</v>
      </c>
      <c r="F14" s="2" t="s">
        <v>28</v>
      </c>
      <c r="G14" s="2">
        <v>8</v>
      </c>
      <c r="H14" s="9" t="s">
        <v>2054</v>
      </c>
      <c r="I14" s="9" t="s">
        <v>2045</v>
      </c>
      <c r="J14" s="9" t="s">
        <v>2055</v>
      </c>
      <c r="K14" s="2" t="s">
        <v>318</v>
      </c>
    </row>
    <row r="15" spans="1:12" ht="30">
      <c r="A15" s="7">
        <v>44474</v>
      </c>
      <c r="B15" s="8">
        <v>94.4</v>
      </c>
      <c r="C15" s="2" t="s">
        <v>47</v>
      </c>
      <c r="D15" s="7">
        <v>44408</v>
      </c>
      <c r="E15" s="2" t="s">
        <v>23</v>
      </c>
      <c r="F15" s="2" t="s">
        <v>24</v>
      </c>
      <c r="G15" s="2">
        <v>9</v>
      </c>
      <c r="H15" s="9" t="s">
        <v>2056</v>
      </c>
      <c r="I15" s="9" t="s">
        <v>2045</v>
      </c>
      <c r="J15" s="9" t="s">
        <v>2057</v>
      </c>
      <c r="K15" s="2" t="s">
        <v>318</v>
      </c>
    </row>
    <row r="16" spans="1:12" ht="30">
      <c r="A16" s="7">
        <v>44474</v>
      </c>
      <c r="B16" s="8">
        <v>94.4</v>
      </c>
      <c r="C16" s="2" t="s">
        <v>50</v>
      </c>
      <c r="D16" s="7">
        <v>44439</v>
      </c>
      <c r="E16" s="2" t="s">
        <v>23</v>
      </c>
      <c r="F16" s="2" t="s">
        <v>24</v>
      </c>
      <c r="G16" s="2">
        <v>10</v>
      </c>
      <c r="H16" s="9" t="s">
        <v>2058</v>
      </c>
      <c r="I16" s="9" t="s">
        <v>2045</v>
      </c>
      <c r="J16" s="9" t="s">
        <v>2059</v>
      </c>
      <c r="K16" s="2" t="s">
        <v>318</v>
      </c>
    </row>
    <row r="17" spans="1:11" ht="30">
      <c r="A17" s="7">
        <v>44474</v>
      </c>
      <c r="B17" s="8" t="s">
        <v>1858</v>
      </c>
      <c r="C17" s="2" t="s">
        <v>22</v>
      </c>
      <c r="D17" s="7">
        <v>44469</v>
      </c>
      <c r="E17" s="2" t="s">
        <v>23</v>
      </c>
      <c r="F17" s="2" t="s">
        <v>24</v>
      </c>
      <c r="G17" s="2">
        <v>11</v>
      </c>
      <c r="H17" s="9" t="s">
        <v>2060</v>
      </c>
      <c r="I17" s="9" t="s">
        <v>2045</v>
      </c>
      <c r="J17" s="9" t="s">
        <v>2061</v>
      </c>
      <c r="K17" s="2" t="s">
        <v>318</v>
      </c>
    </row>
    <row r="18" spans="1:11" ht="30">
      <c r="A18" s="7">
        <v>44711</v>
      </c>
      <c r="B18" s="8" t="s">
        <v>1858</v>
      </c>
      <c r="C18" s="2" t="s">
        <v>54</v>
      </c>
      <c r="D18" s="7">
        <v>44499</v>
      </c>
      <c r="E18" s="2" t="s">
        <v>23</v>
      </c>
      <c r="F18" s="2" t="s">
        <v>24</v>
      </c>
      <c r="G18" s="2">
        <v>12</v>
      </c>
      <c r="H18" s="9" t="s">
        <v>2062</v>
      </c>
      <c r="I18" s="9" t="s">
        <v>2045</v>
      </c>
      <c r="J18" s="9" t="s">
        <v>2063</v>
      </c>
      <c r="K18" s="2" t="s">
        <v>318</v>
      </c>
    </row>
    <row r="19" spans="1:11" ht="30">
      <c r="A19" s="7">
        <v>44711</v>
      </c>
      <c r="B19" s="2" t="s">
        <v>1858</v>
      </c>
      <c r="C19" s="2" t="s">
        <v>27</v>
      </c>
      <c r="D19" s="7">
        <v>44530</v>
      </c>
      <c r="E19" s="2" t="s">
        <v>23</v>
      </c>
      <c r="F19" s="2" t="s">
        <v>24</v>
      </c>
      <c r="G19" s="2">
        <v>13</v>
      </c>
      <c r="H19" s="9" t="s">
        <v>2064</v>
      </c>
      <c r="I19" s="9" t="s">
        <v>2045</v>
      </c>
      <c r="J19" s="2">
        <v>7919</v>
      </c>
      <c r="K19" s="2" t="s">
        <v>318</v>
      </c>
    </row>
    <row r="20" spans="1:11" ht="30">
      <c r="A20" s="7">
        <v>44711</v>
      </c>
      <c r="B20" s="2" t="s">
        <v>1858</v>
      </c>
      <c r="C20" s="2" t="s">
        <v>30</v>
      </c>
      <c r="D20" s="7">
        <v>44558</v>
      </c>
      <c r="E20" s="2" t="s">
        <v>23</v>
      </c>
      <c r="F20" s="2" t="s">
        <v>24</v>
      </c>
      <c r="G20" s="2">
        <v>14</v>
      </c>
      <c r="H20" s="2">
        <v>4611</v>
      </c>
      <c r="I20" s="2"/>
      <c r="J20" s="2">
        <v>8613</v>
      </c>
      <c r="K20" s="2" t="s">
        <v>318</v>
      </c>
    </row>
    <row r="21" spans="1:11" ht="30">
      <c r="A21" s="7">
        <v>44711</v>
      </c>
      <c r="B21" s="2" t="s">
        <v>1858</v>
      </c>
      <c r="C21" s="2" t="s">
        <v>32</v>
      </c>
      <c r="D21" s="7">
        <v>44592</v>
      </c>
      <c r="E21" s="2" t="s">
        <v>23</v>
      </c>
      <c r="F21" s="2" t="s">
        <v>24</v>
      </c>
      <c r="G21" s="2">
        <v>15</v>
      </c>
      <c r="H21" s="2">
        <v>5371</v>
      </c>
      <c r="I21" s="2"/>
      <c r="J21" s="2">
        <v>9998</v>
      </c>
      <c r="K21" s="2" t="s">
        <v>318</v>
      </c>
    </row>
    <row r="22" spans="1:11" ht="30">
      <c r="A22" s="7">
        <v>44711</v>
      </c>
      <c r="B22" s="2" t="s">
        <v>1858</v>
      </c>
      <c r="C22" s="2" t="s">
        <v>34</v>
      </c>
      <c r="D22" s="7">
        <v>44620</v>
      </c>
      <c r="E22" s="2" t="s">
        <v>23</v>
      </c>
      <c r="F22" s="2" t="s">
        <v>24</v>
      </c>
      <c r="G22" s="2">
        <v>16</v>
      </c>
      <c r="H22" s="2">
        <v>5794</v>
      </c>
      <c r="I22" s="2"/>
      <c r="J22" s="2">
        <v>11002</v>
      </c>
      <c r="K22" s="2" t="s">
        <v>318</v>
      </c>
    </row>
    <row r="23" spans="1:11" ht="30">
      <c r="A23" s="7">
        <v>44711</v>
      </c>
      <c r="B23" s="2">
        <v>94.4</v>
      </c>
      <c r="C23" s="2" t="s">
        <v>38</v>
      </c>
      <c r="D23" s="7">
        <v>44652</v>
      </c>
      <c r="E23" s="2" t="s">
        <v>23</v>
      </c>
      <c r="F23" s="2" t="s">
        <v>24</v>
      </c>
      <c r="G23" s="2">
        <v>17</v>
      </c>
      <c r="H23" s="2"/>
      <c r="I23" s="2"/>
      <c r="J23" s="2">
        <v>11938</v>
      </c>
      <c r="K23" s="2" t="s">
        <v>318</v>
      </c>
    </row>
    <row r="24" spans="1:11" ht="30">
      <c r="A24" s="2"/>
      <c r="B24" s="2"/>
      <c r="C24" s="2"/>
      <c r="D24" s="2"/>
      <c r="E24" s="2" t="s">
        <v>23</v>
      </c>
      <c r="F24" s="2"/>
      <c r="G24" s="2"/>
      <c r="H24" s="2"/>
      <c r="I24" s="2"/>
      <c r="J24" s="2"/>
      <c r="K24" s="2"/>
    </row>
    <row r="25" spans="1:11" ht="30">
      <c r="A25" s="2"/>
      <c r="B25" s="2"/>
      <c r="C25" s="2"/>
      <c r="D25" s="2"/>
      <c r="E25" s="2" t="s">
        <v>23</v>
      </c>
      <c r="F25" s="2"/>
      <c r="G25" s="2"/>
      <c r="H25" s="2"/>
      <c r="I25" s="2"/>
      <c r="J25" s="2"/>
      <c r="K25" s="2"/>
    </row>
    <row r="26" spans="1:11" ht="30">
      <c r="A26" s="2"/>
      <c r="B26" s="2"/>
      <c r="C26" s="2"/>
      <c r="D26" s="2"/>
      <c r="E26" s="2" t="s">
        <v>23</v>
      </c>
      <c r="F26" s="2"/>
      <c r="G26" s="2"/>
      <c r="H26" s="2"/>
      <c r="I26" s="2"/>
      <c r="J26" s="2"/>
      <c r="K26" s="2"/>
    </row>
    <row r="27" spans="1:11" ht="30">
      <c r="A27" s="2"/>
      <c r="B27" s="2"/>
      <c r="C27" s="2"/>
      <c r="D27" s="2"/>
      <c r="E27" s="2" t="s">
        <v>23</v>
      </c>
      <c r="F27" s="2"/>
      <c r="G27" s="2"/>
      <c r="H27" s="2"/>
      <c r="I27" s="2"/>
      <c r="J27" s="2"/>
      <c r="K27" s="2"/>
    </row>
    <row r="28" spans="1:11" ht="30">
      <c r="A28" s="2"/>
      <c r="B28" s="2"/>
      <c r="C28" s="2"/>
      <c r="D28" s="2"/>
      <c r="E28" s="2" t="s">
        <v>23</v>
      </c>
      <c r="F28" s="2"/>
      <c r="G28" s="2"/>
      <c r="H28" s="2"/>
      <c r="I28" s="2"/>
      <c r="J28" s="2"/>
      <c r="K28" s="2"/>
    </row>
    <row r="29" spans="1:11" ht="30">
      <c r="A29" s="2"/>
      <c r="B29" s="2"/>
      <c r="C29" s="2"/>
      <c r="D29" s="2"/>
      <c r="E29" s="2" t="s">
        <v>23</v>
      </c>
      <c r="F29" s="2"/>
      <c r="G29" s="2"/>
      <c r="H29" s="2"/>
      <c r="I29" s="2"/>
      <c r="J29" s="2"/>
      <c r="K29" s="2"/>
    </row>
    <row r="30" spans="1:11" ht="30">
      <c r="A30" s="2"/>
      <c r="B30" s="2"/>
      <c r="C30" s="2"/>
      <c r="D30" s="2"/>
      <c r="E30" s="2" t="s">
        <v>23</v>
      </c>
      <c r="F30" s="2"/>
      <c r="G30" s="2"/>
      <c r="H30" s="2"/>
      <c r="I30" s="2"/>
      <c r="J30" s="2"/>
      <c r="K30" s="2"/>
    </row>
    <row r="31" spans="1:11" ht="30">
      <c r="A31" s="2"/>
      <c r="B31" s="2"/>
      <c r="C31" s="2"/>
      <c r="D31" s="2"/>
      <c r="E31" s="2" t="s">
        <v>23</v>
      </c>
      <c r="F31" s="2"/>
      <c r="G31" s="2"/>
      <c r="H31" s="2"/>
      <c r="I31" s="2"/>
      <c r="J31" s="2"/>
      <c r="K31" s="2"/>
    </row>
    <row r="32" spans="1:11" ht="30">
      <c r="A32" s="2"/>
      <c r="B32" s="2"/>
      <c r="C32" s="2"/>
      <c r="D32" s="2"/>
      <c r="E32" s="2" t="s">
        <v>23</v>
      </c>
      <c r="F32" s="2"/>
      <c r="G32" s="2"/>
      <c r="H32" s="2"/>
      <c r="I32" s="2"/>
      <c r="J32" s="2"/>
      <c r="K32" s="2"/>
    </row>
    <row r="33" spans="1:11" ht="30">
      <c r="A33" s="2"/>
      <c r="B33" s="2"/>
      <c r="C33" s="2"/>
      <c r="D33" s="2"/>
      <c r="E33" s="2" t="s">
        <v>23</v>
      </c>
      <c r="F33" s="2"/>
      <c r="G33" s="2"/>
      <c r="H33" s="2"/>
      <c r="I33" s="2"/>
      <c r="J33" s="2"/>
      <c r="K33" s="2"/>
    </row>
    <row r="34" spans="1:11">
      <c r="B34" s="728"/>
      <c r="C34" s="728"/>
    </row>
    <row r="35" spans="1:11">
      <c r="A35" s="2"/>
      <c r="B35" s="728"/>
      <c r="C35" s="728"/>
    </row>
  </sheetData>
  <mergeCells count="6">
    <mergeCell ref="A1:E1"/>
    <mergeCell ref="B2:C2"/>
    <mergeCell ref="F4:G4"/>
    <mergeCell ref="B34:C35"/>
    <mergeCell ref="F2:J2"/>
    <mergeCell ref="I4:L4"/>
  </mergeCells>
  <dataValidations count="2">
    <dataValidation type="list" allowBlank="1" showInputMessage="1" showErrorMessage="1" sqref="C7:C33" xr:uid="{00000000-0002-0000-1E00-000000000000}">
      <formula1>"ENERO,FEBRERO,MARZO,ABRIL,MAYO,JUNIO,JULIO,AGOSTO,SEPTIEMBRE,OCTUBRE,NOVIEMBRE,DICIEMBRE"</formula1>
    </dataValidation>
    <dataValidation type="list" allowBlank="1" showInputMessage="1" showErrorMessage="1" sqref="F7:F33" xr:uid="{00000000-0002-0000-1E00-000001000000}">
      <formula1>"EFECTIVO, CHEQUE, TRANSFERENCIA,DEPOSITO"</formula1>
    </dataValidation>
  </dataValidations>
  <hyperlinks>
    <hyperlink ref="F2" r:id="rId1" xr:uid="{00000000-0004-0000-1E00-000000000000}"/>
    <hyperlink ref="F2:J2" r:id="rId2" display="yobervetsanisidro@hotmail.com" xr:uid="{E90B8AAB-2D0D-40E3-8A9F-0516591B5485}"/>
  </hyperlinks>
  <pageMargins left="0.7" right="0.7" top="0.75" bottom="0.75" header="0.3" footer="0.3"/>
  <pageSetup orientation="portrait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FDA1A-C1D6-469C-A077-489FA97FC79D}">
  <dimension ref="A1:T92"/>
  <sheetViews>
    <sheetView topLeftCell="A60" workbookViewId="0">
      <selection activeCell="B69" sqref="B69"/>
    </sheetView>
  </sheetViews>
  <sheetFormatPr defaultColWidth="11.42578125" defaultRowHeight="15"/>
  <cols>
    <col min="2" max="2" width="18.7109375" customWidth="1"/>
    <col min="5" max="5" width="14.42578125" customWidth="1"/>
    <col min="6" max="6" width="18.28515625" customWidth="1"/>
    <col min="13" max="13" width="18.7109375" customWidth="1"/>
  </cols>
  <sheetData>
    <row r="1" spans="1:20" ht="21">
      <c r="A1" s="1" t="s">
        <v>2065</v>
      </c>
      <c r="B1" s="1"/>
      <c r="C1" s="1"/>
      <c r="D1" s="1"/>
      <c r="E1" s="1"/>
    </row>
    <row r="2" spans="1:20" ht="30.75">
      <c r="A2" s="2" t="s">
        <v>93</v>
      </c>
      <c r="B2" s="638" t="s">
        <v>2066</v>
      </c>
      <c r="C2" s="638"/>
      <c r="E2" s="639" t="s">
        <v>2067</v>
      </c>
      <c r="F2" s="639"/>
      <c r="G2" s="639"/>
      <c r="H2" s="639"/>
      <c r="M2" s="577" t="s">
        <v>2068</v>
      </c>
    </row>
    <row r="3" spans="1:20">
      <c r="A3" s="2" t="s">
        <v>1670</v>
      </c>
      <c r="B3" s="572">
        <v>10459111820</v>
      </c>
    </row>
    <row r="4" spans="1:20" ht="37.5">
      <c r="A4" s="140" t="s">
        <v>4</v>
      </c>
      <c r="B4" s="141">
        <v>45897</v>
      </c>
      <c r="F4" s="640" t="s">
        <v>1125</v>
      </c>
      <c r="G4" s="640"/>
      <c r="I4" s="641" t="s">
        <v>2069</v>
      </c>
      <c r="J4" s="641"/>
      <c r="K4" s="641"/>
      <c r="L4" s="641"/>
    </row>
    <row r="6" spans="1:20" ht="57">
      <c r="A6" s="142" t="s">
        <v>7</v>
      </c>
      <c r="B6" s="142" t="s">
        <v>8</v>
      </c>
      <c r="C6" s="142" t="s">
        <v>9</v>
      </c>
      <c r="D6" s="142" t="s">
        <v>10</v>
      </c>
      <c r="E6" s="142" t="s">
        <v>11</v>
      </c>
      <c r="F6" s="142" t="s">
        <v>12</v>
      </c>
      <c r="G6" s="142" t="s">
        <v>13</v>
      </c>
      <c r="H6" s="142" t="s">
        <v>14</v>
      </c>
      <c r="I6" s="142" t="s">
        <v>15</v>
      </c>
      <c r="J6" s="142" t="s">
        <v>16</v>
      </c>
      <c r="K6" s="142" t="s">
        <v>19</v>
      </c>
      <c r="L6" s="142" t="s">
        <v>18</v>
      </c>
      <c r="M6" s="289" t="s">
        <v>99</v>
      </c>
      <c r="N6" s="289" t="s">
        <v>1672</v>
      </c>
      <c r="Q6" s="516"/>
      <c r="R6" s="516"/>
      <c r="S6" s="516"/>
      <c r="T6" s="516"/>
    </row>
    <row r="7" spans="1:20" ht="30.75">
      <c r="A7" s="7">
        <v>44105</v>
      </c>
      <c r="B7" s="8">
        <v>94.4</v>
      </c>
      <c r="C7" s="2" t="s">
        <v>22</v>
      </c>
      <c r="D7" s="7">
        <v>44105</v>
      </c>
      <c r="E7" s="2" t="s">
        <v>23</v>
      </c>
      <c r="F7" s="2" t="s">
        <v>28</v>
      </c>
      <c r="G7" s="2">
        <v>1</v>
      </c>
      <c r="H7" s="2">
        <v>1056</v>
      </c>
      <c r="I7" s="9" t="s">
        <v>1773</v>
      </c>
      <c r="J7" s="9" t="s">
        <v>2070</v>
      </c>
      <c r="K7" s="9"/>
      <c r="L7" s="2" t="s">
        <v>26</v>
      </c>
      <c r="M7" s="2"/>
      <c r="N7" s="2"/>
    </row>
    <row r="8" spans="1:20" ht="30.75">
      <c r="A8" s="7">
        <v>44133</v>
      </c>
      <c r="B8" s="8">
        <v>94.4</v>
      </c>
      <c r="C8" s="2" t="s">
        <v>54</v>
      </c>
      <c r="D8" s="7">
        <v>44133</v>
      </c>
      <c r="E8" s="2" t="s">
        <v>23</v>
      </c>
      <c r="F8" s="2" t="s">
        <v>28</v>
      </c>
      <c r="G8" s="2">
        <v>2</v>
      </c>
      <c r="H8" s="2">
        <v>1112</v>
      </c>
      <c r="I8" s="9" t="s">
        <v>1773</v>
      </c>
      <c r="J8" s="9" t="s">
        <v>2071</v>
      </c>
      <c r="K8" s="9"/>
      <c r="L8" s="2" t="s">
        <v>26</v>
      </c>
      <c r="M8" s="2"/>
      <c r="N8" s="2"/>
    </row>
    <row r="9" spans="1:20" ht="30.75">
      <c r="A9" s="7">
        <v>44226</v>
      </c>
      <c r="B9" s="8">
        <v>94.4</v>
      </c>
      <c r="C9" s="2" t="s">
        <v>27</v>
      </c>
      <c r="D9" s="7">
        <v>44161</v>
      </c>
      <c r="E9" s="2" t="s">
        <v>23</v>
      </c>
      <c r="F9" s="2" t="s">
        <v>28</v>
      </c>
      <c r="G9" s="2">
        <v>3</v>
      </c>
      <c r="H9" s="2">
        <v>1311</v>
      </c>
      <c r="I9" s="9" t="s">
        <v>1773</v>
      </c>
      <c r="J9" s="9" t="s">
        <v>2072</v>
      </c>
      <c r="K9" s="9"/>
      <c r="L9" s="2" t="s">
        <v>26</v>
      </c>
      <c r="M9" s="2"/>
      <c r="N9" s="2"/>
    </row>
    <row r="10" spans="1:20" ht="30.75">
      <c r="A10" s="7">
        <v>44226</v>
      </c>
      <c r="B10" s="8">
        <v>94.4</v>
      </c>
      <c r="C10" s="2" t="s">
        <v>32</v>
      </c>
      <c r="D10" s="7">
        <v>44226</v>
      </c>
      <c r="E10" s="2" t="s">
        <v>23</v>
      </c>
      <c r="F10" s="2" t="s">
        <v>28</v>
      </c>
      <c r="G10" s="2">
        <v>4</v>
      </c>
      <c r="H10" s="2">
        <v>1865</v>
      </c>
      <c r="I10" s="9" t="s">
        <v>1773</v>
      </c>
      <c r="J10" s="9" t="s">
        <v>2073</v>
      </c>
      <c r="K10" s="9"/>
      <c r="L10" s="2" t="s">
        <v>26</v>
      </c>
      <c r="M10" s="2"/>
      <c r="N10" s="2"/>
    </row>
    <row r="11" spans="1:20" ht="30.75">
      <c r="A11" s="7">
        <v>44257</v>
      </c>
      <c r="B11" s="8">
        <v>94.4</v>
      </c>
      <c r="C11" s="2" t="s">
        <v>34</v>
      </c>
      <c r="D11" s="7">
        <v>44257</v>
      </c>
      <c r="E11" s="2" t="s">
        <v>23</v>
      </c>
      <c r="F11" s="2" t="s">
        <v>28</v>
      </c>
      <c r="G11" s="2">
        <v>5</v>
      </c>
      <c r="H11" s="9" t="s">
        <v>2074</v>
      </c>
      <c r="I11" s="9" t="s">
        <v>1773</v>
      </c>
      <c r="J11" s="9" t="s">
        <v>2075</v>
      </c>
      <c r="K11" s="9"/>
      <c r="L11" s="2" t="s">
        <v>26</v>
      </c>
      <c r="M11" s="2"/>
      <c r="N11" s="2"/>
    </row>
    <row r="12" spans="1:20" ht="30.75">
      <c r="A12" s="7">
        <v>44347</v>
      </c>
      <c r="B12" s="8">
        <v>94.4</v>
      </c>
      <c r="C12" s="2" t="s">
        <v>44</v>
      </c>
      <c r="D12" s="7">
        <v>44347</v>
      </c>
      <c r="E12" s="2" t="s">
        <v>23</v>
      </c>
      <c r="F12" s="2" t="s">
        <v>28</v>
      </c>
      <c r="G12" s="2">
        <v>6</v>
      </c>
      <c r="H12" s="9" t="s">
        <v>2076</v>
      </c>
      <c r="I12" s="9" t="s">
        <v>1773</v>
      </c>
      <c r="J12" s="9" t="s">
        <v>2077</v>
      </c>
      <c r="K12" s="9"/>
      <c r="L12" s="2" t="s">
        <v>26</v>
      </c>
      <c r="M12" s="2"/>
      <c r="N12" s="2"/>
    </row>
    <row r="13" spans="1:20" ht="30.75">
      <c r="A13" s="7">
        <v>44377</v>
      </c>
      <c r="B13" s="8">
        <v>94.4</v>
      </c>
      <c r="C13" s="2" t="s">
        <v>57</v>
      </c>
      <c r="D13" s="7">
        <v>44377</v>
      </c>
      <c r="E13" s="2" t="s">
        <v>23</v>
      </c>
      <c r="F13" s="2" t="s">
        <v>28</v>
      </c>
      <c r="G13" s="2">
        <v>7</v>
      </c>
      <c r="H13" s="9" t="s">
        <v>2076</v>
      </c>
      <c r="I13" s="9" t="s">
        <v>1773</v>
      </c>
      <c r="J13" s="9" t="s">
        <v>2078</v>
      </c>
      <c r="K13" s="9"/>
      <c r="L13" s="2" t="s">
        <v>26</v>
      </c>
      <c r="M13" s="2"/>
      <c r="N13" s="2"/>
    </row>
    <row r="14" spans="1:20" ht="30.75">
      <c r="A14" s="7">
        <v>44480</v>
      </c>
      <c r="B14" s="8">
        <v>94.4</v>
      </c>
      <c r="C14" s="2" t="s">
        <v>47</v>
      </c>
      <c r="D14" s="7">
        <v>44408</v>
      </c>
      <c r="E14" s="2" t="s">
        <v>23</v>
      </c>
      <c r="F14" s="2" t="s">
        <v>28</v>
      </c>
      <c r="G14" s="2">
        <v>8</v>
      </c>
      <c r="H14" s="9" t="s">
        <v>2079</v>
      </c>
      <c r="I14" s="9" t="s">
        <v>1773</v>
      </c>
      <c r="J14" s="9" t="s">
        <v>2080</v>
      </c>
      <c r="K14" s="9"/>
      <c r="L14" s="2" t="s">
        <v>26</v>
      </c>
      <c r="M14" s="2"/>
      <c r="N14" s="2"/>
    </row>
    <row r="15" spans="1:20" ht="30.75">
      <c r="A15" s="7">
        <v>44439</v>
      </c>
      <c r="B15" s="8">
        <v>94.4</v>
      </c>
      <c r="C15" s="2" t="s">
        <v>50</v>
      </c>
      <c r="D15" s="7">
        <v>44439</v>
      </c>
      <c r="E15" s="2" t="s">
        <v>23</v>
      </c>
      <c r="F15" s="2" t="s">
        <v>28</v>
      </c>
      <c r="G15" s="2">
        <v>9</v>
      </c>
      <c r="H15" s="9" t="s">
        <v>2079</v>
      </c>
      <c r="I15" s="9" t="s">
        <v>1773</v>
      </c>
      <c r="J15" s="9" t="s">
        <v>2081</v>
      </c>
      <c r="K15" s="9"/>
      <c r="L15" s="2" t="s">
        <v>26</v>
      </c>
      <c r="M15" s="2"/>
      <c r="N15" s="2"/>
    </row>
    <row r="16" spans="1:20" ht="30.75">
      <c r="A16" s="7">
        <v>44469</v>
      </c>
      <c r="B16" s="8" t="s">
        <v>1858</v>
      </c>
      <c r="C16" s="2" t="s">
        <v>22</v>
      </c>
      <c r="D16" s="7">
        <v>44469</v>
      </c>
      <c r="E16" s="2" t="s">
        <v>23</v>
      </c>
      <c r="F16" s="2" t="s">
        <v>24</v>
      </c>
      <c r="G16" s="2">
        <v>10</v>
      </c>
      <c r="H16" s="9" t="s">
        <v>2082</v>
      </c>
      <c r="I16" s="9" t="s">
        <v>1773</v>
      </c>
      <c r="J16" s="9" t="s">
        <v>2083</v>
      </c>
      <c r="K16" s="9"/>
      <c r="L16" s="2" t="s">
        <v>26</v>
      </c>
      <c r="M16" s="2"/>
      <c r="N16" s="2"/>
    </row>
    <row r="17" spans="1:14" ht="30.75">
      <c r="A17" s="7">
        <v>44499</v>
      </c>
      <c r="B17" s="8" t="s">
        <v>1858</v>
      </c>
      <c r="C17" s="2" t="s">
        <v>54</v>
      </c>
      <c r="D17" s="7">
        <v>44499</v>
      </c>
      <c r="E17" s="2" t="s">
        <v>23</v>
      </c>
      <c r="F17" s="2" t="s">
        <v>28</v>
      </c>
      <c r="G17" s="2">
        <v>11</v>
      </c>
      <c r="H17" s="9" t="s">
        <v>2084</v>
      </c>
      <c r="I17" s="9" t="s">
        <v>1773</v>
      </c>
      <c r="J17" s="9" t="s">
        <v>2085</v>
      </c>
      <c r="K17" s="9"/>
      <c r="L17" s="2" t="s">
        <v>26</v>
      </c>
      <c r="M17" s="2"/>
      <c r="N17" s="2"/>
    </row>
    <row r="18" spans="1:14" ht="30.75">
      <c r="A18" s="7">
        <v>44530</v>
      </c>
      <c r="B18" s="8" t="s">
        <v>1858</v>
      </c>
      <c r="C18" s="2" t="s">
        <v>27</v>
      </c>
      <c r="D18" s="7">
        <v>44530</v>
      </c>
      <c r="E18" s="2" t="s">
        <v>23</v>
      </c>
      <c r="F18" s="2" t="s">
        <v>28</v>
      </c>
      <c r="G18" s="2">
        <v>12</v>
      </c>
      <c r="H18" s="9" t="s">
        <v>2086</v>
      </c>
      <c r="I18" s="9" t="s">
        <v>1773</v>
      </c>
      <c r="J18" s="9" t="s">
        <v>2087</v>
      </c>
      <c r="K18" s="9"/>
      <c r="L18" s="2" t="s">
        <v>26</v>
      </c>
      <c r="M18" s="2"/>
      <c r="N18" s="2"/>
    </row>
    <row r="19" spans="1:14" ht="30.75">
      <c r="A19" s="2" t="s">
        <v>2088</v>
      </c>
      <c r="B19" s="2" t="s">
        <v>1858</v>
      </c>
      <c r="C19" s="2" t="s">
        <v>30</v>
      </c>
      <c r="D19" s="7">
        <v>44558</v>
      </c>
      <c r="E19" s="2" t="s">
        <v>23</v>
      </c>
      <c r="F19" s="2" t="s">
        <v>28</v>
      </c>
      <c r="G19" s="2">
        <v>13</v>
      </c>
      <c r="H19" s="9" t="s">
        <v>2089</v>
      </c>
      <c r="I19" s="9" t="s">
        <v>1773</v>
      </c>
      <c r="J19" s="2">
        <v>8614</v>
      </c>
      <c r="K19" s="2"/>
      <c r="L19" s="2" t="s">
        <v>26</v>
      </c>
      <c r="M19" s="2"/>
      <c r="N19" s="2"/>
    </row>
    <row r="20" spans="1:14" ht="30.75">
      <c r="A20" s="7">
        <v>44620</v>
      </c>
      <c r="B20" s="2" t="s">
        <v>1858</v>
      </c>
      <c r="C20" s="2" t="s">
        <v>34</v>
      </c>
      <c r="D20" s="7">
        <v>44620</v>
      </c>
      <c r="E20" s="2" t="s">
        <v>23</v>
      </c>
      <c r="F20" s="2" t="s">
        <v>28</v>
      </c>
      <c r="G20" s="2">
        <v>14</v>
      </c>
      <c r="H20" s="9" t="s">
        <v>2090</v>
      </c>
      <c r="I20" s="9" t="s">
        <v>1773</v>
      </c>
      <c r="J20" s="2">
        <v>11001</v>
      </c>
      <c r="K20" s="2"/>
      <c r="L20" s="2" t="s">
        <v>26</v>
      </c>
      <c r="M20" s="2"/>
      <c r="N20" s="2"/>
    </row>
    <row r="21" spans="1:14" ht="30.75">
      <c r="A21" s="7">
        <v>44652</v>
      </c>
      <c r="B21" s="2">
        <v>94.4</v>
      </c>
      <c r="C21" s="2" t="s">
        <v>38</v>
      </c>
      <c r="D21" s="7">
        <v>44652</v>
      </c>
      <c r="E21" s="2" t="s">
        <v>23</v>
      </c>
      <c r="F21" s="2" t="s">
        <v>24</v>
      </c>
      <c r="G21" s="2">
        <v>15</v>
      </c>
      <c r="H21" s="2">
        <v>6777</v>
      </c>
      <c r="I21" s="2"/>
      <c r="J21" s="2">
        <v>11939</v>
      </c>
      <c r="K21" s="2"/>
      <c r="L21" s="2" t="s">
        <v>26</v>
      </c>
      <c r="M21" s="2"/>
      <c r="N21" s="2"/>
    </row>
    <row r="22" spans="1:14" ht="30.75">
      <c r="A22" s="7">
        <v>44681</v>
      </c>
      <c r="B22" s="2">
        <v>94.4</v>
      </c>
      <c r="C22" s="2" t="s">
        <v>41</v>
      </c>
      <c r="D22" s="7">
        <v>44681</v>
      </c>
      <c r="E22" s="2" t="s">
        <v>23</v>
      </c>
      <c r="F22" s="2" t="s">
        <v>24</v>
      </c>
      <c r="G22" s="2">
        <v>16</v>
      </c>
      <c r="H22" s="2">
        <v>7173</v>
      </c>
      <c r="I22" s="2"/>
      <c r="J22" s="2">
        <v>12831</v>
      </c>
      <c r="K22" s="2"/>
      <c r="L22" s="2" t="s">
        <v>26</v>
      </c>
      <c r="M22" s="2"/>
      <c r="N22" s="2"/>
    </row>
    <row r="23" spans="1:14" ht="30.75">
      <c r="A23" s="7">
        <v>44748</v>
      </c>
      <c r="B23" s="2">
        <v>94.4</v>
      </c>
      <c r="C23" s="2" t="s">
        <v>44</v>
      </c>
      <c r="D23" s="7">
        <v>44709</v>
      </c>
      <c r="E23" s="2" t="s">
        <v>23</v>
      </c>
      <c r="F23" s="2" t="s">
        <v>24</v>
      </c>
      <c r="G23" s="2">
        <v>127</v>
      </c>
      <c r="H23" s="2">
        <v>8630</v>
      </c>
      <c r="I23" s="2"/>
      <c r="J23" s="2">
        <v>13882</v>
      </c>
      <c r="K23" s="2"/>
      <c r="L23" s="2" t="s">
        <v>26</v>
      </c>
      <c r="M23" s="2" t="s">
        <v>270</v>
      </c>
      <c r="N23" s="2"/>
    </row>
    <row r="24" spans="1:14" ht="33" customHeight="1">
      <c r="A24" s="7">
        <v>44748</v>
      </c>
      <c r="B24" s="2">
        <v>94.4</v>
      </c>
      <c r="C24" s="2" t="s">
        <v>57</v>
      </c>
      <c r="D24" s="7">
        <v>44737</v>
      </c>
      <c r="E24" s="2" t="s">
        <v>23</v>
      </c>
      <c r="F24" s="2" t="s">
        <v>24</v>
      </c>
      <c r="G24" s="2">
        <v>18</v>
      </c>
      <c r="H24" s="2">
        <v>8630</v>
      </c>
      <c r="I24" s="2"/>
      <c r="J24" s="2">
        <v>13883</v>
      </c>
      <c r="K24" s="2"/>
      <c r="L24" s="2" t="s">
        <v>26</v>
      </c>
      <c r="M24" s="2" t="s">
        <v>270</v>
      </c>
      <c r="N24" s="2"/>
    </row>
    <row r="25" spans="1:14" ht="34.5" customHeight="1">
      <c r="A25" s="2" t="s">
        <v>167</v>
      </c>
      <c r="B25" s="2">
        <v>94.4</v>
      </c>
      <c r="C25" s="2" t="s">
        <v>47</v>
      </c>
      <c r="D25" s="7">
        <v>44772</v>
      </c>
      <c r="E25" t="s">
        <v>23</v>
      </c>
      <c r="F25" s="2" t="s">
        <v>24</v>
      </c>
      <c r="G25" s="2">
        <v>19</v>
      </c>
      <c r="H25" s="2">
        <v>9625</v>
      </c>
      <c r="I25" s="2"/>
      <c r="J25" s="2">
        <v>15828</v>
      </c>
      <c r="K25" s="2"/>
      <c r="L25" s="2" t="s">
        <v>26</v>
      </c>
      <c r="M25" s="2" t="s">
        <v>270</v>
      </c>
      <c r="N25" s="2"/>
    </row>
    <row r="26" spans="1:14" ht="30.75">
      <c r="A26" s="2" t="s">
        <v>2091</v>
      </c>
      <c r="B26" s="2">
        <v>94.4</v>
      </c>
      <c r="C26" s="2" t="s">
        <v>50</v>
      </c>
      <c r="D26" s="7">
        <v>44802</v>
      </c>
      <c r="E26" s="2" t="s">
        <v>23</v>
      </c>
      <c r="F26" s="2" t="s">
        <v>28</v>
      </c>
      <c r="G26" s="2">
        <v>20</v>
      </c>
      <c r="H26" s="2">
        <v>10379</v>
      </c>
      <c r="I26" s="2"/>
      <c r="J26" s="2">
        <v>16730</v>
      </c>
      <c r="K26" s="2"/>
      <c r="L26" s="2" t="s">
        <v>26</v>
      </c>
      <c r="M26" s="2"/>
      <c r="N26" s="2"/>
    </row>
    <row r="27" spans="1:14" ht="30.75">
      <c r="A27" s="7">
        <v>44630</v>
      </c>
      <c r="B27" s="2">
        <v>94.4</v>
      </c>
      <c r="C27" s="2" t="s">
        <v>22</v>
      </c>
      <c r="D27" s="7">
        <v>44837</v>
      </c>
      <c r="E27" s="2" t="s">
        <v>23</v>
      </c>
      <c r="F27" s="2" t="s">
        <v>28</v>
      </c>
      <c r="G27" s="2">
        <v>21</v>
      </c>
      <c r="H27" s="2">
        <v>11210</v>
      </c>
      <c r="I27" s="2"/>
      <c r="J27" s="2">
        <v>17946</v>
      </c>
      <c r="K27" s="2"/>
      <c r="L27" s="2" t="s">
        <v>26</v>
      </c>
      <c r="M27" s="2"/>
      <c r="N27" s="2"/>
    </row>
    <row r="28" spans="1:14" ht="30.75">
      <c r="A28" s="2" t="s">
        <v>737</v>
      </c>
      <c r="B28" s="2">
        <v>94.4</v>
      </c>
      <c r="C28" s="2" t="s">
        <v>54</v>
      </c>
      <c r="D28" s="7" t="s">
        <v>60</v>
      </c>
      <c r="E28" s="2" t="s">
        <v>23</v>
      </c>
      <c r="F28" s="2" t="s">
        <v>24</v>
      </c>
      <c r="G28" s="2">
        <v>22</v>
      </c>
      <c r="H28" s="2">
        <v>11779</v>
      </c>
      <c r="I28" s="2"/>
      <c r="J28" s="2">
        <v>18585</v>
      </c>
      <c r="K28" s="2"/>
      <c r="L28" s="2" t="s">
        <v>26</v>
      </c>
      <c r="M28" s="2" t="s">
        <v>270</v>
      </c>
      <c r="N28" s="2"/>
    </row>
    <row r="29" spans="1:14" ht="30.75">
      <c r="A29" s="7">
        <v>45108</v>
      </c>
      <c r="B29" s="2">
        <v>94.4</v>
      </c>
      <c r="C29" s="2" t="s">
        <v>27</v>
      </c>
      <c r="D29" s="7" t="s">
        <v>61</v>
      </c>
      <c r="E29" s="2" t="s">
        <v>23</v>
      </c>
      <c r="F29" s="2" t="s">
        <v>24</v>
      </c>
      <c r="G29" s="2">
        <v>23</v>
      </c>
      <c r="H29" s="2">
        <v>12378</v>
      </c>
      <c r="I29" s="2"/>
      <c r="J29" s="2">
        <v>19625</v>
      </c>
      <c r="K29" s="2"/>
      <c r="L29" s="2" t="s">
        <v>26</v>
      </c>
      <c r="M29" s="2" t="s">
        <v>270</v>
      </c>
      <c r="N29" s="2"/>
    </row>
    <row r="30" spans="1:14" ht="30.75">
      <c r="A30" s="2" t="s">
        <v>2092</v>
      </c>
      <c r="B30" s="2">
        <v>94.4</v>
      </c>
      <c r="C30" s="2" t="s">
        <v>34</v>
      </c>
      <c r="D30" s="7">
        <v>45232</v>
      </c>
      <c r="E30" s="2" t="s">
        <v>23</v>
      </c>
      <c r="F30" s="2" t="s">
        <v>24</v>
      </c>
      <c r="G30" s="2">
        <v>24</v>
      </c>
      <c r="H30" s="2">
        <v>14269</v>
      </c>
      <c r="I30" s="2"/>
      <c r="J30" s="2">
        <v>21608</v>
      </c>
      <c r="K30" s="2"/>
      <c r="L30" s="2" t="s">
        <v>26</v>
      </c>
      <c r="M30" s="2" t="s">
        <v>270</v>
      </c>
      <c r="N30" s="2"/>
    </row>
    <row r="31" spans="1:14" ht="30.75">
      <c r="A31" s="2" t="s">
        <v>2092</v>
      </c>
      <c r="B31" s="2">
        <v>94.4</v>
      </c>
      <c r="C31" s="2" t="s">
        <v>38</v>
      </c>
      <c r="D31" s="2" t="s">
        <v>1179</v>
      </c>
      <c r="E31" s="2" t="s">
        <v>23</v>
      </c>
      <c r="F31" s="2" t="s">
        <v>24</v>
      </c>
      <c r="G31" s="2">
        <v>25</v>
      </c>
      <c r="H31" s="2">
        <v>15726</v>
      </c>
      <c r="I31" s="2"/>
      <c r="J31" s="2">
        <v>22619</v>
      </c>
      <c r="K31" s="2"/>
      <c r="L31" s="2" t="s">
        <v>26</v>
      </c>
      <c r="M31" s="2" t="s">
        <v>270</v>
      </c>
      <c r="N31" s="2"/>
    </row>
    <row r="32" spans="1:14" ht="30.75">
      <c r="A32" s="2" t="s">
        <v>2093</v>
      </c>
      <c r="B32" s="2">
        <v>94.4</v>
      </c>
      <c r="C32" s="2" t="s">
        <v>41</v>
      </c>
      <c r="D32" s="2" t="s">
        <v>1311</v>
      </c>
      <c r="E32" s="2" t="s">
        <v>23</v>
      </c>
      <c r="F32" s="2" t="s">
        <v>24</v>
      </c>
      <c r="G32" s="2">
        <v>26</v>
      </c>
      <c r="H32" s="2">
        <v>15892</v>
      </c>
      <c r="I32" s="2"/>
      <c r="J32" s="2">
        <v>20693</v>
      </c>
      <c r="K32" s="2"/>
      <c r="L32" s="2" t="s">
        <v>26</v>
      </c>
      <c r="M32" s="2" t="s">
        <v>270</v>
      </c>
      <c r="N32" s="2"/>
    </row>
    <row r="33" spans="1:15" ht="30.75">
      <c r="A33" s="7">
        <v>45103</v>
      </c>
      <c r="B33" s="2">
        <v>94.4</v>
      </c>
      <c r="C33" s="2" t="s">
        <v>44</v>
      </c>
      <c r="D33" s="2" t="s">
        <v>1185</v>
      </c>
      <c r="E33" s="2" t="s">
        <v>23</v>
      </c>
      <c r="F33" s="2" t="s">
        <v>28</v>
      </c>
      <c r="G33" s="2">
        <v>27</v>
      </c>
      <c r="H33" s="2">
        <v>16566</v>
      </c>
      <c r="I33" s="2"/>
      <c r="J33" s="2">
        <v>24597</v>
      </c>
      <c r="K33" s="2"/>
      <c r="L33" s="2" t="s">
        <v>26</v>
      </c>
      <c r="M33" s="2"/>
      <c r="N33" s="2"/>
    </row>
    <row r="34" spans="1:15" ht="30.75">
      <c r="A34" s="7">
        <v>45103</v>
      </c>
      <c r="B34" s="2">
        <v>94.4</v>
      </c>
      <c r="C34" s="2" t="s">
        <v>57</v>
      </c>
      <c r="D34" s="7">
        <v>45103</v>
      </c>
      <c r="E34" s="2" t="s">
        <v>23</v>
      </c>
      <c r="F34" s="2" t="s">
        <v>28</v>
      </c>
      <c r="G34" s="2">
        <v>28</v>
      </c>
      <c r="H34" s="2">
        <v>17082</v>
      </c>
      <c r="I34" s="2"/>
      <c r="J34" s="2">
        <v>25657</v>
      </c>
      <c r="K34" s="2"/>
      <c r="L34" s="2" t="s">
        <v>26</v>
      </c>
      <c r="M34" s="2">
        <v>6</v>
      </c>
      <c r="N34" s="2"/>
    </row>
    <row r="35" spans="1:15" ht="30.75">
      <c r="A35" s="7">
        <v>45195</v>
      </c>
      <c r="B35" s="2">
        <v>94.4</v>
      </c>
      <c r="C35" s="2" t="s">
        <v>47</v>
      </c>
      <c r="D35" s="7">
        <v>45133</v>
      </c>
      <c r="E35" s="2" t="s">
        <v>23</v>
      </c>
      <c r="F35" s="2" t="s">
        <v>24</v>
      </c>
      <c r="G35" s="2">
        <v>29</v>
      </c>
      <c r="H35" s="2">
        <v>17984</v>
      </c>
      <c r="I35" s="2"/>
      <c r="J35" s="2">
        <v>26584</v>
      </c>
      <c r="K35" s="2"/>
      <c r="L35" s="2" t="s">
        <v>26</v>
      </c>
      <c r="M35" s="2">
        <v>2</v>
      </c>
      <c r="N35" s="2"/>
    </row>
    <row r="36" spans="1:15" ht="30.75">
      <c r="A36" s="7">
        <v>45195</v>
      </c>
      <c r="B36" s="2">
        <v>94.4</v>
      </c>
      <c r="C36" s="2" t="s">
        <v>50</v>
      </c>
      <c r="D36" s="7">
        <v>45167</v>
      </c>
      <c r="E36" s="2" t="s">
        <v>23</v>
      </c>
      <c r="F36" s="2" t="s">
        <v>24</v>
      </c>
      <c r="G36" s="2">
        <v>30</v>
      </c>
      <c r="H36" s="2" t="s">
        <v>2094</v>
      </c>
      <c r="I36" s="2"/>
      <c r="J36" s="2">
        <v>27926</v>
      </c>
      <c r="K36" s="2"/>
      <c r="L36" s="2" t="s">
        <v>26</v>
      </c>
      <c r="M36" s="2">
        <v>6.4</v>
      </c>
      <c r="N36" s="2"/>
    </row>
    <row r="37" spans="1:15" ht="30.75">
      <c r="A37" s="7">
        <v>45229</v>
      </c>
      <c r="B37" s="2">
        <v>94.4</v>
      </c>
      <c r="C37" s="2" t="s">
        <v>22</v>
      </c>
      <c r="D37" s="7">
        <v>45197</v>
      </c>
      <c r="E37" s="2" t="s">
        <v>23</v>
      </c>
      <c r="F37" s="2" t="s">
        <v>24</v>
      </c>
      <c r="G37" s="2">
        <v>13</v>
      </c>
      <c r="H37" s="2">
        <v>19404</v>
      </c>
      <c r="I37" s="2"/>
      <c r="J37" s="2">
        <v>28887</v>
      </c>
      <c r="K37" s="2"/>
      <c r="L37" s="2" t="s">
        <v>26</v>
      </c>
      <c r="M37" s="2">
        <v>6.2</v>
      </c>
      <c r="N37" s="2"/>
    </row>
    <row r="38" spans="1:15" ht="30.75">
      <c r="A38" s="7">
        <v>45229</v>
      </c>
      <c r="B38" s="2">
        <v>94.4</v>
      </c>
      <c r="C38" s="2" t="s">
        <v>54</v>
      </c>
      <c r="D38" s="7">
        <v>45229</v>
      </c>
      <c r="E38" s="2" t="s">
        <v>23</v>
      </c>
      <c r="F38" s="2" t="s">
        <v>28</v>
      </c>
      <c r="G38" s="2">
        <v>14</v>
      </c>
      <c r="H38" s="2">
        <v>20142</v>
      </c>
      <c r="I38" s="2"/>
      <c r="J38" s="2">
        <v>29739</v>
      </c>
      <c r="K38" s="2">
        <v>31887</v>
      </c>
      <c r="L38" s="2" t="s">
        <v>26</v>
      </c>
      <c r="M38" s="2">
        <v>4.2</v>
      </c>
      <c r="N38" s="2"/>
    </row>
    <row r="39" spans="1:15" ht="30.75">
      <c r="A39" s="7">
        <v>45288</v>
      </c>
      <c r="B39" s="2">
        <v>94.4</v>
      </c>
      <c r="C39" s="2" t="s">
        <v>27</v>
      </c>
      <c r="D39" s="7">
        <v>45259</v>
      </c>
      <c r="E39" s="2" t="s">
        <v>23</v>
      </c>
      <c r="F39" s="2" t="s">
        <v>24</v>
      </c>
      <c r="G39" s="2">
        <v>15</v>
      </c>
      <c r="H39" s="2">
        <v>20843</v>
      </c>
      <c r="I39" s="2"/>
      <c r="J39" s="2">
        <v>30671</v>
      </c>
      <c r="K39" s="2">
        <v>32791</v>
      </c>
      <c r="L39" s="2" t="s">
        <v>26</v>
      </c>
      <c r="M39" s="2">
        <v>5</v>
      </c>
      <c r="N39" s="2"/>
    </row>
    <row r="40" spans="1:15" ht="30.75">
      <c r="A40" s="7">
        <v>45300</v>
      </c>
      <c r="B40" s="2">
        <v>94.4</v>
      </c>
      <c r="C40" s="2" t="s">
        <v>30</v>
      </c>
      <c r="D40" s="7">
        <v>45288</v>
      </c>
      <c r="E40" s="2" t="s">
        <v>23</v>
      </c>
      <c r="F40" s="2" t="s">
        <v>24</v>
      </c>
      <c r="G40" s="2">
        <v>16</v>
      </c>
      <c r="H40" s="2">
        <v>21470</v>
      </c>
      <c r="I40" s="2"/>
      <c r="J40" s="2">
        <v>31504</v>
      </c>
      <c r="K40" s="2">
        <v>33677</v>
      </c>
      <c r="L40" s="2" t="s">
        <v>26</v>
      </c>
      <c r="M40" s="2">
        <v>1</v>
      </c>
      <c r="N40" s="2"/>
    </row>
    <row r="41" spans="1:15" ht="30.75">
      <c r="A41" s="7">
        <v>45325</v>
      </c>
      <c r="B41" s="2">
        <v>94.4</v>
      </c>
      <c r="C41" s="2" t="s">
        <v>32</v>
      </c>
      <c r="D41" s="7">
        <v>45321</v>
      </c>
      <c r="E41" s="2" t="s">
        <v>23</v>
      </c>
      <c r="F41" s="2" t="s">
        <v>24</v>
      </c>
      <c r="G41" s="2">
        <v>17</v>
      </c>
      <c r="H41" s="2">
        <v>22182</v>
      </c>
      <c r="I41" s="2"/>
      <c r="J41" s="2">
        <v>32495</v>
      </c>
      <c r="K41" s="2">
        <v>34550</v>
      </c>
      <c r="L41" s="2" t="s">
        <v>26</v>
      </c>
      <c r="M41" s="2">
        <v>2.2000000000000002</v>
      </c>
      <c r="N41" s="2"/>
    </row>
    <row r="42" spans="1:15" ht="30.75">
      <c r="A42" s="7">
        <v>45357</v>
      </c>
      <c r="B42" s="2">
        <v>94.4</v>
      </c>
      <c r="C42" s="2" t="s">
        <v>34</v>
      </c>
      <c r="D42" s="7">
        <v>45351</v>
      </c>
      <c r="E42" s="2" t="s">
        <v>23</v>
      </c>
      <c r="F42" s="2" t="s">
        <v>24</v>
      </c>
      <c r="G42" s="2">
        <v>18</v>
      </c>
      <c r="H42" s="2">
        <v>22871</v>
      </c>
      <c r="I42" s="2"/>
      <c r="J42" s="2">
        <v>33383</v>
      </c>
      <c r="K42" s="2">
        <v>35467</v>
      </c>
      <c r="L42" s="2" t="s">
        <v>26</v>
      </c>
      <c r="M42" s="2">
        <v>4.8</v>
      </c>
      <c r="N42" s="2"/>
    </row>
    <row r="43" spans="1:15" ht="30.75">
      <c r="A43" s="7">
        <v>45394</v>
      </c>
      <c r="B43" s="2">
        <v>94.4</v>
      </c>
      <c r="C43" s="2" t="s">
        <v>38</v>
      </c>
      <c r="D43" s="7">
        <v>45378</v>
      </c>
      <c r="E43" s="2" t="s">
        <v>23</v>
      </c>
      <c r="F43" s="2" t="s">
        <v>24</v>
      </c>
      <c r="G43" s="2">
        <v>19</v>
      </c>
      <c r="H43" s="2">
        <v>23613</v>
      </c>
      <c r="I43" s="2"/>
      <c r="J43" s="2">
        <v>34230</v>
      </c>
      <c r="K43" s="2">
        <v>36278</v>
      </c>
      <c r="L43" s="2" t="s">
        <v>26</v>
      </c>
      <c r="M43" s="2">
        <v>4.8</v>
      </c>
      <c r="N43" s="2"/>
    </row>
    <row r="44" spans="1:15" ht="30.75">
      <c r="A44" s="7">
        <v>45483</v>
      </c>
      <c r="B44" s="2">
        <v>94.4</v>
      </c>
      <c r="C44" s="2" t="s">
        <v>41</v>
      </c>
      <c r="D44" s="7">
        <v>45411</v>
      </c>
      <c r="E44" s="2" t="s">
        <v>23</v>
      </c>
      <c r="F44" s="2" t="s">
        <v>24</v>
      </c>
      <c r="G44" s="2">
        <v>18</v>
      </c>
      <c r="H44" s="2">
        <v>24395</v>
      </c>
      <c r="I44" s="2"/>
      <c r="J44" s="2">
        <v>35347</v>
      </c>
      <c r="K44" s="2">
        <v>37349</v>
      </c>
      <c r="L44" s="2" t="s">
        <v>26</v>
      </c>
      <c r="M44" s="2">
        <v>4.8</v>
      </c>
      <c r="N44" s="2"/>
    </row>
    <row r="45" spans="1:15" ht="30.75">
      <c r="A45" s="7">
        <v>45483</v>
      </c>
      <c r="B45" s="2">
        <v>94.4</v>
      </c>
      <c r="C45" s="2" t="s">
        <v>44</v>
      </c>
      <c r="D45" s="7">
        <v>45442</v>
      </c>
      <c r="E45" s="2" t="s">
        <v>23</v>
      </c>
      <c r="F45" s="2" t="s">
        <v>24</v>
      </c>
      <c r="G45" s="2">
        <v>19</v>
      </c>
      <c r="H45" s="2">
        <v>25114</v>
      </c>
      <c r="I45" s="2"/>
      <c r="J45" s="2">
        <v>36251</v>
      </c>
      <c r="K45" s="2">
        <v>38287</v>
      </c>
      <c r="L45" s="2" t="s">
        <v>26</v>
      </c>
      <c r="M45" s="2">
        <v>3.8</v>
      </c>
      <c r="N45" s="2"/>
    </row>
    <row r="46" spans="1:15" ht="30.75">
      <c r="A46" s="7">
        <v>45476</v>
      </c>
      <c r="B46" s="2">
        <v>94.4</v>
      </c>
      <c r="C46" s="2" t="s">
        <v>57</v>
      </c>
      <c r="D46" s="7">
        <v>45470</v>
      </c>
      <c r="E46" s="2" t="s">
        <v>23</v>
      </c>
      <c r="F46" s="2" t="s">
        <v>24</v>
      </c>
      <c r="G46" s="2">
        <v>20</v>
      </c>
      <c r="H46" s="2"/>
      <c r="I46" s="2"/>
      <c r="J46" s="2">
        <v>37168</v>
      </c>
      <c r="K46" s="2">
        <v>39216</v>
      </c>
      <c r="L46" s="2" t="s">
        <v>26</v>
      </c>
      <c r="M46" s="2">
        <v>4</v>
      </c>
      <c r="N46" s="2"/>
    </row>
    <row r="47" spans="1:15" ht="30.75">
      <c r="A47" s="7">
        <v>45491</v>
      </c>
      <c r="B47" s="8">
        <v>80</v>
      </c>
      <c r="C47" s="2" t="s">
        <v>47</v>
      </c>
      <c r="D47" s="7">
        <v>45503</v>
      </c>
      <c r="E47" s="2" t="s">
        <v>23</v>
      </c>
      <c r="F47" s="2" t="s">
        <v>24</v>
      </c>
      <c r="G47" s="2">
        <v>21</v>
      </c>
      <c r="H47" s="2">
        <v>26228</v>
      </c>
      <c r="I47" s="2"/>
      <c r="J47" s="2">
        <v>38154</v>
      </c>
      <c r="K47" s="2">
        <v>40292</v>
      </c>
      <c r="L47" s="2" t="s">
        <v>72</v>
      </c>
      <c r="M47" s="2">
        <v>4.8</v>
      </c>
      <c r="N47" s="100" t="s">
        <v>76</v>
      </c>
      <c r="O47" s="290"/>
    </row>
    <row r="48" spans="1:15" ht="30.75">
      <c r="A48" s="7">
        <v>45535</v>
      </c>
      <c r="B48" s="8">
        <v>80</v>
      </c>
      <c r="C48" s="2" t="s">
        <v>50</v>
      </c>
      <c r="D48" s="7">
        <v>45535</v>
      </c>
      <c r="E48" s="2" t="s">
        <v>23</v>
      </c>
      <c r="F48" s="2" t="s">
        <v>28</v>
      </c>
      <c r="G48" s="2">
        <v>22</v>
      </c>
      <c r="H48" s="2">
        <v>27456</v>
      </c>
      <c r="I48" s="9"/>
      <c r="J48" s="9" t="s">
        <v>2095</v>
      </c>
      <c r="K48" s="9" t="s">
        <v>2096</v>
      </c>
      <c r="L48" s="2" t="s">
        <v>26</v>
      </c>
      <c r="M48" s="2">
        <v>6.5</v>
      </c>
      <c r="N48" s="2"/>
    </row>
    <row r="49" spans="1:14" ht="30.75">
      <c r="A49" s="7">
        <v>45565</v>
      </c>
      <c r="B49" s="8">
        <v>80</v>
      </c>
      <c r="C49" s="2" t="s">
        <v>22</v>
      </c>
      <c r="D49" s="7">
        <v>45565</v>
      </c>
      <c r="E49" s="2" t="s">
        <v>23</v>
      </c>
      <c r="F49" s="2" t="s">
        <v>24</v>
      </c>
      <c r="G49" s="2">
        <v>23</v>
      </c>
      <c r="H49" s="2">
        <v>28271</v>
      </c>
      <c r="I49" s="2"/>
      <c r="J49" s="2">
        <v>40245</v>
      </c>
      <c r="K49" s="2">
        <v>42398</v>
      </c>
      <c r="L49" s="2" t="s">
        <v>72</v>
      </c>
      <c r="M49" s="2">
        <v>8</v>
      </c>
      <c r="N49" s="2"/>
    </row>
    <row r="50" spans="1:14" ht="30.75">
      <c r="A50" s="7">
        <v>45596</v>
      </c>
      <c r="B50" s="8">
        <v>80</v>
      </c>
      <c r="C50" s="2" t="s">
        <v>54</v>
      </c>
      <c r="D50" s="7">
        <v>45596</v>
      </c>
      <c r="E50" s="2" t="s">
        <v>23</v>
      </c>
      <c r="F50" s="2" t="s">
        <v>24</v>
      </c>
      <c r="G50" s="2">
        <v>24</v>
      </c>
      <c r="H50" s="2">
        <v>29111</v>
      </c>
      <c r="I50" s="2"/>
      <c r="J50" s="2">
        <v>41297</v>
      </c>
      <c r="K50" s="2">
        <v>43480</v>
      </c>
      <c r="L50" s="2" t="s">
        <v>72</v>
      </c>
      <c r="M50" s="2">
        <v>7.5</v>
      </c>
      <c r="N50" s="2"/>
    </row>
    <row r="51" spans="1:14" ht="30.75">
      <c r="A51" s="7">
        <v>45626</v>
      </c>
      <c r="B51" s="8">
        <v>80</v>
      </c>
      <c r="C51" s="2" t="s">
        <v>27</v>
      </c>
      <c r="D51" s="7">
        <v>45626</v>
      </c>
      <c r="E51" s="2" t="s">
        <v>23</v>
      </c>
      <c r="F51" s="2" t="s">
        <v>24</v>
      </c>
      <c r="G51" s="2">
        <v>25</v>
      </c>
      <c r="H51" s="2">
        <v>29922</v>
      </c>
      <c r="I51" s="2"/>
      <c r="J51" s="2">
        <v>42262</v>
      </c>
      <c r="K51" s="2">
        <v>44306</v>
      </c>
      <c r="L51" s="2" t="s">
        <v>72</v>
      </c>
      <c r="M51" s="2">
        <v>6.3</v>
      </c>
      <c r="N51" s="2"/>
    </row>
    <row r="52" spans="1:14" ht="30.75">
      <c r="A52" s="7">
        <v>45656</v>
      </c>
      <c r="B52" s="8">
        <v>80</v>
      </c>
      <c r="C52" s="2" t="s">
        <v>30</v>
      </c>
      <c r="D52" s="7">
        <v>45656</v>
      </c>
      <c r="E52" s="2" t="s">
        <v>23</v>
      </c>
      <c r="F52" s="2" t="s">
        <v>24</v>
      </c>
      <c r="G52" s="2">
        <v>26</v>
      </c>
      <c r="H52" s="2">
        <v>30724</v>
      </c>
      <c r="I52" s="2"/>
      <c r="J52" s="2">
        <v>43238</v>
      </c>
      <c r="K52" s="2">
        <v>45433</v>
      </c>
      <c r="L52" s="2" t="s">
        <v>72</v>
      </c>
      <c r="M52" s="2">
        <v>4.5</v>
      </c>
      <c r="N52" s="2"/>
    </row>
    <row r="53" spans="1:14" ht="30.75">
      <c r="A53" s="7">
        <v>45687</v>
      </c>
      <c r="B53" s="8">
        <v>80</v>
      </c>
      <c r="C53" s="2" t="s">
        <v>32</v>
      </c>
      <c r="D53" s="7">
        <v>45687</v>
      </c>
      <c r="E53" s="2" t="s">
        <v>23</v>
      </c>
      <c r="F53" s="2" t="s">
        <v>24</v>
      </c>
      <c r="G53" s="2">
        <v>27</v>
      </c>
      <c r="H53" s="2">
        <v>31528</v>
      </c>
      <c r="I53" s="2"/>
      <c r="J53" s="2">
        <v>44440</v>
      </c>
      <c r="K53" s="2">
        <v>5.5</v>
      </c>
      <c r="L53" s="2" t="s">
        <v>72</v>
      </c>
      <c r="M53" s="2"/>
      <c r="N53" s="2"/>
    </row>
    <row r="54" spans="1:14" ht="30.75">
      <c r="A54" s="7">
        <v>45716</v>
      </c>
      <c r="B54" s="8">
        <v>80</v>
      </c>
      <c r="C54" s="2" t="s">
        <v>34</v>
      </c>
      <c r="D54" s="7">
        <v>45716</v>
      </c>
      <c r="E54" s="2" t="s">
        <v>23</v>
      </c>
      <c r="F54" s="2" t="s">
        <v>28</v>
      </c>
      <c r="G54" s="2">
        <v>28</v>
      </c>
      <c r="H54" s="2">
        <v>32393</v>
      </c>
      <c r="I54" s="2"/>
      <c r="J54" s="2">
        <v>45446</v>
      </c>
      <c r="K54" s="2"/>
      <c r="L54" s="2" t="s">
        <v>26</v>
      </c>
      <c r="M54" s="2">
        <v>6.7</v>
      </c>
      <c r="N54" s="2"/>
    </row>
    <row r="55" spans="1:14" ht="30.75">
      <c r="A55" s="7">
        <v>45747</v>
      </c>
      <c r="B55" s="8">
        <v>80</v>
      </c>
      <c r="C55" s="2" t="s">
        <v>38</v>
      </c>
      <c r="D55" s="7">
        <v>45747</v>
      </c>
      <c r="E55" s="2" t="s">
        <v>23</v>
      </c>
      <c r="F55" s="2" t="s">
        <v>28</v>
      </c>
      <c r="G55" s="2">
        <v>29</v>
      </c>
      <c r="H55" s="2">
        <v>33205</v>
      </c>
      <c r="I55" s="2"/>
      <c r="J55" s="2">
        <v>46562</v>
      </c>
      <c r="K55" s="2"/>
      <c r="L55" s="2" t="s">
        <v>26</v>
      </c>
      <c r="M55" s="2">
        <v>5.78</v>
      </c>
      <c r="N55" s="2"/>
    </row>
    <row r="56" spans="1:14" ht="30.75">
      <c r="A56" s="7">
        <v>45777</v>
      </c>
      <c r="B56" s="8">
        <v>80</v>
      </c>
      <c r="C56" s="2" t="s">
        <v>41</v>
      </c>
      <c r="D56" s="7">
        <v>45777</v>
      </c>
      <c r="E56" s="2" t="s">
        <v>23</v>
      </c>
      <c r="F56" s="2" t="s">
        <v>24</v>
      </c>
      <c r="G56" s="2">
        <v>30</v>
      </c>
      <c r="H56" s="2">
        <v>33974</v>
      </c>
      <c r="I56" s="2"/>
      <c r="J56" s="2">
        <v>47647</v>
      </c>
      <c r="K56" s="2"/>
      <c r="L56" s="2" t="s">
        <v>72</v>
      </c>
      <c r="M56" s="2">
        <v>4.5</v>
      </c>
      <c r="N56" s="2"/>
    </row>
    <row r="57" spans="1:14" ht="30.75">
      <c r="A57" s="7">
        <v>45815</v>
      </c>
      <c r="B57" s="8">
        <v>80</v>
      </c>
      <c r="C57" s="2" t="s">
        <v>44</v>
      </c>
      <c r="D57" s="7">
        <v>45808</v>
      </c>
      <c r="E57" s="2" t="s">
        <v>23</v>
      </c>
      <c r="F57" s="2" t="s">
        <v>24</v>
      </c>
      <c r="G57" s="2">
        <v>31</v>
      </c>
      <c r="H57" s="2">
        <v>34872</v>
      </c>
      <c r="I57" s="2"/>
      <c r="J57" s="2">
        <v>50060</v>
      </c>
      <c r="K57" s="2"/>
      <c r="L57" s="2" t="s">
        <v>72</v>
      </c>
      <c r="M57" s="2">
        <v>2</v>
      </c>
      <c r="N57" s="2"/>
    </row>
    <row r="58" spans="1:14" ht="30.75">
      <c r="A58" s="7">
        <v>45869</v>
      </c>
      <c r="B58" s="8">
        <v>80</v>
      </c>
      <c r="C58" s="2" t="s">
        <v>57</v>
      </c>
      <c r="D58" s="7">
        <v>45835</v>
      </c>
      <c r="E58" s="2" t="s">
        <v>23</v>
      </c>
      <c r="F58" s="2" t="s">
        <v>28</v>
      </c>
      <c r="G58" s="2">
        <v>32</v>
      </c>
      <c r="H58" s="2">
        <v>35688</v>
      </c>
      <c r="I58" s="2"/>
      <c r="J58" s="2">
        <v>50061</v>
      </c>
      <c r="K58" s="2"/>
      <c r="L58" s="2" t="s">
        <v>26</v>
      </c>
      <c r="M58" s="2">
        <v>5.4</v>
      </c>
      <c r="N58" s="2"/>
    </row>
    <row r="59" spans="1:14" ht="30.75">
      <c r="A59" s="7">
        <v>45869</v>
      </c>
      <c r="B59" s="8">
        <v>80</v>
      </c>
      <c r="C59" s="2" t="s">
        <v>47</v>
      </c>
      <c r="D59" s="7">
        <v>45868</v>
      </c>
      <c r="E59" s="2" t="s">
        <v>23</v>
      </c>
      <c r="F59" s="2" t="s">
        <v>24</v>
      </c>
      <c r="G59" s="2">
        <v>33</v>
      </c>
      <c r="H59" s="2">
        <v>36502</v>
      </c>
      <c r="I59" s="2"/>
      <c r="J59" s="2">
        <v>50062</v>
      </c>
      <c r="K59" s="2"/>
      <c r="L59" s="2" t="s">
        <v>72</v>
      </c>
      <c r="M59" s="2">
        <v>6</v>
      </c>
      <c r="N59" s="2"/>
    </row>
    <row r="60" spans="1:14" ht="30.75">
      <c r="A60" s="7">
        <v>45898</v>
      </c>
      <c r="B60" s="8">
        <v>80</v>
      </c>
      <c r="C60" s="2" t="s">
        <v>50</v>
      </c>
      <c r="D60" s="7">
        <v>45898</v>
      </c>
      <c r="E60" s="2" t="s">
        <v>23</v>
      </c>
      <c r="F60" s="2" t="s">
        <v>28</v>
      </c>
      <c r="G60" s="2">
        <v>34</v>
      </c>
      <c r="H60" s="2">
        <v>37270</v>
      </c>
      <c r="I60" s="100">
        <v>1320</v>
      </c>
      <c r="J60" s="2">
        <v>51314</v>
      </c>
      <c r="K60" s="2"/>
      <c r="L60" s="2" t="s">
        <v>26</v>
      </c>
      <c r="M60" s="2">
        <v>5.5</v>
      </c>
      <c r="N60" s="100" t="s">
        <v>76</v>
      </c>
    </row>
    <row r="61" spans="1:14" ht="30.75">
      <c r="A61" s="7">
        <v>45940</v>
      </c>
      <c r="B61" s="8">
        <v>70</v>
      </c>
      <c r="C61" s="2" t="s">
        <v>22</v>
      </c>
      <c r="D61" s="7">
        <v>45930</v>
      </c>
      <c r="E61" s="2" t="s">
        <v>23</v>
      </c>
      <c r="F61" s="2" t="s">
        <v>28</v>
      </c>
      <c r="G61" s="2">
        <v>35</v>
      </c>
      <c r="H61" s="2">
        <v>38153</v>
      </c>
      <c r="I61" s="2"/>
      <c r="J61" s="2">
        <v>52143</v>
      </c>
      <c r="K61" s="2"/>
      <c r="L61" s="2" t="s">
        <v>26</v>
      </c>
      <c r="M61" s="2">
        <v>4.5</v>
      </c>
      <c r="N61" s="2"/>
    </row>
    <row r="62" spans="1:14" ht="30.75">
      <c r="A62" s="7">
        <v>45964</v>
      </c>
      <c r="B62" s="8">
        <v>70</v>
      </c>
      <c r="C62" s="2" t="s">
        <v>54</v>
      </c>
      <c r="D62" s="7">
        <v>45961</v>
      </c>
      <c r="E62" s="2" t="s">
        <v>23</v>
      </c>
      <c r="F62" s="2" t="s">
        <v>24</v>
      </c>
      <c r="G62" s="2">
        <v>36</v>
      </c>
      <c r="H62" s="2">
        <v>38977</v>
      </c>
      <c r="I62" s="2"/>
      <c r="J62" s="2">
        <v>53344</v>
      </c>
      <c r="K62" s="2"/>
      <c r="L62" s="2" t="s">
        <v>72</v>
      </c>
      <c r="M62" s="2">
        <v>5.5</v>
      </c>
      <c r="N62" s="2"/>
    </row>
    <row r="63" spans="1:14" ht="30.75">
      <c r="A63" s="7">
        <v>46006</v>
      </c>
      <c r="B63" s="8">
        <v>70</v>
      </c>
      <c r="C63" s="2" t="s">
        <v>27</v>
      </c>
      <c r="D63" s="7">
        <v>45989</v>
      </c>
      <c r="E63" s="2" t="s">
        <v>23</v>
      </c>
      <c r="F63" s="2" t="s">
        <v>24</v>
      </c>
      <c r="G63" s="2"/>
      <c r="H63" s="2">
        <v>39859</v>
      </c>
      <c r="I63" s="2"/>
      <c r="J63" s="2">
        <v>54432</v>
      </c>
      <c r="K63" s="2"/>
      <c r="L63" s="2" t="s">
        <v>72</v>
      </c>
      <c r="M63" s="2">
        <v>4</v>
      </c>
      <c r="N63" s="2"/>
    </row>
    <row r="64" spans="1:14" ht="30.75">
      <c r="A64" s="7">
        <v>42434</v>
      </c>
      <c r="B64" s="8">
        <v>70</v>
      </c>
      <c r="C64" s="2" t="s">
        <v>30</v>
      </c>
      <c r="D64" s="7">
        <v>46020</v>
      </c>
      <c r="E64" s="2" t="s">
        <v>23</v>
      </c>
      <c r="F64" s="2" t="s">
        <v>24</v>
      </c>
      <c r="G64" s="2">
        <v>38</v>
      </c>
      <c r="H64" s="2">
        <v>40716</v>
      </c>
      <c r="I64" s="2"/>
      <c r="J64" s="2">
        <v>55710</v>
      </c>
      <c r="K64" s="2"/>
      <c r="L64" s="2" t="s">
        <v>72</v>
      </c>
      <c r="M64" s="2">
        <v>6</v>
      </c>
      <c r="N64" s="2"/>
    </row>
    <row r="65" spans="1:14" ht="30.75">
      <c r="A65" s="7">
        <v>46053</v>
      </c>
      <c r="B65" s="8">
        <v>70</v>
      </c>
      <c r="C65" s="2" t="s">
        <v>32</v>
      </c>
      <c r="D65" s="7">
        <v>46053</v>
      </c>
      <c r="E65" s="2" t="s">
        <v>23</v>
      </c>
      <c r="F65" s="2" t="s">
        <v>28</v>
      </c>
      <c r="G65" s="2">
        <v>39</v>
      </c>
      <c r="H65" s="2">
        <v>41613</v>
      </c>
      <c r="I65" s="2"/>
      <c r="J65" s="2">
        <v>56482</v>
      </c>
      <c r="K65" s="2"/>
      <c r="L65" s="2" t="s">
        <v>26</v>
      </c>
      <c r="M65" s="2" t="s">
        <v>2097</v>
      </c>
      <c r="N65" s="2"/>
    </row>
    <row r="66" spans="1:14" ht="30.75">
      <c r="A66" s="7">
        <v>46093</v>
      </c>
      <c r="B66" s="8">
        <v>70</v>
      </c>
      <c r="C66" s="2" t="s">
        <v>34</v>
      </c>
      <c r="D66" s="7">
        <v>46081</v>
      </c>
      <c r="E66" s="2" t="s">
        <v>23</v>
      </c>
      <c r="F66" s="2" t="s">
        <v>24</v>
      </c>
      <c r="G66" s="2">
        <v>40</v>
      </c>
      <c r="H66" s="2">
        <v>42426</v>
      </c>
      <c r="I66" s="2"/>
      <c r="J66" s="2">
        <v>58401</v>
      </c>
      <c r="K66" s="2"/>
      <c r="L66" s="2" t="s">
        <v>72</v>
      </c>
      <c r="M66" s="2">
        <v>6.5</v>
      </c>
      <c r="N66" s="2"/>
    </row>
    <row r="67" spans="1:14" ht="30.75">
      <c r="A67" s="7">
        <v>46118</v>
      </c>
      <c r="B67" s="8">
        <v>70</v>
      </c>
      <c r="C67" s="2" t="s">
        <v>38</v>
      </c>
      <c r="D67" s="7">
        <v>46082</v>
      </c>
      <c r="E67" s="2" t="s">
        <v>23</v>
      </c>
      <c r="F67" s="2" t="s">
        <v>24</v>
      </c>
      <c r="G67" s="2"/>
      <c r="H67" s="2">
        <v>43265</v>
      </c>
      <c r="I67" s="2"/>
      <c r="J67" s="2">
        <v>59580</v>
      </c>
      <c r="K67" s="2"/>
      <c r="L67" s="2" t="s">
        <v>72</v>
      </c>
      <c r="M67" s="2">
        <v>2.8</v>
      </c>
      <c r="N67" s="2"/>
    </row>
    <row r="68" spans="1:14" ht="30.75">
      <c r="A68" s="7">
        <v>46170</v>
      </c>
      <c r="B68" s="8">
        <v>70</v>
      </c>
      <c r="C68" s="2" t="s">
        <v>41</v>
      </c>
      <c r="D68" s="7">
        <v>46142</v>
      </c>
      <c r="E68" s="2" t="s">
        <v>23</v>
      </c>
      <c r="F68" s="2" t="s">
        <v>24</v>
      </c>
      <c r="G68" s="2"/>
      <c r="H68" s="2">
        <v>44142</v>
      </c>
      <c r="I68" s="2"/>
      <c r="J68" s="2">
        <v>60993</v>
      </c>
      <c r="K68" s="2"/>
      <c r="L68" s="2" t="s">
        <v>72</v>
      </c>
      <c r="M68" s="2">
        <v>4.5</v>
      </c>
      <c r="N68" s="2"/>
    </row>
    <row r="69" spans="1:14" ht="30.75">
      <c r="A69" s="7">
        <v>46177</v>
      </c>
      <c r="B69" s="8">
        <v>70</v>
      </c>
      <c r="C69" s="2" t="s">
        <v>44</v>
      </c>
      <c r="D69" s="2"/>
      <c r="E69" s="2" t="s">
        <v>23</v>
      </c>
      <c r="F69" s="2" t="s">
        <v>24</v>
      </c>
      <c r="G69" s="2"/>
      <c r="H69" s="2">
        <v>44971</v>
      </c>
      <c r="I69" s="2"/>
      <c r="J69" s="2"/>
      <c r="K69" s="2"/>
      <c r="L69" s="2" t="s">
        <v>72</v>
      </c>
      <c r="M69" s="2"/>
      <c r="N69" s="2"/>
    </row>
    <row r="70" spans="1:14" ht="30.75">
      <c r="A70" s="2"/>
      <c r="B70" s="2"/>
      <c r="C70" s="2"/>
      <c r="D70" s="2"/>
      <c r="E70" s="2" t="s">
        <v>23</v>
      </c>
      <c r="F70" s="2"/>
      <c r="G70" s="2"/>
      <c r="H70" s="2"/>
      <c r="I70" s="2"/>
      <c r="J70" s="2"/>
      <c r="K70" s="2"/>
      <c r="L70" s="2"/>
      <c r="M70" s="2"/>
      <c r="N70" s="2"/>
    </row>
    <row r="71" spans="1:14" ht="30.75">
      <c r="A71" s="2"/>
      <c r="B71" s="2"/>
      <c r="C71" s="2"/>
      <c r="D71" s="2"/>
      <c r="E71" s="2" t="s">
        <v>23</v>
      </c>
      <c r="F71" s="2"/>
      <c r="G71" s="2"/>
      <c r="H71" s="2"/>
      <c r="I71" s="2"/>
      <c r="J71" s="2"/>
      <c r="K71" s="2"/>
      <c r="L71" s="2"/>
      <c r="M71" s="2"/>
      <c r="N71" s="2"/>
    </row>
    <row r="72" spans="1:14" ht="30.75">
      <c r="A72" s="2"/>
      <c r="B72" s="2"/>
      <c r="C72" s="2"/>
      <c r="D72" s="2"/>
      <c r="E72" s="2" t="s">
        <v>23</v>
      </c>
      <c r="F72" s="2"/>
      <c r="G72" s="2"/>
      <c r="H72" s="2"/>
      <c r="I72" s="2"/>
      <c r="J72" s="2"/>
      <c r="K72" s="2"/>
      <c r="L72" s="2"/>
      <c r="M72" s="2"/>
      <c r="N72" s="2"/>
    </row>
    <row r="73" spans="1:14" ht="30.75">
      <c r="A73" s="2"/>
      <c r="B73" s="2"/>
      <c r="C73" s="2"/>
      <c r="D73" s="2"/>
      <c r="E73" s="2" t="s">
        <v>23</v>
      </c>
      <c r="F73" s="2"/>
      <c r="G73" s="2"/>
      <c r="H73" s="2"/>
      <c r="I73" s="2"/>
      <c r="J73" s="2"/>
      <c r="K73" s="2"/>
      <c r="L73" s="2"/>
      <c r="M73" s="2"/>
      <c r="N73" s="2"/>
    </row>
    <row r="74" spans="1:14" ht="30.75">
      <c r="A74" s="2"/>
      <c r="B74" s="2"/>
      <c r="C74" s="2"/>
      <c r="D74" s="2"/>
      <c r="E74" s="2" t="s">
        <v>23</v>
      </c>
      <c r="F74" s="2"/>
      <c r="G74" s="2"/>
      <c r="H74" s="2"/>
      <c r="I74" s="2"/>
      <c r="J74" s="2"/>
      <c r="K74" s="2"/>
      <c r="L74" s="2"/>
      <c r="M74" s="2"/>
      <c r="N74" s="2"/>
    </row>
    <row r="75" spans="1:14" ht="30.75">
      <c r="A75" s="2"/>
      <c r="B75" s="2"/>
      <c r="C75" s="2"/>
      <c r="D75" s="2"/>
      <c r="E75" s="2" t="s">
        <v>23</v>
      </c>
      <c r="F75" s="2"/>
      <c r="G75" s="2"/>
      <c r="H75" s="2"/>
      <c r="I75" s="2"/>
      <c r="J75" s="2"/>
      <c r="K75" s="2"/>
      <c r="L75" s="2"/>
      <c r="M75" s="2"/>
      <c r="N75" s="2"/>
    </row>
    <row r="76" spans="1:14" ht="30.75">
      <c r="A76" s="2"/>
      <c r="B76" s="2"/>
      <c r="C76" s="2"/>
      <c r="D76" s="2"/>
      <c r="E76" s="2" t="s">
        <v>23</v>
      </c>
      <c r="F76" s="2"/>
      <c r="G76" s="2"/>
      <c r="H76" s="2"/>
      <c r="I76" s="2"/>
      <c r="J76" s="2"/>
      <c r="K76" s="2"/>
      <c r="L76" s="2"/>
      <c r="M76" s="2"/>
      <c r="N76" s="2"/>
    </row>
    <row r="77" spans="1:14" ht="30.75">
      <c r="A77" s="2"/>
      <c r="B77" s="2"/>
      <c r="C77" s="2"/>
      <c r="D77" s="2"/>
      <c r="E77" s="2" t="s">
        <v>23</v>
      </c>
      <c r="F77" s="2"/>
      <c r="G77" s="2"/>
      <c r="H77" s="2"/>
      <c r="I77" s="2"/>
      <c r="J77" s="2"/>
      <c r="K77" s="2"/>
      <c r="L77" s="2"/>
      <c r="M77" s="2"/>
      <c r="N77" s="2"/>
    </row>
    <row r="78" spans="1:14" ht="30.75">
      <c r="A78" s="2"/>
      <c r="B78" s="2"/>
      <c r="C78" s="2"/>
      <c r="D78" s="2"/>
      <c r="E78" s="2" t="s">
        <v>23</v>
      </c>
      <c r="F78" s="2"/>
      <c r="G78" s="2"/>
      <c r="H78" s="2"/>
      <c r="I78" s="2"/>
      <c r="J78" s="2"/>
      <c r="K78" s="2"/>
      <c r="L78" s="2"/>
      <c r="M78" s="2"/>
      <c r="N78" s="2"/>
    </row>
    <row r="79" spans="1:14" ht="30.75">
      <c r="A79" s="2"/>
      <c r="B79" s="2"/>
      <c r="C79" s="2"/>
      <c r="D79" s="2"/>
      <c r="E79" s="2" t="s">
        <v>23</v>
      </c>
      <c r="F79" s="2"/>
      <c r="G79" s="2"/>
      <c r="H79" s="2"/>
      <c r="I79" s="2"/>
      <c r="J79" s="2"/>
      <c r="K79" s="2"/>
      <c r="L79" s="2"/>
      <c r="M79" s="2"/>
      <c r="N79" s="2"/>
    </row>
    <row r="80" spans="1:14" ht="30.75">
      <c r="A80" s="2"/>
      <c r="B80" s="2"/>
      <c r="C80" s="2"/>
      <c r="D80" s="2"/>
      <c r="E80" s="2" t="s">
        <v>23</v>
      </c>
      <c r="F80" s="2"/>
      <c r="G80" s="2"/>
      <c r="H80" s="2"/>
      <c r="I80" s="2"/>
      <c r="J80" s="2"/>
      <c r="K80" s="2"/>
      <c r="L80" s="2"/>
      <c r="M80" s="2"/>
      <c r="N80" s="2"/>
    </row>
    <row r="81" spans="1:14" ht="30.75">
      <c r="A81" s="2"/>
      <c r="B81" s="2"/>
      <c r="C81" s="2"/>
      <c r="D81" s="2"/>
      <c r="E81" s="2" t="s">
        <v>23</v>
      </c>
      <c r="F81" s="2"/>
      <c r="G81" s="2"/>
      <c r="H81" s="2"/>
      <c r="I81" s="2"/>
      <c r="J81" s="2"/>
      <c r="K81" s="2"/>
      <c r="L81" s="2"/>
      <c r="M81" s="2"/>
      <c r="N81" s="2"/>
    </row>
    <row r="82" spans="1:14" ht="30.75">
      <c r="A82" s="2"/>
      <c r="B82" s="2"/>
      <c r="C82" s="2"/>
      <c r="D82" s="2"/>
      <c r="E82" s="2" t="s">
        <v>23</v>
      </c>
      <c r="F82" s="2"/>
      <c r="G82" s="2"/>
      <c r="H82" s="2"/>
      <c r="I82" s="2"/>
      <c r="J82" s="2"/>
      <c r="K82" s="2"/>
      <c r="L82" s="2"/>
      <c r="M82" s="2"/>
      <c r="N82" s="2"/>
    </row>
    <row r="83" spans="1:14" ht="30.75">
      <c r="A83" s="2"/>
      <c r="B83" s="2"/>
      <c r="C83" s="2"/>
      <c r="D83" s="2"/>
      <c r="E83" s="2" t="s">
        <v>23</v>
      </c>
      <c r="F83" s="2"/>
      <c r="G83" s="2"/>
      <c r="H83" s="2"/>
      <c r="I83" s="2"/>
      <c r="J83" s="2"/>
      <c r="K83" s="2"/>
      <c r="L83" s="2"/>
      <c r="M83" s="2"/>
      <c r="N83" s="2"/>
    </row>
    <row r="84" spans="1:14" ht="30.75">
      <c r="A84" s="2"/>
      <c r="B84" s="2"/>
      <c r="C84" s="2"/>
      <c r="D84" s="2"/>
      <c r="E84" s="2" t="s">
        <v>23</v>
      </c>
      <c r="F84" s="2"/>
      <c r="G84" s="2"/>
      <c r="H84" s="2"/>
      <c r="I84" s="2"/>
      <c r="J84" s="2"/>
      <c r="K84" s="2"/>
      <c r="L84" s="2"/>
      <c r="M84" s="2"/>
      <c r="N84" s="2"/>
    </row>
    <row r="85" spans="1:14" ht="30.75">
      <c r="A85" s="2"/>
      <c r="B85" s="2"/>
      <c r="C85" s="2"/>
      <c r="D85" s="2"/>
      <c r="E85" s="2" t="s">
        <v>23</v>
      </c>
      <c r="F85" s="2"/>
      <c r="G85" s="2"/>
      <c r="H85" s="2"/>
      <c r="I85" s="2"/>
      <c r="J85" s="2"/>
      <c r="K85" s="2"/>
      <c r="L85" s="2"/>
      <c r="M85" s="2"/>
      <c r="N85" s="2"/>
    </row>
    <row r="86" spans="1:14" ht="30.75">
      <c r="A86" s="2"/>
      <c r="B86" s="2"/>
      <c r="C86" s="2"/>
      <c r="D86" s="2"/>
      <c r="E86" s="2" t="s">
        <v>23</v>
      </c>
      <c r="F86" s="2"/>
      <c r="G86" s="2"/>
      <c r="H86" s="2"/>
      <c r="I86" s="2"/>
      <c r="J86" s="2"/>
      <c r="K86" s="2"/>
      <c r="L86" s="2"/>
      <c r="M86" s="2"/>
      <c r="N86" s="2"/>
    </row>
    <row r="87" spans="1:14" ht="30.75">
      <c r="A87" s="2"/>
      <c r="B87" s="2"/>
      <c r="C87" s="2"/>
      <c r="D87" s="2"/>
      <c r="E87" s="2" t="s">
        <v>23</v>
      </c>
      <c r="F87" s="2"/>
      <c r="G87" s="2"/>
      <c r="H87" s="2"/>
      <c r="I87" s="2"/>
      <c r="J87" s="2"/>
      <c r="K87" s="2"/>
      <c r="L87" s="2"/>
      <c r="M87" s="2"/>
      <c r="N87" s="2"/>
    </row>
    <row r="88" spans="1:14" ht="30.75">
      <c r="A88" s="2"/>
      <c r="B88" s="2"/>
      <c r="C88" s="2"/>
      <c r="D88" s="2"/>
      <c r="E88" s="2" t="s">
        <v>23</v>
      </c>
      <c r="F88" s="2"/>
      <c r="G88" s="2"/>
      <c r="H88" s="2"/>
      <c r="I88" s="2"/>
      <c r="J88" s="2"/>
      <c r="K88" s="2"/>
      <c r="L88" s="2"/>
      <c r="M88" s="2"/>
      <c r="N88" s="2"/>
    </row>
    <row r="89" spans="1:14" ht="30.75">
      <c r="A89" s="2"/>
      <c r="B89" s="2"/>
      <c r="C89" s="2"/>
      <c r="D89" s="2"/>
      <c r="E89" s="2" t="s">
        <v>23</v>
      </c>
      <c r="F89" s="2"/>
      <c r="G89" s="2"/>
      <c r="H89" s="2"/>
      <c r="I89" s="2"/>
      <c r="J89" s="2"/>
      <c r="K89" s="2"/>
      <c r="L89" s="2"/>
      <c r="M89" s="2"/>
      <c r="N89" s="2"/>
    </row>
    <row r="90" spans="1:14" ht="30.75">
      <c r="A90" s="2"/>
      <c r="B90" s="2"/>
      <c r="C90" s="2"/>
      <c r="D90" s="2"/>
      <c r="E90" s="2" t="s">
        <v>23</v>
      </c>
      <c r="F90" s="2"/>
      <c r="G90" s="2"/>
      <c r="H90" s="2"/>
      <c r="I90" s="2"/>
      <c r="J90" s="2"/>
      <c r="K90" s="2"/>
      <c r="L90" s="2"/>
      <c r="M90" s="2"/>
      <c r="N90" s="2"/>
    </row>
    <row r="91" spans="1:14" ht="30.75">
      <c r="A91" s="2"/>
      <c r="B91" s="2"/>
      <c r="C91" s="2"/>
      <c r="D91" s="2"/>
      <c r="E91" s="2" t="s">
        <v>23</v>
      </c>
      <c r="F91" s="2"/>
      <c r="G91" s="2"/>
      <c r="H91" s="2"/>
      <c r="I91" s="2"/>
      <c r="J91" s="2"/>
      <c r="K91" s="2"/>
      <c r="L91" s="2"/>
      <c r="M91" s="2"/>
      <c r="N91" s="2"/>
    </row>
    <row r="92" spans="1:14" ht="30.75">
      <c r="A92" s="2"/>
      <c r="B92" s="2"/>
      <c r="C92" s="2"/>
      <c r="D92" s="2"/>
      <c r="E92" s="2" t="s">
        <v>23</v>
      </c>
      <c r="F92" s="2"/>
      <c r="G92" s="2"/>
      <c r="H92" s="2"/>
      <c r="I92" s="2"/>
      <c r="J92" s="2"/>
      <c r="K92" s="2"/>
      <c r="L92" s="2"/>
      <c r="M92" s="2"/>
      <c r="N92" s="2"/>
    </row>
  </sheetData>
  <mergeCells count="5">
    <mergeCell ref="A1:E1"/>
    <mergeCell ref="B2:C2"/>
    <mergeCell ref="F4:G4"/>
    <mergeCell ref="I4:L4"/>
    <mergeCell ref="E2:H2"/>
  </mergeCells>
  <dataValidations count="2">
    <dataValidation type="list" allowBlank="1" showInputMessage="1" showErrorMessage="1" sqref="F7:F62 F65:F69" xr:uid="{00000000-0002-0000-1F00-000000000000}">
      <formula1>"EFECTIVO, CHEQUE, TRANSFERENCIA,DEPOSITO"</formula1>
    </dataValidation>
    <dataValidation type="list" allowBlank="1" showInputMessage="1" showErrorMessage="1" sqref="C7:C92" xr:uid="{00000000-0002-0000-1F00-000001000000}">
      <formula1>"ENERO,FEBRERO,MARZO,ABRIL,MAYO,JUNIO,JULIO,AGOSTO,SEPTIEMBRE,OCTUBRE,NOVIEMBRE,DICIEMBRE"</formula1>
    </dataValidation>
  </dataValidations>
  <hyperlinks>
    <hyperlink ref="E2" r:id="rId1" xr:uid="{00000000-0004-0000-1F00-000000000000}"/>
    <hyperlink ref="E2:H2" r:id="rId2" display="mvzcinthiacabezas@gmail.com" xr:uid="{5CF27947-719E-4BBD-91EF-5A0D16786E0C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E2AD-0799-4451-B2A0-65B202EA8EC2}">
  <dimension ref="A1:T24"/>
  <sheetViews>
    <sheetView workbookViewId="0">
      <selection activeCell="B3" sqref="B3"/>
    </sheetView>
  </sheetViews>
  <sheetFormatPr defaultColWidth="11.42578125" defaultRowHeight="15"/>
  <cols>
    <col min="2" max="2" width="18.7109375" customWidth="1"/>
    <col min="3" max="3" width="9.140625"/>
    <col min="4" max="4" width="11.42578125" customWidth="1"/>
    <col min="5" max="5" width="14.42578125" customWidth="1"/>
    <col min="6" max="6" width="18.28515625" customWidth="1"/>
    <col min="7" max="12" width="9.140625"/>
    <col min="13" max="13" width="18.7109375" customWidth="1"/>
  </cols>
  <sheetData>
    <row r="1" spans="1:20" ht="21">
      <c r="A1" s="1" t="s">
        <v>2065</v>
      </c>
      <c r="B1" s="1"/>
      <c r="C1" s="1"/>
      <c r="D1" s="1"/>
      <c r="E1" s="1"/>
    </row>
    <row r="2" spans="1:20" ht="30.75">
      <c r="A2" s="2" t="s">
        <v>93</v>
      </c>
      <c r="B2" s="638" t="s">
        <v>2066</v>
      </c>
      <c r="C2" s="638"/>
      <c r="E2" s="639" t="s">
        <v>2067</v>
      </c>
      <c r="F2" s="639"/>
      <c r="G2" s="639"/>
      <c r="H2" s="639"/>
      <c r="M2" s="100" t="s">
        <v>2098</v>
      </c>
      <c r="N2" s="290"/>
      <c r="O2" s="290"/>
    </row>
    <row r="3" spans="1:20">
      <c r="A3" s="2" t="s">
        <v>1670</v>
      </c>
      <c r="B3" s="3">
        <v>10459111820</v>
      </c>
    </row>
    <row r="4" spans="1:20" ht="37.5">
      <c r="A4" s="140" t="s">
        <v>4</v>
      </c>
      <c r="B4" s="141">
        <v>45897</v>
      </c>
      <c r="F4" s="640" t="s">
        <v>1125</v>
      </c>
      <c r="G4" s="640"/>
      <c r="I4" s="641" t="s">
        <v>2069</v>
      </c>
      <c r="J4" s="641"/>
      <c r="K4" s="641"/>
      <c r="L4" s="641"/>
    </row>
    <row r="6" spans="1:20" ht="75.75">
      <c r="A6" s="142" t="s">
        <v>7</v>
      </c>
      <c r="B6" s="142" t="s">
        <v>8</v>
      </c>
      <c r="C6" s="142" t="s">
        <v>9</v>
      </c>
      <c r="D6" s="142" t="s">
        <v>10</v>
      </c>
      <c r="E6" s="142" t="s">
        <v>11</v>
      </c>
      <c r="F6" s="142" t="s">
        <v>12</v>
      </c>
      <c r="G6" s="142" t="s">
        <v>13</v>
      </c>
      <c r="H6" s="142" t="s">
        <v>14</v>
      </c>
      <c r="I6" s="142" t="s">
        <v>15</v>
      </c>
      <c r="J6" s="142" t="s">
        <v>16</v>
      </c>
      <c r="K6" s="142" t="s">
        <v>19</v>
      </c>
      <c r="L6" s="142" t="s">
        <v>18</v>
      </c>
      <c r="M6" s="289" t="s">
        <v>99</v>
      </c>
      <c r="N6" s="289" t="s">
        <v>1672</v>
      </c>
      <c r="Q6" s="516"/>
      <c r="R6" s="516"/>
      <c r="S6" s="516"/>
      <c r="T6" s="516"/>
    </row>
    <row r="7" spans="1:20" ht="30.75">
      <c r="A7" s="7"/>
      <c r="B7" s="8"/>
      <c r="C7" s="2"/>
      <c r="D7" s="7"/>
      <c r="E7" s="2" t="s">
        <v>23</v>
      </c>
      <c r="F7" s="2"/>
      <c r="G7" s="2"/>
      <c r="H7" s="2"/>
      <c r="I7" s="9"/>
      <c r="J7" s="9"/>
      <c r="K7" s="9"/>
      <c r="L7" s="2"/>
      <c r="M7" s="2"/>
      <c r="N7" s="2"/>
    </row>
    <row r="8" spans="1:20" ht="30.75">
      <c r="A8" s="7"/>
      <c r="B8" s="8"/>
      <c r="C8" s="2"/>
      <c r="D8" s="7"/>
      <c r="E8" s="2" t="s">
        <v>23</v>
      </c>
      <c r="F8" s="2"/>
      <c r="G8" s="2"/>
      <c r="H8" s="2"/>
      <c r="I8" s="9"/>
      <c r="J8" s="9"/>
      <c r="K8" s="9"/>
      <c r="L8" s="2"/>
      <c r="M8" s="2"/>
      <c r="N8" s="2"/>
    </row>
    <row r="9" spans="1:20" ht="30.75">
      <c r="A9" s="7"/>
      <c r="B9" s="8"/>
      <c r="C9" s="2"/>
      <c r="D9" s="7"/>
      <c r="E9" s="2" t="s">
        <v>23</v>
      </c>
      <c r="F9" s="2"/>
      <c r="G9" s="2"/>
      <c r="H9" s="2"/>
      <c r="I9" s="9"/>
      <c r="J9" s="9"/>
      <c r="K9" s="9"/>
      <c r="L9" s="2"/>
      <c r="M9" s="2"/>
      <c r="N9" s="2"/>
    </row>
    <row r="10" spans="1:20" ht="30.75">
      <c r="A10" s="7"/>
      <c r="B10" s="8"/>
      <c r="C10" s="2"/>
      <c r="D10" s="7"/>
      <c r="E10" s="2" t="s">
        <v>23</v>
      </c>
      <c r="F10" s="2"/>
      <c r="G10" s="2"/>
      <c r="H10" s="2"/>
      <c r="I10" s="9"/>
      <c r="J10" s="9"/>
      <c r="K10" s="9"/>
      <c r="L10" s="2"/>
      <c r="M10" s="2"/>
      <c r="N10" s="2"/>
    </row>
    <row r="11" spans="1:20" ht="30.75">
      <c r="A11" s="7"/>
      <c r="B11" s="8"/>
      <c r="C11" s="2"/>
      <c r="D11" s="7"/>
      <c r="E11" s="2" t="s">
        <v>23</v>
      </c>
      <c r="F11" s="2"/>
      <c r="G11" s="2"/>
      <c r="H11" s="9"/>
      <c r="I11" s="9"/>
      <c r="J11" s="9"/>
      <c r="K11" s="9"/>
      <c r="L11" s="2"/>
      <c r="M11" s="2"/>
      <c r="N11" s="2"/>
    </row>
    <row r="12" spans="1:20" ht="30.75">
      <c r="A12" s="7"/>
      <c r="B12" s="8"/>
      <c r="C12" s="2"/>
      <c r="D12" s="7"/>
      <c r="E12" s="2" t="s">
        <v>23</v>
      </c>
      <c r="F12" s="2"/>
      <c r="G12" s="2"/>
      <c r="H12" s="9"/>
      <c r="I12" s="9"/>
      <c r="J12" s="9"/>
      <c r="K12" s="9"/>
      <c r="L12" s="2"/>
      <c r="M12" s="2"/>
      <c r="N12" s="2"/>
    </row>
    <row r="13" spans="1:20" ht="30.75">
      <c r="A13" s="7"/>
      <c r="B13" s="8"/>
      <c r="C13" s="2"/>
      <c r="D13" s="7"/>
      <c r="E13" s="2" t="s">
        <v>23</v>
      </c>
      <c r="F13" s="2"/>
      <c r="G13" s="2"/>
      <c r="H13" s="9"/>
      <c r="I13" s="9"/>
      <c r="J13" s="9"/>
      <c r="K13" s="9"/>
      <c r="L13" s="2"/>
      <c r="M13" s="2"/>
      <c r="N13" s="2"/>
    </row>
    <row r="14" spans="1:20" ht="30.75">
      <c r="A14" s="7"/>
      <c r="B14" s="8"/>
      <c r="C14" s="2"/>
      <c r="D14" s="7"/>
      <c r="E14" s="2" t="s">
        <v>23</v>
      </c>
      <c r="F14" s="2"/>
      <c r="G14" s="2"/>
      <c r="H14" s="9"/>
      <c r="I14" s="9"/>
      <c r="J14" s="9"/>
      <c r="K14" s="9"/>
      <c r="L14" s="2"/>
      <c r="M14" s="2"/>
      <c r="N14" s="2"/>
    </row>
    <row r="15" spans="1:20" ht="30.75">
      <c r="A15" s="7"/>
      <c r="B15" s="8"/>
      <c r="C15" s="2"/>
      <c r="D15" s="7"/>
      <c r="E15" s="2" t="s">
        <v>23</v>
      </c>
      <c r="F15" s="2"/>
      <c r="G15" s="2"/>
      <c r="H15" s="9"/>
      <c r="I15" s="9"/>
      <c r="J15" s="9"/>
      <c r="K15" s="9"/>
      <c r="L15" s="2"/>
      <c r="M15" s="2"/>
      <c r="N15" s="2"/>
    </row>
    <row r="16" spans="1:20" ht="30.75">
      <c r="A16" s="7"/>
      <c r="B16" s="8"/>
      <c r="C16" s="2"/>
      <c r="D16" s="7"/>
      <c r="E16" s="2" t="s">
        <v>23</v>
      </c>
      <c r="F16" s="2"/>
      <c r="G16" s="2"/>
      <c r="H16" s="9"/>
      <c r="I16" s="9"/>
      <c r="J16" s="9"/>
      <c r="K16" s="9"/>
      <c r="L16" s="2"/>
      <c r="M16" s="2"/>
      <c r="N16" s="2"/>
    </row>
    <row r="17" spans="1:14" ht="30.75">
      <c r="A17" s="7"/>
      <c r="B17" s="8"/>
      <c r="C17" s="2"/>
      <c r="D17" s="7"/>
      <c r="E17" s="2" t="s">
        <v>23</v>
      </c>
      <c r="F17" s="2"/>
      <c r="G17" s="2"/>
      <c r="H17" s="9"/>
      <c r="I17" s="9"/>
      <c r="J17" s="9"/>
      <c r="K17" s="9"/>
      <c r="L17" s="2"/>
      <c r="M17" s="2"/>
      <c r="N17" s="2"/>
    </row>
    <row r="18" spans="1:14" ht="30.75">
      <c r="A18" s="7"/>
      <c r="B18" s="8"/>
      <c r="C18" s="2"/>
      <c r="D18" s="7"/>
      <c r="E18" s="2" t="s">
        <v>23</v>
      </c>
      <c r="F18" s="2"/>
      <c r="G18" s="2"/>
      <c r="H18" s="9"/>
      <c r="I18" s="9"/>
      <c r="J18" s="9"/>
      <c r="K18" s="9"/>
      <c r="L18" s="2"/>
      <c r="M18" s="2"/>
      <c r="N18" s="2"/>
    </row>
    <row r="19" spans="1:14" ht="30.75">
      <c r="A19" s="2"/>
      <c r="B19" s="2"/>
      <c r="C19" s="2"/>
      <c r="D19" s="7"/>
      <c r="E19" s="2" t="s">
        <v>23</v>
      </c>
      <c r="F19" s="2"/>
      <c r="G19" s="2"/>
      <c r="H19" s="9"/>
      <c r="I19" s="9"/>
      <c r="J19" s="2"/>
      <c r="K19" s="2"/>
      <c r="L19" s="2"/>
      <c r="M19" s="2"/>
      <c r="N19" s="2"/>
    </row>
    <row r="20" spans="1:14" ht="30.75">
      <c r="A20" s="7"/>
      <c r="B20" s="2"/>
      <c r="C20" s="2"/>
      <c r="D20" s="7"/>
      <c r="E20" s="2" t="s">
        <v>23</v>
      </c>
      <c r="F20" s="2"/>
      <c r="G20" s="2"/>
      <c r="H20" s="9"/>
      <c r="I20" s="9"/>
      <c r="J20" s="2"/>
      <c r="K20" s="2"/>
      <c r="L20" s="2"/>
      <c r="M20" s="2"/>
      <c r="N20" s="2"/>
    </row>
    <row r="21" spans="1:14" ht="30.75">
      <c r="A21" s="7"/>
      <c r="B21" s="2"/>
      <c r="C21" s="2"/>
      <c r="D21" s="7"/>
      <c r="E21" s="2" t="s">
        <v>23</v>
      </c>
      <c r="F21" s="2"/>
      <c r="G21" s="2"/>
      <c r="H21" s="2"/>
      <c r="I21" s="2"/>
      <c r="J21" s="2"/>
      <c r="K21" s="2"/>
      <c r="L21" s="2"/>
      <c r="M21" s="2"/>
      <c r="N21" s="2"/>
    </row>
    <row r="22" spans="1:14" ht="30.75">
      <c r="A22" s="7"/>
      <c r="B22" s="2"/>
      <c r="C22" s="2"/>
      <c r="D22" s="7"/>
      <c r="E22" s="2" t="s">
        <v>23</v>
      </c>
      <c r="F22" s="2"/>
      <c r="G22" s="2"/>
      <c r="H22" s="2"/>
      <c r="I22" s="2"/>
      <c r="J22" s="2"/>
      <c r="K22" s="2"/>
      <c r="L22" s="2"/>
      <c r="M22" s="2"/>
      <c r="N22" s="2"/>
    </row>
    <row r="23" spans="1:14" ht="30.75">
      <c r="A23" s="7"/>
      <c r="B23" s="2"/>
      <c r="C23" s="2"/>
      <c r="D23" s="7"/>
      <c r="E23" s="2" t="s">
        <v>23</v>
      </c>
      <c r="F23" s="2"/>
      <c r="G23" s="2"/>
      <c r="H23" s="2"/>
      <c r="I23" s="2"/>
      <c r="J23" s="2"/>
      <c r="K23" s="2"/>
      <c r="L23" s="2"/>
      <c r="M23" s="2"/>
      <c r="N23" s="2"/>
    </row>
    <row r="24" spans="1:14" ht="30.75">
      <c r="A24" s="2"/>
      <c r="B24" s="2"/>
      <c r="C24" s="2"/>
      <c r="D24" s="2"/>
      <c r="E24" s="2" t="s">
        <v>23</v>
      </c>
      <c r="F24" s="2"/>
      <c r="G24" s="2"/>
      <c r="H24" s="2"/>
      <c r="I24" s="2"/>
      <c r="J24" s="2"/>
      <c r="K24" s="2"/>
      <c r="L24" s="2"/>
      <c r="M24" s="2"/>
      <c r="N24" s="2"/>
    </row>
  </sheetData>
  <mergeCells count="5">
    <mergeCell ref="A1:E1"/>
    <mergeCell ref="B2:C2"/>
    <mergeCell ref="E2:H2"/>
    <mergeCell ref="F4:G4"/>
    <mergeCell ref="I4:L4"/>
  </mergeCells>
  <dataValidations count="2">
    <dataValidation type="list" allowBlank="1" showInputMessage="1" showErrorMessage="1" sqref="F7:F24" xr:uid="{D4488D5E-0CC5-4B25-9D70-24E8F80B4016}">
      <formula1>"EFECTIVO, CHEQUE, TRANSFERENCIA,DEPOSITO"</formula1>
    </dataValidation>
    <dataValidation type="list" allowBlank="1" showInputMessage="1" showErrorMessage="1" sqref="C7:C24" xr:uid="{57C2951D-59C8-46EB-A488-517108008B52}">
      <formula1>"ENERO,FEBRERO,MARZO,ABRIL,MAYO,JUNIO,JULIO,AGOSTO,SEPTIEMBRE,OCTUBRE,NOVIEMBRE,DICIEMBRE"</formula1>
    </dataValidation>
  </dataValidations>
  <hyperlinks>
    <hyperlink ref="E2" r:id="rId1" xr:uid="{2F1CA404-8A55-4D8F-961D-899F6DA2EA7E}"/>
    <hyperlink ref="E2:H2" r:id="rId2" display="mvzcinthiacabezas@gmail.com" xr:uid="{23152FF7-5A17-4EF9-96C3-3E1D3BEE0A48}"/>
  </hyperlinks>
  <pageMargins left="0.7" right="0.7" top="0.75" bottom="0.75" header="0.3" footer="0.3"/>
  <pageSetup paperSize="9" orientation="portrait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E8A9-6A34-4EF8-9E65-599ECC1E0EC3}">
  <sheetPr>
    <tabColor rgb="FFC00000"/>
  </sheetPr>
  <dimension ref="A1:T24"/>
  <sheetViews>
    <sheetView workbookViewId="0">
      <selection activeCell="R11" sqref="R11"/>
    </sheetView>
  </sheetViews>
  <sheetFormatPr defaultColWidth="11.42578125" defaultRowHeight="15"/>
  <cols>
    <col min="2" max="2" width="18.7109375" customWidth="1"/>
    <col min="3" max="3" width="9.140625"/>
    <col min="4" max="4" width="11.42578125" customWidth="1"/>
    <col min="5" max="5" width="14.42578125" customWidth="1"/>
    <col min="6" max="6" width="18.28515625" customWidth="1"/>
    <col min="7" max="12" width="9.140625"/>
    <col min="13" max="13" width="18.7109375" customWidth="1"/>
  </cols>
  <sheetData>
    <row r="1" spans="1:20" ht="21">
      <c r="A1" s="1" t="s">
        <v>2065</v>
      </c>
      <c r="B1" s="1"/>
      <c r="C1" s="1"/>
      <c r="D1" s="1"/>
      <c r="E1" s="1"/>
    </row>
    <row r="2" spans="1:20" ht="30.75">
      <c r="A2" s="2" t="s">
        <v>93</v>
      </c>
      <c r="B2" s="638" t="s">
        <v>2066</v>
      </c>
      <c r="C2" s="638"/>
      <c r="E2" s="639" t="s">
        <v>2067</v>
      </c>
      <c r="F2" s="639"/>
      <c r="G2" s="639"/>
      <c r="H2" s="639"/>
      <c r="M2" s="290" t="s">
        <v>2099</v>
      </c>
      <c r="N2" s="290"/>
      <c r="O2" s="290"/>
    </row>
    <row r="3" spans="1:20">
      <c r="A3" s="2" t="s">
        <v>1670</v>
      </c>
      <c r="B3" s="3">
        <v>10459111820</v>
      </c>
    </row>
    <row r="4" spans="1:20" ht="37.5">
      <c r="A4" s="140" t="s">
        <v>4</v>
      </c>
      <c r="B4" s="141">
        <v>45493</v>
      </c>
      <c r="F4" s="640" t="s">
        <v>1125</v>
      </c>
      <c r="G4" s="640"/>
      <c r="I4" s="641" t="s">
        <v>2100</v>
      </c>
      <c r="J4" s="641"/>
      <c r="K4" s="641"/>
      <c r="L4" s="641"/>
    </row>
    <row r="6" spans="1:20" ht="75.75">
      <c r="A6" s="142" t="s">
        <v>7</v>
      </c>
      <c r="B6" s="142" t="s">
        <v>8</v>
      </c>
      <c r="C6" s="142" t="s">
        <v>9</v>
      </c>
      <c r="D6" s="142" t="s">
        <v>10</v>
      </c>
      <c r="E6" s="142" t="s">
        <v>11</v>
      </c>
      <c r="F6" s="142" t="s">
        <v>12</v>
      </c>
      <c r="G6" s="142" t="s">
        <v>13</v>
      </c>
      <c r="H6" s="142" t="s">
        <v>14</v>
      </c>
      <c r="I6" s="142" t="s">
        <v>15</v>
      </c>
      <c r="J6" s="142" t="s">
        <v>16</v>
      </c>
      <c r="K6" s="142" t="s">
        <v>19</v>
      </c>
      <c r="L6" s="142" t="s">
        <v>18</v>
      </c>
      <c r="M6" s="289" t="s">
        <v>99</v>
      </c>
      <c r="N6" s="289" t="s">
        <v>1672</v>
      </c>
      <c r="Q6" s="516"/>
      <c r="R6" s="516"/>
      <c r="S6" s="516"/>
      <c r="T6" s="516"/>
    </row>
    <row r="7" spans="1:20" ht="30.75">
      <c r="A7" s="7">
        <v>45491</v>
      </c>
      <c r="B7" s="8">
        <v>80</v>
      </c>
      <c r="C7" s="2" t="s">
        <v>47</v>
      </c>
      <c r="D7" s="7">
        <v>45503</v>
      </c>
      <c r="E7" s="2" t="s">
        <v>23</v>
      </c>
      <c r="F7" s="2" t="s">
        <v>24</v>
      </c>
      <c r="G7" s="2"/>
      <c r="H7" s="2">
        <v>26229</v>
      </c>
      <c r="I7" s="9"/>
      <c r="J7" s="9" t="s">
        <v>2101</v>
      </c>
      <c r="K7" s="9" t="s">
        <v>2102</v>
      </c>
      <c r="L7" s="2"/>
      <c r="M7" s="2" t="s">
        <v>72</v>
      </c>
      <c r="N7" s="2">
        <v>1.8</v>
      </c>
    </row>
    <row r="8" spans="1:20" ht="30.75">
      <c r="A8" s="7">
        <v>45535</v>
      </c>
      <c r="B8" s="8">
        <v>80</v>
      </c>
      <c r="C8" s="2" t="s">
        <v>50</v>
      </c>
      <c r="D8" s="7">
        <v>45535</v>
      </c>
      <c r="E8" s="2" t="s">
        <v>23</v>
      </c>
      <c r="F8" s="2" t="s">
        <v>28</v>
      </c>
      <c r="G8" s="2"/>
      <c r="H8" s="2">
        <v>27457</v>
      </c>
      <c r="I8" s="9"/>
      <c r="J8" s="9" t="s">
        <v>2103</v>
      </c>
      <c r="K8" s="9" t="s">
        <v>2104</v>
      </c>
      <c r="L8" s="2"/>
      <c r="M8" s="2" t="s">
        <v>26</v>
      </c>
      <c r="N8" s="2">
        <v>5</v>
      </c>
    </row>
    <row r="9" spans="1:20" ht="30.75">
      <c r="A9" s="7"/>
      <c r="B9" s="8"/>
      <c r="C9" s="2"/>
      <c r="D9" s="7"/>
      <c r="E9" s="2" t="s">
        <v>23</v>
      </c>
      <c r="F9" s="2"/>
      <c r="G9" s="2"/>
      <c r="H9" s="2"/>
      <c r="I9" s="9"/>
      <c r="J9" s="9"/>
      <c r="K9" s="9"/>
      <c r="L9" s="2"/>
      <c r="M9" s="2"/>
      <c r="N9" s="2"/>
    </row>
    <row r="10" spans="1:20" ht="30.75">
      <c r="A10" s="7"/>
      <c r="B10" s="8"/>
      <c r="C10" s="2"/>
      <c r="D10" s="7"/>
      <c r="E10" s="2" t="s">
        <v>23</v>
      </c>
      <c r="F10" s="2"/>
      <c r="G10" s="2"/>
      <c r="H10" s="2"/>
      <c r="I10" s="9"/>
      <c r="J10" s="9"/>
      <c r="K10" s="9"/>
      <c r="L10" s="2"/>
      <c r="M10" s="2"/>
      <c r="N10" s="2"/>
    </row>
    <row r="11" spans="1:20" ht="30.75">
      <c r="A11" s="7"/>
      <c r="B11" s="8"/>
      <c r="C11" s="2"/>
      <c r="D11" s="7"/>
      <c r="E11" s="2" t="s">
        <v>23</v>
      </c>
      <c r="F11" s="2"/>
      <c r="G11" s="2"/>
      <c r="H11" s="9"/>
      <c r="I11" s="9"/>
      <c r="J11" s="9"/>
      <c r="K11" s="9"/>
      <c r="L11" s="2"/>
      <c r="M11" s="2"/>
      <c r="N11" s="2"/>
    </row>
    <row r="12" spans="1:20" ht="30.75">
      <c r="A12" s="7"/>
      <c r="B12" s="8"/>
      <c r="C12" s="2"/>
      <c r="D12" s="7"/>
      <c r="E12" s="2" t="s">
        <v>23</v>
      </c>
      <c r="F12" s="2"/>
      <c r="G12" s="2"/>
      <c r="H12" s="9"/>
      <c r="I12" s="9"/>
      <c r="J12" s="9"/>
      <c r="K12" s="9"/>
      <c r="L12" s="2"/>
      <c r="M12" s="2"/>
      <c r="N12" s="2"/>
    </row>
    <row r="13" spans="1:20" ht="30.75">
      <c r="A13" s="7"/>
      <c r="B13" s="8"/>
      <c r="C13" s="2"/>
      <c r="D13" s="7"/>
      <c r="E13" s="2" t="s">
        <v>23</v>
      </c>
      <c r="F13" s="2"/>
      <c r="G13" s="2"/>
      <c r="H13" s="9"/>
      <c r="I13" s="9"/>
      <c r="J13" s="9"/>
      <c r="K13" s="9"/>
      <c r="L13" s="2"/>
      <c r="M13" s="2"/>
      <c r="N13" s="2"/>
    </row>
    <row r="14" spans="1:20" ht="30.75">
      <c r="A14" s="7"/>
      <c r="B14" s="8"/>
      <c r="C14" s="2"/>
      <c r="D14" s="7"/>
      <c r="E14" s="2" t="s">
        <v>23</v>
      </c>
      <c r="F14" s="2"/>
      <c r="G14" s="2"/>
      <c r="H14" s="9"/>
      <c r="I14" s="9"/>
      <c r="J14" s="9"/>
      <c r="K14" s="9"/>
      <c r="L14" s="2"/>
      <c r="M14" s="2"/>
      <c r="N14" s="2"/>
    </row>
    <row r="15" spans="1:20" ht="30.75">
      <c r="A15" s="7"/>
      <c r="B15" s="8"/>
      <c r="C15" s="2"/>
      <c r="D15" s="7"/>
      <c r="E15" s="2" t="s">
        <v>23</v>
      </c>
      <c r="F15" s="2"/>
      <c r="G15" s="2"/>
      <c r="H15" s="9"/>
      <c r="I15" s="9"/>
      <c r="J15" s="9"/>
      <c r="K15" s="9"/>
      <c r="L15" s="2"/>
      <c r="M15" s="2"/>
      <c r="N15" s="2"/>
    </row>
    <row r="16" spans="1:20" ht="30.75">
      <c r="A16" s="7"/>
      <c r="B16" s="8"/>
      <c r="C16" s="2"/>
      <c r="D16" s="7"/>
      <c r="E16" s="2" t="s">
        <v>23</v>
      </c>
      <c r="F16" s="2"/>
      <c r="G16" s="2"/>
      <c r="H16" s="9"/>
      <c r="I16" s="9"/>
      <c r="J16" s="9"/>
      <c r="K16" s="9"/>
      <c r="L16" s="2"/>
      <c r="M16" s="2"/>
      <c r="N16" s="2"/>
    </row>
    <row r="17" spans="1:14" ht="30.75">
      <c r="A17" s="7"/>
      <c r="B17" s="8"/>
      <c r="C17" s="2"/>
      <c r="D17" s="7"/>
      <c r="E17" s="2" t="s">
        <v>23</v>
      </c>
      <c r="F17" s="2"/>
      <c r="G17" s="2"/>
      <c r="H17" s="9"/>
      <c r="I17" s="9"/>
      <c r="J17" s="9"/>
      <c r="K17" s="9"/>
      <c r="L17" s="2"/>
      <c r="M17" s="2"/>
      <c r="N17" s="2"/>
    </row>
    <row r="18" spans="1:14" ht="30.75">
      <c r="A18" s="7"/>
      <c r="B18" s="8"/>
      <c r="C18" s="2"/>
      <c r="D18" s="7"/>
      <c r="E18" s="2" t="s">
        <v>23</v>
      </c>
      <c r="F18" s="2"/>
      <c r="G18" s="2"/>
      <c r="H18" s="9"/>
      <c r="I18" s="9"/>
      <c r="J18" s="9"/>
      <c r="K18" s="9"/>
      <c r="L18" s="2"/>
      <c r="M18" s="2"/>
      <c r="N18" s="2"/>
    </row>
    <row r="19" spans="1:14" ht="30.75">
      <c r="A19" s="2"/>
      <c r="B19" s="2"/>
      <c r="C19" s="2"/>
      <c r="D19" s="7"/>
      <c r="E19" s="2" t="s">
        <v>23</v>
      </c>
      <c r="F19" s="2"/>
      <c r="G19" s="2"/>
      <c r="H19" s="9"/>
      <c r="I19" s="9"/>
      <c r="J19" s="2"/>
      <c r="K19" s="2"/>
      <c r="L19" s="2"/>
      <c r="M19" s="2"/>
      <c r="N19" s="2"/>
    </row>
    <row r="20" spans="1:14" ht="30.75">
      <c r="A20" s="7"/>
      <c r="B20" s="2"/>
      <c r="C20" s="2"/>
      <c r="D20" s="7"/>
      <c r="E20" s="2" t="s">
        <v>23</v>
      </c>
      <c r="F20" s="2"/>
      <c r="G20" s="2"/>
      <c r="H20" s="9"/>
      <c r="I20" s="9"/>
      <c r="J20" s="2"/>
      <c r="K20" s="2"/>
      <c r="L20" s="2"/>
      <c r="M20" s="2"/>
      <c r="N20" s="2"/>
    </row>
    <row r="21" spans="1:14" ht="30.75">
      <c r="A21" s="7"/>
      <c r="B21" s="2"/>
      <c r="C21" s="2"/>
      <c r="D21" s="7"/>
      <c r="E21" s="2" t="s">
        <v>23</v>
      </c>
      <c r="F21" s="2"/>
      <c r="G21" s="2"/>
      <c r="H21" s="2"/>
      <c r="I21" s="2"/>
      <c r="J21" s="2"/>
      <c r="K21" s="2"/>
      <c r="L21" s="2"/>
      <c r="M21" s="2"/>
      <c r="N21" s="2"/>
    </row>
    <row r="22" spans="1:14" ht="30.75">
      <c r="A22" s="7"/>
      <c r="B22" s="2"/>
      <c r="C22" s="2"/>
      <c r="D22" s="7"/>
      <c r="E22" s="2" t="s">
        <v>23</v>
      </c>
      <c r="F22" s="2"/>
      <c r="G22" s="2"/>
      <c r="H22" s="2"/>
      <c r="I22" s="2"/>
      <c r="J22" s="2"/>
      <c r="K22" s="2"/>
      <c r="L22" s="2"/>
      <c r="M22" s="2"/>
      <c r="N22" s="2"/>
    </row>
    <row r="23" spans="1:14" ht="30.75">
      <c r="A23" s="7"/>
      <c r="B23" s="2"/>
      <c r="C23" s="2"/>
      <c r="D23" s="7"/>
      <c r="E23" s="2" t="s">
        <v>23</v>
      </c>
      <c r="F23" s="2"/>
      <c r="G23" s="2"/>
      <c r="H23" s="2"/>
      <c r="I23" s="2"/>
      <c r="J23" s="2"/>
      <c r="K23" s="2"/>
      <c r="L23" s="2"/>
      <c r="M23" s="2"/>
      <c r="N23" s="2"/>
    </row>
    <row r="24" spans="1:14" ht="30.75">
      <c r="A24" s="2"/>
      <c r="B24" s="2"/>
      <c r="C24" s="2"/>
      <c r="D24" s="2"/>
      <c r="E24" s="2" t="s">
        <v>23</v>
      </c>
      <c r="F24" s="2"/>
      <c r="G24" s="2"/>
      <c r="H24" s="2"/>
      <c r="I24" s="2"/>
      <c r="J24" s="2"/>
      <c r="K24" s="2"/>
      <c r="L24" s="2"/>
      <c r="M24" s="2"/>
      <c r="N24" s="2"/>
    </row>
  </sheetData>
  <mergeCells count="5">
    <mergeCell ref="A1:E1"/>
    <mergeCell ref="B2:C2"/>
    <mergeCell ref="E2:H2"/>
    <mergeCell ref="F4:G4"/>
    <mergeCell ref="I4:L4"/>
  </mergeCells>
  <dataValidations count="2">
    <dataValidation type="list" allowBlank="1" showInputMessage="1" showErrorMessage="1" sqref="C7:C24" xr:uid="{C5A1CAB8-CC74-4CEB-8D49-DD655B837618}">
      <formula1>"ENERO,FEBRERO,MARZO,ABRIL,MAYO,JUNIO,JULIO,AGOSTO,SEPTIEMBRE,OCTUBRE,NOVIEMBRE,DICIEMBRE"</formula1>
    </dataValidation>
    <dataValidation type="list" allowBlank="1" showInputMessage="1" showErrorMessage="1" sqref="F7:F24" xr:uid="{56755D54-C209-4502-AE3D-17CF73095744}">
      <formula1>"EFECTIVO, CHEQUE, TRANSFERENCIA,DEPOSITO"</formula1>
    </dataValidation>
  </dataValidations>
  <hyperlinks>
    <hyperlink ref="E2" r:id="rId1" xr:uid="{9AC7AF4A-5645-464C-BB82-4594ADDB18E4}"/>
    <hyperlink ref="E2:H2" r:id="rId2" display="mvzcinthiacabezas@gmail.com" xr:uid="{EEC51E27-4659-4C83-86A2-A170BECE20C2}"/>
  </hyperlinks>
  <pageMargins left="0.7" right="0.7" top="0.75" bottom="0.75" header="0.3" footer="0.3"/>
  <pageSetup paperSize="9" orientation="portrait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71B7-DCEF-4B12-BAF2-64017A68D265}">
  <dimension ref="A1:T49"/>
  <sheetViews>
    <sheetView topLeftCell="A21" workbookViewId="0">
      <selection activeCell="B29" sqref="B29"/>
    </sheetView>
  </sheetViews>
  <sheetFormatPr defaultColWidth="11.42578125" defaultRowHeight="15"/>
  <cols>
    <col min="2" max="2" width="18.7109375" customWidth="1"/>
    <col min="3" max="3" width="11.5703125" customWidth="1"/>
    <col min="4" max="4" width="12" customWidth="1"/>
    <col min="5" max="5" width="14.42578125" customWidth="1"/>
    <col min="6" max="6" width="18.28515625" customWidth="1"/>
    <col min="7" max="12" width="9.140625"/>
    <col min="13" max="13" width="18.7109375" customWidth="1"/>
  </cols>
  <sheetData>
    <row r="1" spans="1:20" ht="21">
      <c r="A1" s="1" t="s">
        <v>2065</v>
      </c>
      <c r="B1" s="1"/>
      <c r="C1" s="1"/>
      <c r="D1" s="1"/>
      <c r="E1" s="1"/>
    </row>
    <row r="2" spans="1:20" ht="30.75">
      <c r="A2" s="2" t="s">
        <v>93</v>
      </c>
      <c r="B2" s="638" t="s">
        <v>2066</v>
      </c>
      <c r="C2" s="638"/>
      <c r="E2" s="639" t="s">
        <v>2067</v>
      </c>
      <c r="F2" s="639"/>
      <c r="G2" s="639"/>
      <c r="H2" s="639"/>
      <c r="M2" s="290" t="s">
        <v>2105</v>
      </c>
      <c r="N2" s="290"/>
    </row>
    <row r="3" spans="1:20">
      <c r="A3" s="2" t="s">
        <v>1670</v>
      </c>
      <c r="B3" s="3">
        <v>10459111820</v>
      </c>
    </row>
    <row r="4" spans="1:20" ht="37.5">
      <c r="A4" s="140" t="s">
        <v>4</v>
      </c>
      <c r="B4" s="141">
        <v>45897</v>
      </c>
      <c r="F4" s="640" t="s">
        <v>1125</v>
      </c>
      <c r="G4" s="640"/>
      <c r="I4" s="641" t="s">
        <v>2069</v>
      </c>
      <c r="J4" s="641"/>
      <c r="K4" s="641"/>
      <c r="L4" s="641"/>
    </row>
    <row r="6" spans="1:20" ht="57">
      <c r="A6" s="142" t="s">
        <v>7</v>
      </c>
      <c r="B6" s="142" t="s">
        <v>8</v>
      </c>
      <c r="C6" s="142" t="s">
        <v>9</v>
      </c>
      <c r="D6" s="142" t="s">
        <v>10</v>
      </c>
      <c r="E6" s="142" t="s">
        <v>11</v>
      </c>
      <c r="F6" s="142" t="s">
        <v>12</v>
      </c>
      <c r="G6" s="142" t="s">
        <v>13</v>
      </c>
      <c r="H6" s="142" t="s">
        <v>14</v>
      </c>
      <c r="I6" s="142" t="s">
        <v>15</v>
      </c>
      <c r="J6" s="142" t="s">
        <v>16</v>
      </c>
      <c r="K6" s="142" t="s">
        <v>19</v>
      </c>
      <c r="L6" s="142" t="s">
        <v>18</v>
      </c>
      <c r="M6" s="289" t="s">
        <v>99</v>
      </c>
      <c r="N6" s="289" t="s">
        <v>1672</v>
      </c>
      <c r="O6" s="289" t="s">
        <v>2106</v>
      </c>
      <c r="Q6" s="516"/>
      <c r="R6" s="516"/>
      <c r="S6" s="516"/>
      <c r="T6" s="516"/>
    </row>
    <row r="7" spans="1:20" ht="30.75">
      <c r="A7" s="7">
        <v>45523</v>
      </c>
      <c r="B7" s="8">
        <v>80</v>
      </c>
      <c r="C7" s="2" t="s">
        <v>47</v>
      </c>
      <c r="D7" s="7">
        <v>45503</v>
      </c>
      <c r="E7" s="2" t="s">
        <v>23</v>
      </c>
      <c r="F7" s="2" t="s">
        <v>24</v>
      </c>
      <c r="G7" s="2"/>
      <c r="H7" s="2">
        <v>26230</v>
      </c>
      <c r="I7" s="9"/>
      <c r="J7" s="9" t="s">
        <v>2107</v>
      </c>
      <c r="K7" s="9" t="s">
        <v>2108</v>
      </c>
      <c r="L7" s="2"/>
      <c r="M7" s="2" t="s">
        <v>72</v>
      </c>
      <c r="N7" s="2">
        <v>4</v>
      </c>
      <c r="O7" s="2"/>
    </row>
    <row r="8" spans="1:20" ht="30.75">
      <c r="A8" s="7">
        <v>45535</v>
      </c>
      <c r="B8" s="8">
        <v>80</v>
      </c>
      <c r="C8" s="2" t="s">
        <v>50</v>
      </c>
      <c r="D8" s="7">
        <v>45535</v>
      </c>
      <c r="E8" s="2" t="s">
        <v>23</v>
      </c>
      <c r="F8" s="2" t="s">
        <v>28</v>
      </c>
      <c r="G8" s="2"/>
      <c r="H8" s="2">
        <v>27458</v>
      </c>
      <c r="I8" s="9"/>
      <c r="J8" s="9" t="s">
        <v>2109</v>
      </c>
      <c r="K8" s="9" t="s">
        <v>2110</v>
      </c>
      <c r="L8" s="2"/>
      <c r="M8" s="2" t="s">
        <v>26</v>
      </c>
      <c r="N8" s="2">
        <v>5</v>
      </c>
      <c r="O8" s="2"/>
    </row>
    <row r="9" spans="1:20" ht="30.75">
      <c r="A9" s="7">
        <v>45565</v>
      </c>
      <c r="B9" s="8">
        <v>80</v>
      </c>
      <c r="C9" s="2" t="s">
        <v>22</v>
      </c>
      <c r="D9" s="7">
        <v>45565</v>
      </c>
      <c r="E9" s="2" t="s">
        <v>23</v>
      </c>
      <c r="F9" s="2" t="s">
        <v>24</v>
      </c>
      <c r="G9" s="2"/>
      <c r="H9" s="2">
        <v>28273</v>
      </c>
      <c r="I9" s="9"/>
      <c r="J9" s="9" t="s">
        <v>2111</v>
      </c>
      <c r="K9" s="9" t="s">
        <v>2112</v>
      </c>
      <c r="L9" s="2"/>
      <c r="M9" s="2" t="s">
        <v>72</v>
      </c>
      <c r="N9" s="2">
        <v>7.5</v>
      </c>
      <c r="O9" s="2"/>
    </row>
    <row r="10" spans="1:20" ht="30.75">
      <c r="A10" s="7">
        <v>45596</v>
      </c>
      <c r="B10" s="8">
        <v>80</v>
      </c>
      <c r="C10" s="2" t="s">
        <v>54</v>
      </c>
      <c r="D10" s="7">
        <v>45596</v>
      </c>
      <c r="E10" s="2" t="s">
        <v>23</v>
      </c>
      <c r="F10" s="2" t="s">
        <v>24</v>
      </c>
      <c r="G10" s="2"/>
      <c r="H10" s="2">
        <v>29113</v>
      </c>
      <c r="I10" s="9"/>
      <c r="J10" s="9" t="s">
        <v>2113</v>
      </c>
      <c r="K10" s="9" t="s">
        <v>2114</v>
      </c>
      <c r="L10" s="2"/>
      <c r="M10" s="2" t="s">
        <v>72</v>
      </c>
      <c r="N10" s="2">
        <v>6.5</v>
      </c>
      <c r="O10" s="2"/>
    </row>
    <row r="11" spans="1:20" ht="30.75">
      <c r="A11" s="7">
        <v>45626</v>
      </c>
      <c r="B11" s="8">
        <v>80</v>
      </c>
      <c r="C11" s="2" t="s">
        <v>27</v>
      </c>
      <c r="D11" s="7">
        <v>45626</v>
      </c>
      <c r="E11" s="2" t="s">
        <v>23</v>
      </c>
      <c r="F11" s="2" t="s">
        <v>28</v>
      </c>
      <c r="G11" s="2"/>
      <c r="H11" s="9" t="s">
        <v>2115</v>
      </c>
      <c r="I11" s="9"/>
      <c r="J11" s="9" t="s">
        <v>2116</v>
      </c>
      <c r="K11" s="9" t="s">
        <v>2117</v>
      </c>
      <c r="L11" s="2"/>
      <c r="M11" s="2" t="s">
        <v>26</v>
      </c>
      <c r="N11" s="2">
        <v>7.3</v>
      </c>
      <c r="O11" s="2"/>
    </row>
    <row r="12" spans="1:20" ht="30.75">
      <c r="A12" s="7">
        <v>45656</v>
      </c>
      <c r="B12" s="8">
        <v>80</v>
      </c>
      <c r="C12" s="2" t="s">
        <v>30</v>
      </c>
      <c r="D12" s="7">
        <v>46021</v>
      </c>
      <c r="E12" s="2" t="s">
        <v>23</v>
      </c>
      <c r="F12" s="2" t="s">
        <v>28</v>
      </c>
      <c r="G12" s="2"/>
      <c r="H12" s="9" t="s">
        <v>2118</v>
      </c>
      <c r="I12" s="9"/>
      <c r="J12" s="9" t="s">
        <v>2119</v>
      </c>
      <c r="K12" s="9" t="s">
        <v>2120</v>
      </c>
      <c r="L12" s="2"/>
      <c r="M12" s="2" t="s">
        <v>26</v>
      </c>
      <c r="N12" s="2">
        <v>9.1999999999999993</v>
      </c>
      <c r="O12" s="2"/>
    </row>
    <row r="13" spans="1:20" ht="30.75">
      <c r="A13" s="7">
        <v>45687</v>
      </c>
      <c r="B13" s="8">
        <v>80</v>
      </c>
      <c r="C13" s="2" t="s">
        <v>32</v>
      </c>
      <c r="D13" s="7">
        <v>45687</v>
      </c>
      <c r="E13" s="2" t="s">
        <v>23</v>
      </c>
      <c r="F13" s="2" t="s">
        <v>28</v>
      </c>
      <c r="G13" s="2"/>
      <c r="H13" s="9" t="s">
        <v>2121</v>
      </c>
      <c r="I13" s="9"/>
      <c r="J13" s="9" t="s">
        <v>2122</v>
      </c>
      <c r="K13" s="9"/>
      <c r="L13" s="2"/>
      <c r="M13" s="2" t="s">
        <v>26</v>
      </c>
      <c r="N13" s="2">
        <v>4.5</v>
      </c>
      <c r="O13" s="2"/>
    </row>
    <row r="14" spans="1:20" ht="30.75">
      <c r="A14" s="7">
        <v>45716</v>
      </c>
      <c r="B14" s="8">
        <v>80</v>
      </c>
      <c r="C14" s="2" t="s">
        <v>34</v>
      </c>
      <c r="D14" s="7">
        <v>45716</v>
      </c>
      <c r="E14" s="2" t="s">
        <v>23</v>
      </c>
      <c r="F14" s="2" t="s">
        <v>28</v>
      </c>
      <c r="G14" s="2"/>
      <c r="H14" s="9" t="s">
        <v>2123</v>
      </c>
      <c r="I14" s="9"/>
      <c r="J14" s="9" t="s">
        <v>2124</v>
      </c>
      <c r="K14" s="9"/>
      <c r="L14" s="2"/>
      <c r="M14" s="2" t="s">
        <v>26</v>
      </c>
      <c r="N14" s="2">
        <v>6.3</v>
      </c>
      <c r="O14" s="2"/>
    </row>
    <row r="15" spans="1:20" ht="30.75">
      <c r="A15" s="7">
        <v>45747</v>
      </c>
      <c r="B15" s="8">
        <v>80</v>
      </c>
      <c r="C15" s="2" t="s">
        <v>38</v>
      </c>
      <c r="D15" s="7">
        <v>45747</v>
      </c>
      <c r="E15" s="2" t="s">
        <v>23</v>
      </c>
      <c r="F15" s="2" t="s">
        <v>28</v>
      </c>
      <c r="G15" s="2"/>
      <c r="H15" s="9" t="s">
        <v>2125</v>
      </c>
      <c r="I15" s="9"/>
      <c r="J15" s="9" t="s">
        <v>2126</v>
      </c>
      <c r="K15" s="9"/>
      <c r="L15" s="2"/>
      <c r="M15" s="2" t="s">
        <v>26</v>
      </c>
      <c r="N15" s="2">
        <v>6.54</v>
      </c>
      <c r="O15" s="2"/>
    </row>
    <row r="16" spans="1:20" ht="30.75">
      <c r="A16" s="7">
        <v>45777</v>
      </c>
      <c r="B16" s="8">
        <v>80</v>
      </c>
      <c r="C16" s="2" t="s">
        <v>41</v>
      </c>
      <c r="D16" s="7">
        <v>45777</v>
      </c>
      <c r="E16" s="2" t="s">
        <v>23</v>
      </c>
      <c r="F16" s="2" t="s">
        <v>28</v>
      </c>
      <c r="G16" s="2"/>
      <c r="H16" s="9" t="s">
        <v>2127</v>
      </c>
      <c r="I16" s="9"/>
      <c r="J16" s="9" t="s">
        <v>2128</v>
      </c>
      <c r="K16" s="9"/>
      <c r="L16" s="2"/>
      <c r="M16" s="2" t="s">
        <v>26</v>
      </c>
      <c r="N16" s="2">
        <v>8.4</v>
      </c>
      <c r="O16" s="2"/>
    </row>
    <row r="17" spans="1:15" ht="30.75">
      <c r="A17" s="7">
        <v>45815</v>
      </c>
      <c r="B17" s="8">
        <v>80</v>
      </c>
      <c r="C17" s="2" t="s">
        <v>44</v>
      </c>
      <c r="D17" s="7">
        <v>45808</v>
      </c>
      <c r="E17" s="2" t="s">
        <v>23</v>
      </c>
      <c r="F17" s="2" t="s">
        <v>24</v>
      </c>
      <c r="G17" s="2"/>
      <c r="H17" s="9" t="s">
        <v>2129</v>
      </c>
      <c r="I17" s="9"/>
      <c r="J17" s="9" t="s">
        <v>2130</v>
      </c>
      <c r="K17" s="9"/>
      <c r="L17" s="2"/>
      <c r="M17" s="2" t="s">
        <v>72</v>
      </c>
      <c r="N17" s="2">
        <v>5.6</v>
      </c>
      <c r="O17" s="2"/>
    </row>
    <row r="18" spans="1:15" ht="30.75">
      <c r="A18" s="7">
        <v>45869</v>
      </c>
      <c r="B18" s="8">
        <v>80</v>
      </c>
      <c r="C18" s="2" t="s">
        <v>57</v>
      </c>
      <c r="D18" s="7">
        <v>45835</v>
      </c>
      <c r="E18" s="2" t="s">
        <v>23</v>
      </c>
      <c r="F18" s="2" t="s">
        <v>24</v>
      </c>
      <c r="G18" s="2"/>
      <c r="H18" s="9" t="s">
        <v>2131</v>
      </c>
      <c r="I18" s="9"/>
      <c r="J18" s="9" t="s">
        <v>2132</v>
      </c>
      <c r="K18" s="9"/>
      <c r="L18" s="2"/>
      <c r="M18" s="2" t="s">
        <v>72</v>
      </c>
      <c r="N18" s="2">
        <v>4.5</v>
      </c>
      <c r="O18" s="2"/>
    </row>
    <row r="19" spans="1:15" ht="30.75">
      <c r="A19" s="7">
        <v>45869</v>
      </c>
      <c r="B19" s="8">
        <v>80</v>
      </c>
      <c r="C19" s="2" t="s">
        <v>47</v>
      </c>
      <c r="D19" s="7">
        <v>45868</v>
      </c>
      <c r="E19" s="2" t="s">
        <v>23</v>
      </c>
      <c r="F19" s="2" t="s">
        <v>28</v>
      </c>
      <c r="G19" s="2"/>
      <c r="H19" s="9" t="s">
        <v>2133</v>
      </c>
      <c r="I19" s="9"/>
      <c r="J19" s="2">
        <v>50068</v>
      </c>
      <c r="K19" s="2"/>
      <c r="L19" s="2"/>
      <c r="M19" s="2" t="s">
        <v>26</v>
      </c>
      <c r="N19" s="2">
        <v>7.5</v>
      </c>
      <c r="O19" s="2"/>
    </row>
    <row r="20" spans="1:15" ht="30.75">
      <c r="A20" s="7">
        <v>45898</v>
      </c>
      <c r="B20" s="8">
        <v>80</v>
      </c>
      <c r="C20" s="2" t="s">
        <v>50</v>
      </c>
      <c r="D20" s="7">
        <v>45898</v>
      </c>
      <c r="E20" s="2" t="s">
        <v>23</v>
      </c>
      <c r="F20" s="2" t="s">
        <v>28</v>
      </c>
      <c r="G20" s="2"/>
      <c r="H20" s="9" t="s">
        <v>2134</v>
      </c>
      <c r="I20" s="101" t="s">
        <v>2135</v>
      </c>
      <c r="J20" s="2">
        <v>51316</v>
      </c>
      <c r="K20" s="2"/>
      <c r="L20" s="2"/>
      <c r="M20" s="2" t="s">
        <v>26</v>
      </c>
      <c r="N20" s="2">
        <v>3.4</v>
      </c>
      <c r="O20" s="100" t="s">
        <v>76</v>
      </c>
    </row>
    <row r="21" spans="1:15" ht="30.75">
      <c r="A21" s="7">
        <v>45940</v>
      </c>
      <c r="B21" s="8">
        <v>70</v>
      </c>
      <c r="C21" s="2" t="s">
        <v>22</v>
      </c>
      <c r="D21" s="7">
        <v>45930</v>
      </c>
      <c r="E21" s="2" t="s">
        <v>23</v>
      </c>
      <c r="F21" s="2" t="s">
        <v>24</v>
      </c>
      <c r="G21" s="2"/>
      <c r="H21" s="2">
        <v>38155</v>
      </c>
      <c r="I21" s="2"/>
      <c r="J21" s="2">
        <v>52145</v>
      </c>
      <c r="K21" s="2"/>
      <c r="L21" s="2"/>
      <c r="M21" s="2" t="s">
        <v>72</v>
      </c>
      <c r="N21" s="2">
        <v>5.5</v>
      </c>
      <c r="O21" s="2"/>
    </row>
    <row r="22" spans="1:15" ht="30.75">
      <c r="A22" s="7">
        <v>45964</v>
      </c>
      <c r="B22" s="8">
        <v>70</v>
      </c>
      <c r="C22" s="2" t="s">
        <v>54</v>
      </c>
      <c r="D22" s="7">
        <v>45961</v>
      </c>
      <c r="E22" s="2" t="s">
        <v>23</v>
      </c>
      <c r="F22" s="2" t="s">
        <v>24</v>
      </c>
      <c r="G22" s="2"/>
      <c r="H22" s="2">
        <v>38978</v>
      </c>
      <c r="I22" s="2"/>
      <c r="J22" s="2">
        <v>53346</v>
      </c>
      <c r="K22" s="2"/>
      <c r="L22" s="2"/>
      <c r="M22" s="2" t="s">
        <v>72</v>
      </c>
      <c r="N22" s="2">
        <v>2.5</v>
      </c>
      <c r="O22" s="2"/>
    </row>
    <row r="23" spans="1:15" ht="30.75">
      <c r="A23" s="7">
        <v>46006</v>
      </c>
      <c r="B23" s="8">
        <v>70</v>
      </c>
      <c r="C23" s="2" t="s">
        <v>27</v>
      </c>
      <c r="D23" s="7">
        <v>45989</v>
      </c>
      <c r="E23" s="2" t="s">
        <v>23</v>
      </c>
      <c r="F23" s="2" t="s">
        <v>24</v>
      </c>
      <c r="G23" s="2"/>
      <c r="H23" s="2">
        <v>39859</v>
      </c>
      <c r="I23" s="2"/>
      <c r="J23" s="2">
        <v>54444</v>
      </c>
      <c r="K23" s="2"/>
      <c r="L23" s="2"/>
      <c r="M23" s="2" t="s">
        <v>72</v>
      </c>
      <c r="N23" s="2">
        <v>4.5</v>
      </c>
      <c r="O23" s="2"/>
    </row>
    <row r="24" spans="1:15" ht="30.75">
      <c r="A24" s="7">
        <v>46086</v>
      </c>
      <c r="B24" s="8">
        <v>70</v>
      </c>
      <c r="C24" s="2" t="s">
        <v>30</v>
      </c>
      <c r="D24" s="7">
        <v>46020</v>
      </c>
      <c r="E24" s="2" t="s">
        <v>23</v>
      </c>
      <c r="F24" s="2" t="s">
        <v>24</v>
      </c>
      <c r="G24" s="2"/>
      <c r="H24" s="2">
        <v>40716</v>
      </c>
      <c r="I24" s="2"/>
      <c r="J24" s="2">
        <v>55712</v>
      </c>
      <c r="K24" s="2"/>
      <c r="L24" s="2"/>
      <c r="M24" s="2" t="s">
        <v>72</v>
      </c>
      <c r="N24" s="2">
        <v>4.9000000000000004</v>
      </c>
      <c r="O24" s="2"/>
    </row>
    <row r="25" spans="1:15" ht="30.75">
      <c r="A25" s="7">
        <v>46053</v>
      </c>
      <c r="B25" s="8">
        <v>70</v>
      </c>
      <c r="C25" s="2" t="s">
        <v>32</v>
      </c>
      <c r="D25" s="7">
        <v>46053</v>
      </c>
      <c r="E25" s="2" t="s">
        <v>23</v>
      </c>
      <c r="F25" s="2" t="s">
        <v>28</v>
      </c>
      <c r="G25" s="2"/>
      <c r="H25" s="2">
        <v>41613</v>
      </c>
      <c r="I25" s="2"/>
      <c r="J25" s="2">
        <v>56484</v>
      </c>
      <c r="K25" s="2"/>
      <c r="L25" s="2"/>
      <c r="M25" s="2" t="s">
        <v>26</v>
      </c>
      <c r="N25" s="2" t="s">
        <v>2097</v>
      </c>
      <c r="O25" s="2"/>
    </row>
    <row r="26" spans="1:15" ht="30.75">
      <c r="A26" s="7">
        <v>46093</v>
      </c>
      <c r="B26" s="8">
        <v>70</v>
      </c>
      <c r="C26" s="2" t="s">
        <v>34</v>
      </c>
      <c r="D26" s="7">
        <v>46081</v>
      </c>
      <c r="E26" s="2" t="s">
        <v>23</v>
      </c>
      <c r="F26" s="2" t="s">
        <v>24</v>
      </c>
      <c r="G26" s="2"/>
      <c r="H26" s="2">
        <v>42426</v>
      </c>
      <c r="I26" s="2"/>
      <c r="J26" s="2">
        <v>58403</v>
      </c>
      <c r="K26" s="2"/>
      <c r="L26" s="2"/>
      <c r="M26" s="2" t="s">
        <v>72</v>
      </c>
      <c r="N26" s="2">
        <v>7.5</v>
      </c>
      <c r="O26" s="2"/>
    </row>
    <row r="27" spans="1:15" ht="30.75">
      <c r="A27" s="7">
        <v>46118</v>
      </c>
      <c r="B27" s="8">
        <v>70</v>
      </c>
      <c r="C27" s="2" t="s">
        <v>38</v>
      </c>
      <c r="D27" s="7">
        <v>46112</v>
      </c>
      <c r="E27" s="2" t="s">
        <v>23</v>
      </c>
      <c r="F27" s="2" t="s">
        <v>24</v>
      </c>
      <c r="G27" s="2"/>
      <c r="H27" s="2">
        <v>43265</v>
      </c>
      <c r="I27" s="2"/>
      <c r="J27" s="2">
        <v>59582</v>
      </c>
      <c r="K27" s="2"/>
      <c r="L27" s="2"/>
      <c r="M27" s="2" t="s">
        <v>72</v>
      </c>
      <c r="N27" s="2">
        <v>2.2000000000000002</v>
      </c>
      <c r="O27" s="2"/>
    </row>
    <row r="28" spans="1:15" ht="30.75">
      <c r="A28" s="7">
        <v>46170</v>
      </c>
      <c r="B28" s="8">
        <v>70</v>
      </c>
      <c r="C28" s="2" t="s">
        <v>41</v>
      </c>
      <c r="D28" s="7">
        <v>46141</v>
      </c>
      <c r="E28" s="2" t="s">
        <v>23</v>
      </c>
      <c r="F28" s="2" t="s">
        <v>24</v>
      </c>
      <c r="G28" s="2"/>
      <c r="H28" s="2">
        <v>44142</v>
      </c>
      <c r="I28" s="2"/>
      <c r="J28" s="2">
        <v>60995</v>
      </c>
      <c r="K28" s="2"/>
      <c r="L28" s="2"/>
      <c r="M28" s="2" t="s">
        <v>72</v>
      </c>
      <c r="N28" s="2">
        <v>3</v>
      </c>
      <c r="O28" s="2"/>
    </row>
    <row r="29" spans="1:15" ht="30.75">
      <c r="A29" s="7">
        <v>46177</v>
      </c>
      <c r="B29" s="8">
        <v>70</v>
      </c>
      <c r="C29" s="2" t="s">
        <v>44</v>
      </c>
      <c r="D29" s="2"/>
      <c r="E29" s="2" t="s">
        <v>23</v>
      </c>
      <c r="F29" s="2" t="s">
        <v>24</v>
      </c>
      <c r="G29" s="2"/>
      <c r="H29" s="2">
        <v>44971</v>
      </c>
      <c r="I29" s="2"/>
      <c r="J29" s="2"/>
      <c r="K29" s="2"/>
      <c r="L29" s="2"/>
      <c r="M29" s="2" t="s">
        <v>72</v>
      </c>
      <c r="N29" s="2"/>
      <c r="O29" s="2"/>
    </row>
    <row r="30" spans="1:15" ht="30.75">
      <c r="A30" s="2"/>
      <c r="B30" s="2"/>
      <c r="C30" s="2"/>
      <c r="D30" s="2"/>
      <c r="E30" s="2" t="s">
        <v>23</v>
      </c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30.75">
      <c r="A31" s="2"/>
      <c r="B31" s="2"/>
      <c r="C31" s="2"/>
      <c r="D31" s="2"/>
      <c r="E31" s="2" t="s">
        <v>23</v>
      </c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30.75">
      <c r="A32" s="2"/>
      <c r="B32" s="2"/>
      <c r="C32" s="2"/>
      <c r="D32" s="2"/>
      <c r="E32" s="2" t="s">
        <v>23</v>
      </c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30.75">
      <c r="A33" s="2"/>
      <c r="B33" s="2"/>
      <c r="C33" s="2"/>
      <c r="D33" s="2"/>
      <c r="E33" s="2" t="s">
        <v>23</v>
      </c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30.75">
      <c r="A34" s="2"/>
      <c r="B34" s="2"/>
      <c r="C34" s="2"/>
      <c r="D34" s="2"/>
      <c r="E34" s="2" t="s">
        <v>23</v>
      </c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30.75">
      <c r="A35" s="2"/>
      <c r="B35" s="2"/>
      <c r="C35" s="2"/>
      <c r="D35" s="2"/>
      <c r="E35" s="2" t="s">
        <v>23</v>
      </c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30.75">
      <c r="A36" s="2"/>
      <c r="B36" s="2"/>
      <c r="C36" s="2"/>
      <c r="D36" s="2"/>
      <c r="E36" s="2" t="s">
        <v>23</v>
      </c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30.75">
      <c r="A37" s="2"/>
      <c r="B37" s="2"/>
      <c r="C37" s="2"/>
      <c r="D37" s="2"/>
      <c r="E37" s="2" t="s">
        <v>23</v>
      </c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30.75">
      <c r="A38" s="2"/>
      <c r="B38" s="2"/>
      <c r="C38" s="2"/>
      <c r="D38" s="2"/>
      <c r="E38" s="2" t="s">
        <v>23</v>
      </c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30.75">
      <c r="A39" s="2"/>
      <c r="B39" s="2"/>
      <c r="C39" s="2"/>
      <c r="D39" s="2"/>
      <c r="E39" s="2" t="s">
        <v>23</v>
      </c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30.75">
      <c r="A40" s="2"/>
      <c r="B40" s="2"/>
      <c r="C40" s="2"/>
      <c r="D40" s="2"/>
      <c r="E40" s="2" t="s">
        <v>23</v>
      </c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30.75">
      <c r="A41" s="2"/>
      <c r="B41" s="2"/>
      <c r="C41" s="2"/>
      <c r="D41" s="2"/>
      <c r="E41" s="2" t="s">
        <v>23</v>
      </c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30.75">
      <c r="A42" s="2"/>
      <c r="B42" s="2"/>
      <c r="C42" s="2"/>
      <c r="D42" s="2"/>
      <c r="E42" s="2" t="s">
        <v>23</v>
      </c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30.75">
      <c r="A43" s="2"/>
      <c r="B43" s="2"/>
      <c r="C43" s="2"/>
      <c r="D43" s="2"/>
      <c r="E43" s="2" t="s">
        <v>23</v>
      </c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30.75">
      <c r="A44" s="2"/>
      <c r="B44" s="2"/>
      <c r="C44" s="2"/>
      <c r="D44" s="2"/>
      <c r="E44" s="2" t="s">
        <v>23</v>
      </c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30.75">
      <c r="A45" s="2"/>
      <c r="B45" s="2"/>
      <c r="C45" s="2"/>
      <c r="D45" s="2"/>
      <c r="E45" s="2" t="s">
        <v>23</v>
      </c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30.75">
      <c r="A46" s="2"/>
      <c r="B46" s="2"/>
      <c r="C46" s="2"/>
      <c r="D46" s="2"/>
      <c r="E46" s="2" t="s">
        <v>23</v>
      </c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30.75">
      <c r="A47" s="2"/>
      <c r="B47" s="2"/>
      <c r="C47" s="2"/>
      <c r="D47" s="2"/>
      <c r="E47" s="2" t="s">
        <v>23</v>
      </c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30.75">
      <c r="A48" s="2"/>
      <c r="B48" s="2"/>
      <c r="C48" s="2"/>
      <c r="D48" s="2"/>
      <c r="E48" s="2" t="s">
        <v>23</v>
      </c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30.75">
      <c r="A49" s="2"/>
      <c r="B49" s="2"/>
      <c r="C49" s="2"/>
      <c r="D49" s="2"/>
      <c r="E49" s="2" t="s">
        <v>23</v>
      </c>
      <c r="F49" s="2"/>
      <c r="G49" s="2"/>
      <c r="H49" s="2"/>
      <c r="I49" s="2"/>
      <c r="J49" s="2"/>
      <c r="K49" s="2"/>
      <c r="L49" s="2"/>
      <c r="M49" s="2"/>
      <c r="N49" s="2"/>
      <c r="O49" s="2"/>
    </row>
  </sheetData>
  <mergeCells count="5">
    <mergeCell ref="A1:E1"/>
    <mergeCell ref="B2:C2"/>
    <mergeCell ref="E2:H2"/>
    <mergeCell ref="F4:G4"/>
    <mergeCell ref="I4:L4"/>
  </mergeCells>
  <dataValidations count="2">
    <dataValidation type="list" allowBlank="1" showInputMessage="1" showErrorMessage="1" sqref="F7:F49" xr:uid="{013B72DC-B246-407B-846E-2A483904F01A}">
      <formula1>"EFECTIVO, CHEQUE, TRANSFERENCIA,DEPOSITO"</formula1>
    </dataValidation>
    <dataValidation type="list" allowBlank="1" showInputMessage="1" showErrorMessage="1" sqref="C7:C49" xr:uid="{5F7806A6-3A19-4EFA-9A98-C076356CC730}">
      <formula1>"ENERO,FEBRERO,MARZO,ABRIL,MAYO,JUNIO,JULIO,AGOSTO,SEPTIEMBRE,OCTUBRE,NOVIEMBRE,DICIEMBRE"</formula1>
    </dataValidation>
  </dataValidations>
  <hyperlinks>
    <hyperlink ref="E2" r:id="rId1" xr:uid="{F4DA438B-58AC-4EB1-817C-D706E3608574}"/>
    <hyperlink ref="E2:H2" r:id="rId2" display="mvzcinthiacabezas@gmail.com" xr:uid="{B95D14C1-670D-4521-B75E-CCEFF68CAEE1}"/>
  </hyperlinks>
  <pageMargins left="0.7" right="0.7" top="0.75" bottom="0.75" header="0.3" footer="0.3"/>
  <pageSetup paperSize="9" orientation="portrait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B748-8244-4BEF-B708-E301A0973595}">
  <dimension ref="A1:T49"/>
  <sheetViews>
    <sheetView tabSelected="1" topLeftCell="A20" workbookViewId="0">
      <selection activeCell="B29" sqref="B29"/>
    </sheetView>
  </sheetViews>
  <sheetFormatPr defaultColWidth="11.42578125" defaultRowHeight="15"/>
  <cols>
    <col min="2" max="2" width="18.7109375" customWidth="1"/>
    <col min="3" max="3" width="12.140625" customWidth="1"/>
    <col min="4" max="4" width="13.5703125" customWidth="1"/>
    <col min="5" max="5" width="14.42578125" customWidth="1"/>
    <col min="6" max="6" width="18.28515625" customWidth="1"/>
    <col min="7" max="12" width="9.140625"/>
    <col min="13" max="13" width="18.7109375" customWidth="1"/>
  </cols>
  <sheetData>
    <row r="1" spans="1:20" ht="21">
      <c r="A1" s="1" t="s">
        <v>2065</v>
      </c>
      <c r="B1" s="1"/>
      <c r="C1" s="1"/>
      <c r="D1" s="1"/>
      <c r="E1" s="1"/>
    </row>
    <row r="2" spans="1:20" ht="45.75">
      <c r="A2" s="2" t="s">
        <v>93</v>
      </c>
      <c r="B2" s="638" t="s">
        <v>2066</v>
      </c>
      <c r="C2" s="638"/>
      <c r="E2" s="639" t="s">
        <v>2067</v>
      </c>
      <c r="F2" s="639"/>
      <c r="G2" s="639"/>
      <c r="H2" s="639"/>
      <c r="M2" s="595" t="s">
        <v>2136</v>
      </c>
    </row>
    <row r="3" spans="1:20">
      <c r="A3" s="2" t="s">
        <v>1670</v>
      </c>
      <c r="B3" s="3">
        <v>10459111820</v>
      </c>
    </row>
    <row r="4" spans="1:20" ht="37.5">
      <c r="A4" s="140" t="s">
        <v>4</v>
      </c>
      <c r="B4" s="141">
        <v>45493</v>
      </c>
      <c r="F4" s="640" t="s">
        <v>1125</v>
      </c>
      <c r="G4" s="640"/>
      <c r="I4" s="641" t="s">
        <v>2069</v>
      </c>
      <c r="J4" s="641"/>
      <c r="K4" s="641"/>
      <c r="L4" s="641"/>
      <c r="M4" t="s">
        <v>36</v>
      </c>
    </row>
    <row r="6" spans="1:20" ht="75.75">
      <c r="A6" s="142" t="s">
        <v>7</v>
      </c>
      <c r="B6" s="142" t="s">
        <v>8</v>
      </c>
      <c r="C6" s="142" t="s">
        <v>9</v>
      </c>
      <c r="D6" s="142" t="s">
        <v>10</v>
      </c>
      <c r="E6" s="142" t="s">
        <v>11</v>
      </c>
      <c r="F6" s="142" t="s">
        <v>12</v>
      </c>
      <c r="G6" s="142" t="s">
        <v>13</v>
      </c>
      <c r="H6" s="142" t="s">
        <v>14</v>
      </c>
      <c r="I6" s="142" t="s">
        <v>15</v>
      </c>
      <c r="J6" s="142" t="s">
        <v>16</v>
      </c>
      <c r="K6" s="142" t="s">
        <v>19</v>
      </c>
      <c r="L6" s="142" t="s">
        <v>18</v>
      </c>
      <c r="M6" s="289" t="s">
        <v>99</v>
      </c>
      <c r="N6" s="289" t="s">
        <v>1672</v>
      </c>
      <c r="Q6" s="516"/>
      <c r="R6" s="516"/>
      <c r="S6" s="516"/>
      <c r="T6" s="516"/>
    </row>
    <row r="7" spans="1:20" ht="30.75">
      <c r="A7" s="7">
        <v>45497</v>
      </c>
      <c r="B7" s="8">
        <v>80</v>
      </c>
      <c r="C7" s="2" t="s">
        <v>47</v>
      </c>
      <c r="D7" s="7">
        <v>45503</v>
      </c>
      <c r="E7" s="2" t="s">
        <v>23</v>
      </c>
      <c r="F7" s="2" t="s">
        <v>24</v>
      </c>
      <c r="G7" s="2"/>
      <c r="H7" s="2">
        <v>26231</v>
      </c>
      <c r="I7" s="9"/>
      <c r="J7" s="9" t="s">
        <v>2137</v>
      </c>
      <c r="K7" s="9" t="s">
        <v>2138</v>
      </c>
      <c r="L7" s="2"/>
      <c r="M7" s="2" t="s">
        <v>72</v>
      </c>
      <c r="N7" s="2">
        <v>1.1599999999999999</v>
      </c>
    </row>
    <row r="8" spans="1:20" ht="30.75">
      <c r="A8" s="7">
        <v>45535</v>
      </c>
      <c r="B8" s="8">
        <v>80</v>
      </c>
      <c r="C8" s="2" t="s">
        <v>50</v>
      </c>
      <c r="D8" s="7">
        <v>45535</v>
      </c>
      <c r="E8" s="2" t="s">
        <v>23</v>
      </c>
      <c r="F8" s="2" t="s">
        <v>28</v>
      </c>
      <c r="G8" s="2"/>
      <c r="H8" s="2">
        <v>27459</v>
      </c>
      <c r="I8" s="9"/>
      <c r="J8" s="9" t="s">
        <v>2139</v>
      </c>
      <c r="K8" s="9" t="s">
        <v>2140</v>
      </c>
      <c r="L8" s="2"/>
      <c r="M8" s="2" t="s">
        <v>26</v>
      </c>
      <c r="N8" s="2">
        <v>4</v>
      </c>
    </row>
    <row r="9" spans="1:20" ht="30.75">
      <c r="A9" s="7">
        <v>45565</v>
      </c>
      <c r="B9" s="8">
        <v>80</v>
      </c>
      <c r="C9" s="2" t="s">
        <v>22</v>
      </c>
      <c r="D9" s="7">
        <v>45565</v>
      </c>
      <c r="E9" s="2" t="s">
        <v>23</v>
      </c>
      <c r="F9" s="2" t="s">
        <v>24</v>
      </c>
      <c r="G9" s="2"/>
      <c r="H9" s="2">
        <v>28272</v>
      </c>
      <c r="I9" s="9"/>
      <c r="J9" s="9" t="s">
        <v>2141</v>
      </c>
      <c r="K9" s="9" t="s">
        <v>2142</v>
      </c>
      <c r="L9" s="2"/>
      <c r="M9" s="2" t="s">
        <v>72</v>
      </c>
      <c r="N9" s="2">
        <v>6.5</v>
      </c>
    </row>
    <row r="10" spans="1:20" ht="30.75">
      <c r="A10" s="7">
        <v>45596</v>
      </c>
      <c r="B10" s="8">
        <v>80</v>
      </c>
      <c r="C10" s="2" t="s">
        <v>54</v>
      </c>
      <c r="D10" s="7">
        <v>45596</v>
      </c>
      <c r="E10" s="2" t="s">
        <v>23</v>
      </c>
      <c r="F10" s="2" t="s">
        <v>24</v>
      </c>
      <c r="G10" s="2"/>
      <c r="H10" s="2">
        <v>29112</v>
      </c>
      <c r="I10" s="9"/>
      <c r="J10" s="9" t="s">
        <v>2143</v>
      </c>
      <c r="K10" s="9" t="s">
        <v>2144</v>
      </c>
      <c r="L10" s="2"/>
      <c r="M10" s="2" t="s">
        <v>72</v>
      </c>
      <c r="N10" s="2">
        <v>4.5</v>
      </c>
    </row>
    <row r="11" spans="1:20" ht="30.75">
      <c r="A11" s="7">
        <v>45626</v>
      </c>
      <c r="B11" s="8">
        <v>80</v>
      </c>
      <c r="C11" s="2" t="s">
        <v>27</v>
      </c>
      <c r="D11" s="7">
        <v>45626</v>
      </c>
      <c r="E11" s="2" t="s">
        <v>23</v>
      </c>
      <c r="F11" s="2" t="s">
        <v>28</v>
      </c>
      <c r="G11" s="2"/>
      <c r="H11" s="9" t="s">
        <v>2145</v>
      </c>
      <c r="I11" s="9"/>
      <c r="J11" s="9" t="s">
        <v>2146</v>
      </c>
      <c r="K11" s="9" t="s">
        <v>2147</v>
      </c>
      <c r="L11" s="2"/>
      <c r="M11" s="2" t="s">
        <v>26</v>
      </c>
      <c r="N11" s="2">
        <v>7.3</v>
      </c>
    </row>
    <row r="12" spans="1:20" ht="30.75">
      <c r="A12" s="7">
        <v>45656</v>
      </c>
      <c r="B12" s="8">
        <v>80</v>
      </c>
      <c r="C12" s="2" t="s">
        <v>30</v>
      </c>
      <c r="D12" s="7">
        <v>45656</v>
      </c>
      <c r="E12" s="2" t="s">
        <v>23</v>
      </c>
      <c r="F12" s="2" t="s">
        <v>28</v>
      </c>
      <c r="G12" s="2"/>
      <c r="H12" s="9" t="s">
        <v>2148</v>
      </c>
      <c r="I12" s="9"/>
      <c r="J12" s="9" t="s">
        <v>2149</v>
      </c>
      <c r="K12" s="9" t="s">
        <v>1235</v>
      </c>
      <c r="L12" s="2"/>
      <c r="M12" s="2" t="s">
        <v>26</v>
      </c>
      <c r="N12" s="2">
        <v>4.7</v>
      </c>
    </row>
    <row r="13" spans="1:20" ht="30.75">
      <c r="A13" s="7">
        <v>45687</v>
      </c>
      <c r="B13" s="8">
        <v>80</v>
      </c>
      <c r="C13" s="2" t="s">
        <v>32</v>
      </c>
      <c r="D13" s="7">
        <v>45687</v>
      </c>
      <c r="E13" s="2" t="s">
        <v>23</v>
      </c>
      <c r="F13" s="2" t="s">
        <v>28</v>
      </c>
      <c r="G13" s="2"/>
      <c r="H13" s="9" t="s">
        <v>2150</v>
      </c>
      <c r="I13" s="9"/>
      <c r="J13" s="9" t="s">
        <v>2151</v>
      </c>
      <c r="K13" s="9"/>
      <c r="L13" s="2"/>
      <c r="M13" s="2" t="s">
        <v>26</v>
      </c>
      <c r="N13" s="2">
        <v>6.5</v>
      </c>
    </row>
    <row r="14" spans="1:20" ht="30.75">
      <c r="A14" s="7">
        <v>45716</v>
      </c>
      <c r="B14" s="8">
        <v>80</v>
      </c>
      <c r="C14" s="2" t="s">
        <v>34</v>
      </c>
      <c r="D14" s="7">
        <v>45716</v>
      </c>
      <c r="E14" s="2" t="s">
        <v>23</v>
      </c>
      <c r="F14" s="2" t="s">
        <v>28</v>
      </c>
      <c r="G14" s="2"/>
      <c r="H14" s="9" t="s">
        <v>2152</v>
      </c>
      <c r="I14" s="9"/>
      <c r="J14" s="9" t="s">
        <v>2153</v>
      </c>
      <c r="K14" s="9"/>
      <c r="L14" s="2"/>
      <c r="M14" s="2" t="s">
        <v>26</v>
      </c>
      <c r="N14" s="2">
        <v>3.8</v>
      </c>
    </row>
    <row r="15" spans="1:20" ht="30.75">
      <c r="A15" s="7">
        <v>45747</v>
      </c>
      <c r="B15" s="8">
        <v>80</v>
      </c>
      <c r="C15" s="2" t="s">
        <v>38</v>
      </c>
      <c r="D15" s="7">
        <v>45747</v>
      </c>
      <c r="E15" s="2" t="s">
        <v>23</v>
      </c>
      <c r="F15" s="2" t="s">
        <v>28</v>
      </c>
      <c r="G15" s="2"/>
      <c r="H15" s="9" t="s">
        <v>2154</v>
      </c>
      <c r="I15" s="9"/>
      <c r="J15" s="9" t="s">
        <v>2155</v>
      </c>
      <c r="K15" s="9"/>
      <c r="L15" s="2"/>
      <c r="M15" s="2" t="s">
        <v>26</v>
      </c>
      <c r="N15" s="2">
        <v>4.5</v>
      </c>
    </row>
    <row r="16" spans="1:20" ht="30.75">
      <c r="A16" s="7">
        <v>45777</v>
      </c>
      <c r="B16" s="8">
        <v>80</v>
      </c>
      <c r="C16" s="2" t="s">
        <v>41</v>
      </c>
      <c r="D16" s="7">
        <v>45777</v>
      </c>
      <c r="E16" s="2" t="s">
        <v>23</v>
      </c>
      <c r="F16" s="2" t="s">
        <v>24</v>
      </c>
      <c r="G16" s="2"/>
      <c r="H16" s="9" t="s">
        <v>2156</v>
      </c>
      <c r="I16" s="9"/>
      <c r="J16" s="9" t="s">
        <v>2157</v>
      </c>
      <c r="K16" s="9"/>
      <c r="L16" s="2"/>
      <c r="M16" s="2" t="s">
        <v>72</v>
      </c>
      <c r="N16" s="2">
        <v>1.5</v>
      </c>
    </row>
    <row r="17" spans="1:14" ht="30.75">
      <c r="A17" s="7">
        <v>45815</v>
      </c>
      <c r="B17" s="8">
        <v>80</v>
      </c>
      <c r="C17" s="2" t="s">
        <v>44</v>
      </c>
      <c r="D17" s="7">
        <v>45808</v>
      </c>
      <c r="E17" s="2" t="s">
        <v>23</v>
      </c>
      <c r="F17" s="2" t="s">
        <v>24</v>
      </c>
      <c r="G17" s="2"/>
      <c r="H17" s="9" t="s">
        <v>2158</v>
      </c>
      <c r="I17" s="9"/>
      <c r="J17" s="9" t="s">
        <v>2159</v>
      </c>
      <c r="K17" s="9"/>
      <c r="L17" s="2"/>
      <c r="M17" s="2" t="s">
        <v>72</v>
      </c>
      <c r="N17" s="2">
        <v>3.5</v>
      </c>
    </row>
    <row r="18" spans="1:14" ht="30.75">
      <c r="A18" s="7">
        <v>45835</v>
      </c>
      <c r="B18" s="8">
        <v>80</v>
      </c>
      <c r="C18" s="2" t="s">
        <v>57</v>
      </c>
      <c r="D18" s="7">
        <v>45835</v>
      </c>
      <c r="E18" s="2" t="s">
        <v>23</v>
      </c>
      <c r="F18" s="2" t="s">
        <v>28</v>
      </c>
      <c r="G18" s="2"/>
      <c r="H18" s="9" t="s">
        <v>2160</v>
      </c>
      <c r="I18" s="9"/>
      <c r="J18" s="9" t="s">
        <v>2161</v>
      </c>
      <c r="K18" s="9"/>
      <c r="L18" s="2"/>
      <c r="M18" s="2" t="s">
        <v>26</v>
      </c>
      <c r="N18" s="2">
        <v>5.3</v>
      </c>
    </row>
    <row r="19" spans="1:14" ht="30.75">
      <c r="A19" s="7">
        <v>45870</v>
      </c>
      <c r="B19" s="8">
        <v>80</v>
      </c>
      <c r="C19" s="2" t="s">
        <v>47</v>
      </c>
      <c r="D19" s="7">
        <v>45869</v>
      </c>
      <c r="E19" s="2" t="s">
        <v>23</v>
      </c>
      <c r="F19" s="2" t="s">
        <v>24</v>
      </c>
      <c r="G19" s="2"/>
      <c r="H19" s="9" t="s">
        <v>2162</v>
      </c>
      <c r="I19" s="9"/>
      <c r="J19" s="2">
        <v>50065</v>
      </c>
      <c r="K19" s="2"/>
      <c r="L19" s="2"/>
      <c r="M19" s="2" t="s">
        <v>72</v>
      </c>
      <c r="N19" s="2">
        <v>9.5</v>
      </c>
    </row>
    <row r="20" spans="1:14" ht="30.75">
      <c r="A20" s="7">
        <v>45925</v>
      </c>
      <c r="B20" s="8">
        <v>80</v>
      </c>
      <c r="C20" s="2" t="s">
        <v>50</v>
      </c>
      <c r="D20" s="7">
        <v>45898</v>
      </c>
      <c r="E20" s="2" t="s">
        <v>23</v>
      </c>
      <c r="F20" s="2" t="s">
        <v>24</v>
      </c>
      <c r="G20" s="2"/>
      <c r="H20" s="9" t="s">
        <v>2163</v>
      </c>
      <c r="I20" s="9"/>
      <c r="J20" s="2">
        <v>51315</v>
      </c>
      <c r="K20" s="2"/>
      <c r="L20" s="2"/>
      <c r="M20" s="2" t="s">
        <v>72</v>
      </c>
      <c r="N20" s="2">
        <v>5.4</v>
      </c>
    </row>
    <row r="21" spans="1:14" ht="30.75">
      <c r="A21" s="7">
        <v>45940</v>
      </c>
      <c r="B21" s="8">
        <v>70</v>
      </c>
      <c r="C21" s="2" t="s">
        <v>22</v>
      </c>
      <c r="D21" s="7">
        <v>45930</v>
      </c>
      <c r="E21" s="2" t="s">
        <v>23</v>
      </c>
      <c r="F21" s="2" t="s">
        <v>24</v>
      </c>
      <c r="G21" s="2"/>
      <c r="H21" s="2">
        <v>38154</v>
      </c>
      <c r="I21" s="2"/>
      <c r="J21" s="2">
        <v>52144</v>
      </c>
      <c r="K21" s="2"/>
      <c r="L21" s="2"/>
      <c r="M21" s="2" t="s">
        <v>72</v>
      </c>
      <c r="N21" s="2">
        <v>4.5</v>
      </c>
    </row>
    <row r="22" spans="1:14" ht="45.75">
      <c r="A22" s="7">
        <v>45961</v>
      </c>
      <c r="B22" s="8">
        <v>70</v>
      </c>
      <c r="C22" s="2" t="s">
        <v>54</v>
      </c>
      <c r="D22" s="7">
        <v>45961</v>
      </c>
      <c r="E22" s="2" t="s">
        <v>23</v>
      </c>
      <c r="F22" s="2" t="s">
        <v>28</v>
      </c>
      <c r="G22" s="2"/>
      <c r="H22" s="2">
        <v>39002</v>
      </c>
      <c r="I22" s="2"/>
      <c r="J22" s="2">
        <v>53345</v>
      </c>
      <c r="K22" s="2"/>
      <c r="L22" s="2"/>
      <c r="M22" s="2" t="s">
        <v>2164</v>
      </c>
      <c r="N22" s="2">
        <v>2</v>
      </c>
    </row>
    <row r="23" spans="1:14" ht="30.75">
      <c r="A23" s="7">
        <v>46006</v>
      </c>
      <c r="B23" s="8">
        <v>70</v>
      </c>
      <c r="C23" s="2" t="s">
        <v>27</v>
      </c>
      <c r="D23" s="7">
        <v>45989</v>
      </c>
      <c r="E23" s="2" t="s">
        <v>23</v>
      </c>
      <c r="F23" s="2" t="s">
        <v>24</v>
      </c>
      <c r="G23" s="2">
        <v>37</v>
      </c>
      <c r="H23" s="2">
        <v>39859</v>
      </c>
      <c r="I23" s="2"/>
      <c r="J23" s="2">
        <v>54443</v>
      </c>
      <c r="K23" s="2"/>
      <c r="L23" s="2"/>
      <c r="M23" s="2" t="s">
        <v>72</v>
      </c>
      <c r="N23" s="2">
        <v>6.5</v>
      </c>
    </row>
    <row r="24" spans="1:14" ht="30.75">
      <c r="A24" s="7">
        <v>46086</v>
      </c>
      <c r="B24" s="8">
        <v>70</v>
      </c>
      <c r="C24" s="2" t="s">
        <v>30</v>
      </c>
      <c r="D24" s="7">
        <v>46020</v>
      </c>
      <c r="E24" s="2" t="s">
        <v>23</v>
      </c>
      <c r="F24" s="2" t="s">
        <v>24</v>
      </c>
      <c r="G24" s="2"/>
      <c r="H24" s="2">
        <v>40716</v>
      </c>
      <c r="I24" s="2"/>
      <c r="J24" s="2">
        <v>55711</v>
      </c>
      <c r="K24" s="2"/>
      <c r="L24" s="2"/>
      <c r="M24" s="2" t="s">
        <v>72</v>
      </c>
      <c r="N24" s="2">
        <v>4</v>
      </c>
    </row>
    <row r="25" spans="1:14" ht="30.75">
      <c r="A25" s="7">
        <v>46053</v>
      </c>
      <c r="B25" s="8">
        <v>70</v>
      </c>
      <c r="C25" s="2" t="s">
        <v>32</v>
      </c>
      <c r="D25" s="7">
        <v>46053</v>
      </c>
      <c r="E25" s="2" t="s">
        <v>23</v>
      </c>
      <c r="F25" s="2" t="s">
        <v>28</v>
      </c>
      <c r="G25" s="2"/>
      <c r="H25" s="2">
        <v>41613</v>
      </c>
      <c r="I25" s="2"/>
      <c r="J25" s="2">
        <v>56483</v>
      </c>
      <c r="K25" s="2"/>
      <c r="L25" s="2"/>
      <c r="M25" s="2" t="s">
        <v>26</v>
      </c>
      <c r="N25" s="2">
        <v>9</v>
      </c>
    </row>
    <row r="26" spans="1:14" ht="30.75">
      <c r="A26" s="7">
        <v>46093</v>
      </c>
      <c r="B26" s="8">
        <v>70</v>
      </c>
      <c r="C26" s="2" t="s">
        <v>34</v>
      </c>
      <c r="D26" s="7">
        <v>46081</v>
      </c>
      <c r="E26" s="2" t="s">
        <v>23</v>
      </c>
      <c r="F26" s="2" t="s">
        <v>24</v>
      </c>
      <c r="G26" s="2"/>
      <c r="H26" s="2">
        <v>42426</v>
      </c>
      <c r="I26" s="2"/>
      <c r="J26" s="2">
        <v>58402</v>
      </c>
      <c r="K26" s="2"/>
      <c r="L26" s="2"/>
      <c r="M26" s="2" t="s">
        <v>72</v>
      </c>
      <c r="N26" s="2">
        <v>5.8</v>
      </c>
    </row>
    <row r="27" spans="1:14" ht="30.75">
      <c r="A27" s="7">
        <v>46118</v>
      </c>
      <c r="B27" s="8">
        <v>70</v>
      </c>
      <c r="C27" s="2" t="s">
        <v>38</v>
      </c>
      <c r="D27" s="7">
        <v>46112</v>
      </c>
      <c r="E27" s="2" t="s">
        <v>23</v>
      </c>
      <c r="F27" s="2" t="s">
        <v>24</v>
      </c>
      <c r="G27" s="2"/>
      <c r="H27" s="2">
        <v>43265</v>
      </c>
      <c r="I27" s="2"/>
      <c r="J27" s="2">
        <v>59581</v>
      </c>
      <c r="K27" s="2"/>
      <c r="L27" s="2"/>
      <c r="M27" s="2" t="s">
        <v>72</v>
      </c>
      <c r="N27" s="2">
        <v>4.0999999999999996</v>
      </c>
    </row>
    <row r="28" spans="1:14" ht="30.75">
      <c r="A28" s="7">
        <v>46170</v>
      </c>
      <c r="B28" s="8">
        <v>70</v>
      </c>
      <c r="C28" s="2" t="s">
        <v>41</v>
      </c>
      <c r="D28" s="7">
        <v>46141</v>
      </c>
      <c r="E28" s="2" t="s">
        <v>23</v>
      </c>
      <c r="F28" s="2" t="s">
        <v>24</v>
      </c>
      <c r="G28" s="2"/>
      <c r="H28" s="2">
        <v>44142</v>
      </c>
      <c r="I28" s="2"/>
      <c r="J28" s="2">
        <v>60994</v>
      </c>
      <c r="K28" s="2"/>
      <c r="L28" s="2"/>
      <c r="M28" s="2" t="s">
        <v>72</v>
      </c>
      <c r="N28" s="2">
        <v>5</v>
      </c>
    </row>
    <row r="29" spans="1:14" ht="30.75">
      <c r="A29" s="7">
        <v>46177</v>
      </c>
      <c r="B29" s="8">
        <v>70</v>
      </c>
      <c r="C29" s="2" t="s">
        <v>44</v>
      </c>
      <c r="D29" s="2"/>
      <c r="E29" s="2" t="s">
        <v>23</v>
      </c>
      <c r="F29" s="2" t="s">
        <v>24</v>
      </c>
      <c r="G29" s="2"/>
      <c r="H29" s="2">
        <v>44971</v>
      </c>
      <c r="I29" s="2"/>
      <c r="J29" s="2"/>
      <c r="K29" s="2"/>
      <c r="L29" s="2"/>
      <c r="M29" s="2" t="s">
        <v>72</v>
      </c>
      <c r="N29" s="2"/>
    </row>
    <row r="30" spans="1:14" ht="30.75">
      <c r="A30" s="2"/>
      <c r="B30" s="2"/>
      <c r="C30" s="2"/>
      <c r="D30" s="2"/>
      <c r="E30" s="2" t="s">
        <v>23</v>
      </c>
      <c r="F30" s="2"/>
      <c r="G30" s="2"/>
      <c r="H30" s="2"/>
      <c r="I30" s="2"/>
      <c r="J30" s="2"/>
      <c r="K30" s="2"/>
      <c r="L30" s="2"/>
      <c r="M30" s="2"/>
      <c r="N30" s="2"/>
    </row>
    <row r="31" spans="1:14" ht="30.75">
      <c r="A31" s="2"/>
      <c r="B31" s="2"/>
      <c r="C31" s="2"/>
      <c r="D31" s="2"/>
      <c r="E31" s="2" t="s">
        <v>23</v>
      </c>
      <c r="F31" s="2"/>
      <c r="G31" s="2"/>
      <c r="H31" s="2"/>
      <c r="I31" s="2"/>
      <c r="J31" s="2"/>
      <c r="K31" s="2"/>
      <c r="L31" s="2"/>
      <c r="M31" s="2"/>
      <c r="N31" s="2"/>
    </row>
    <row r="32" spans="1:14" ht="30.75">
      <c r="A32" s="2"/>
      <c r="B32" s="2"/>
      <c r="C32" s="2"/>
      <c r="D32" s="2"/>
      <c r="E32" s="2" t="s">
        <v>23</v>
      </c>
      <c r="F32" s="2"/>
      <c r="G32" s="2"/>
      <c r="H32" s="2"/>
      <c r="I32" s="2"/>
      <c r="J32" s="2"/>
      <c r="K32" s="2"/>
      <c r="L32" s="2"/>
      <c r="M32" s="2"/>
      <c r="N32" s="2"/>
    </row>
    <row r="33" spans="1:14" ht="30.75">
      <c r="A33" s="2"/>
      <c r="B33" s="2"/>
      <c r="C33" s="2"/>
      <c r="D33" s="2"/>
      <c r="E33" s="2" t="s">
        <v>23</v>
      </c>
      <c r="F33" s="2"/>
      <c r="G33" s="2"/>
      <c r="H33" s="2"/>
      <c r="I33" s="2"/>
      <c r="J33" s="2"/>
      <c r="K33" s="2"/>
      <c r="L33" s="2"/>
      <c r="M33" s="2"/>
      <c r="N33" s="2"/>
    </row>
    <row r="34" spans="1:14" ht="30.75">
      <c r="A34" s="2"/>
      <c r="B34" s="2"/>
      <c r="C34" s="2"/>
      <c r="D34" s="2"/>
      <c r="E34" s="2" t="s">
        <v>23</v>
      </c>
      <c r="F34" s="2"/>
      <c r="G34" s="2"/>
      <c r="H34" s="2"/>
      <c r="I34" s="2"/>
      <c r="J34" s="2"/>
      <c r="K34" s="2"/>
      <c r="L34" s="2"/>
      <c r="M34" s="2"/>
      <c r="N34" s="2"/>
    </row>
    <row r="35" spans="1:14" ht="30.75">
      <c r="A35" s="2"/>
      <c r="B35" s="2"/>
      <c r="C35" s="2"/>
      <c r="D35" s="2"/>
      <c r="E35" s="2" t="s">
        <v>23</v>
      </c>
      <c r="F35" s="2"/>
      <c r="G35" s="2"/>
      <c r="H35" s="2"/>
      <c r="I35" s="2"/>
      <c r="J35" s="2"/>
      <c r="K35" s="2"/>
      <c r="L35" s="2"/>
      <c r="M35" s="2"/>
      <c r="N35" s="2"/>
    </row>
    <row r="36" spans="1:14" ht="30.75">
      <c r="A36" s="2"/>
      <c r="B36" s="2"/>
      <c r="C36" s="2"/>
      <c r="D36" s="2"/>
      <c r="E36" s="2" t="s">
        <v>23</v>
      </c>
      <c r="F36" s="2"/>
      <c r="G36" s="2"/>
      <c r="H36" s="2"/>
      <c r="I36" s="2"/>
      <c r="J36" s="2"/>
      <c r="K36" s="2"/>
      <c r="L36" s="2"/>
      <c r="M36" s="2"/>
      <c r="N36" s="2"/>
    </row>
    <row r="37" spans="1:14" ht="30.75">
      <c r="A37" s="2"/>
      <c r="B37" s="2"/>
      <c r="C37" s="2"/>
      <c r="D37" s="2"/>
      <c r="E37" s="2" t="s">
        <v>23</v>
      </c>
      <c r="F37" s="2"/>
      <c r="G37" s="2"/>
      <c r="H37" s="2"/>
      <c r="I37" s="2"/>
      <c r="J37" s="2"/>
      <c r="K37" s="2"/>
      <c r="L37" s="2"/>
      <c r="M37" s="2"/>
      <c r="N37" s="2"/>
    </row>
    <row r="38" spans="1:14" ht="30.75">
      <c r="A38" s="2"/>
      <c r="B38" s="2"/>
      <c r="C38" s="2"/>
      <c r="D38" s="2"/>
      <c r="E38" s="2" t="s">
        <v>23</v>
      </c>
      <c r="F38" s="2"/>
      <c r="G38" s="2"/>
      <c r="H38" s="2"/>
      <c r="I38" s="2"/>
      <c r="J38" s="2"/>
      <c r="K38" s="2"/>
      <c r="L38" s="2"/>
      <c r="M38" s="2"/>
      <c r="N38" s="2"/>
    </row>
    <row r="39" spans="1:14" ht="30.75">
      <c r="A39" s="2"/>
      <c r="B39" s="2"/>
      <c r="C39" s="2"/>
      <c r="D39" s="2"/>
      <c r="E39" s="2" t="s">
        <v>23</v>
      </c>
      <c r="F39" s="2"/>
      <c r="G39" s="2"/>
      <c r="H39" s="2"/>
      <c r="I39" s="2"/>
      <c r="J39" s="2"/>
      <c r="K39" s="2"/>
      <c r="L39" s="2"/>
      <c r="M39" s="2"/>
      <c r="N39" s="2"/>
    </row>
    <row r="40" spans="1:14" ht="30.75">
      <c r="A40" s="2"/>
      <c r="B40" s="2"/>
      <c r="C40" s="2"/>
      <c r="D40" s="2"/>
      <c r="E40" s="2" t="s">
        <v>23</v>
      </c>
      <c r="F40" s="2"/>
      <c r="G40" s="2"/>
      <c r="H40" s="2"/>
      <c r="I40" s="2"/>
      <c r="J40" s="2"/>
      <c r="K40" s="2"/>
      <c r="L40" s="2"/>
      <c r="M40" s="2"/>
      <c r="N40" s="2"/>
    </row>
    <row r="41" spans="1:14" ht="30.75">
      <c r="A41" s="2"/>
      <c r="B41" s="2"/>
      <c r="C41" s="2"/>
      <c r="D41" s="2"/>
      <c r="E41" s="2" t="s">
        <v>23</v>
      </c>
      <c r="F41" s="2"/>
      <c r="G41" s="2"/>
      <c r="H41" s="2"/>
      <c r="I41" s="2"/>
      <c r="J41" s="2"/>
      <c r="K41" s="2"/>
      <c r="L41" s="2"/>
      <c r="M41" s="2"/>
      <c r="N41" s="2"/>
    </row>
    <row r="42" spans="1:14" ht="30.75">
      <c r="A42" s="2"/>
      <c r="B42" s="2"/>
      <c r="C42" s="2"/>
      <c r="D42" s="2"/>
      <c r="E42" s="2" t="s">
        <v>23</v>
      </c>
      <c r="F42" s="2"/>
      <c r="G42" s="2"/>
      <c r="H42" s="2"/>
      <c r="I42" s="2"/>
      <c r="J42" s="2"/>
      <c r="K42" s="2"/>
      <c r="L42" s="2"/>
      <c r="M42" s="2"/>
      <c r="N42" s="2"/>
    </row>
    <row r="43" spans="1:14" ht="30.75">
      <c r="A43" s="2"/>
      <c r="B43" s="2"/>
      <c r="C43" s="2"/>
      <c r="D43" s="2"/>
      <c r="E43" s="2" t="s">
        <v>23</v>
      </c>
      <c r="F43" s="2"/>
      <c r="G43" s="2"/>
      <c r="H43" s="2"/>
      <c r="I43" s="2"/>
      <c r="J43" s="2"/>
      <c r="K43" s="2"/>
      <c r="L43" s="2"/>
      <c r="M43" s="2"/>
      <c r="N43" s="2"/>
    </row>
    <row r="44" spans="1:14" ht="30.75">
      <c r="A44" s="2"/>
      <c r="B44" s="2"/>
      <c r="C44" s="2"/>
      <c r="D44" s="2"/>
      <c r="E44" s="2" t="s">
        <v>23</v>
      </c>
      <c r="F44" s="2"/>
      <c r="G44" s="2"/>
      <c r="H44" s="2"/>
      <c r="I44" s="2"/>
      <c r="J44" s="2"/>
      <c r="K44" s="2"/>
      <c r="L44" s="2"/>
      <c r="M44" s="2"/>
      <c r="N44" s="2"/>
    </row>
    <row r="45" spans="1:14" ht="30.75">
      <c r="A45" s="2"/>
      <c r="B45" s="2"/>
      <c r="C45" s="2"/>
      <c r="D45" s="2"/>
      <c r="E45" s="2" t="s">
        <v>23</v>
      </c>
      <c r="F45" s="2"/>
      <c r="G45" s="2"/>
      <c r="H45" s="2"/>
      <c r="I45" s="2"/>
      <c r="J45" s="2"/>
      <c r="K45" s="2"/>
      <c r="L45" s="2"/>
      <c r="M45" s="2"/>
      <c r="N45" s="2"/>
    </row>
    <row r="46" spans="1:14" ht="30.75">
      <c r="A46" s="2"/>
      <c r="B46" s="2"/>
      <c r="C46" s="2"/>
      <c r="D46" s="2"/>
      <c r="E46" s="2" t="s">
        <v>23</v>
      </c>
      <c r="F46" s="2"/>
      <c r="G46" s="2"/>
      <c r="H46" s="2"/>
      <c r="I46" s="2"/>
      <c r="J46" s="2"/>
      <c r="K46" s="2"/>
      <c r="L46" s="2"/>
      <c r="M46" s="2"/>
      <c r="N46" s="2"/>
    </row>
    <row r="47" spans="1:14" ht="30.75">
      <c r="A47" s="2"/>
      <c r="B47" s="2"/>
      <c r="C47" s="2"/>
      <c r="D47" s="2"/>
      <c r="E47" s="2" t="s">
        <v>23</v>
      </c>
      <c r="F47" s="2"/>
      <c r="G47" s="2"/>
      <c r="H47" s="2"/>
      <c r="I47" s="2"/>
      <c r="J47" s="2"/>
      <c r="K47" s="2"/>
      <c r="L47" s="2"/>
      <c r="M47" s="2"/>
      <c r="N47" s="2"/>
    </row>
    <row r="48" spans="1:14" ht="30.75">
      <c r="A48" s="2"/>
      <c r="B48" s="2"/>
      <c r="C48" s="2"/>
      <c r="D48" s="2"/>
      <c r="E48" s="2" t="s">
        <v>23</v>
      </c>
      <c r="F48" s="2"/>
      <c r="G48" s="2"/>
      <c r="H48" s="2"/>
      <c r="I48" s="2"/>
      <c r="J48" s="2"/>
      <c r="K48" s="2"/>
      <c r="L48" s="2"/>
      <c r="M48" s="2"/>
      <c r="N48" s="2"/>
    </row>
    <row r="49" spans="1:14" ht="30.75">
      <c r="A49" s="2"/>
      <c r="B49" s="2"/>
      <c r="C49" s="2"/>
      <c r="D49" s="2"/>
      <c r="E49" s="2" t="s">
        <v>23</v>
      </c>
      <c r="F49" s="2"/>
      <c r="G49" s="2"/>
      <c r="H49" s="2"/>
      <c r="I49" s="2"/>
      <c r="J49" s="2"/>
      <c r="K49" s="2"/>
      <c r="L49" s="2"/>
      <c r="M49" s="2"/>
      <c r="N49" s="2"/>
    </row>
  </sheetData>
  <mergeCells count="5">
    <mergeCell ref="A1:E1"/>
    <mergeCell ref="B2:C2"/>
    <mergeCell ref="E2:H2"/>
    <mergeCell ref="F4:G4"/>
    <mergeCell ref="I4:L4"/>
  </mergeCells>
  <dataValidations count="2">
    <dataValidation type="list" allowBlank="1" showInputMessage="1" showErrorMessage="1" sqref="F7:F49" xr:uid="{BFB82C95-256B-46C5-9B5C-BCC3323ECE23}">
      <formula1>"EFECTIVO, CHEQUE, TRANSFERENCIA,DEPOSITO"</formula1>
    </dataValidation>
    <dataValidation type="list" allowBlank="1" showInputMessage="1" showErrorMessage="1" sqref="C7:C49" xr:uid="{46689B1D-F80F-4AAA-942C-BE0B631BE7BF}">
      <formula1>"ENERO,FEBRERO,MARZO,ABRIL,MAYO,JUNIO,JULIO,AGOSTO,SEPTIEMBRE,OCTUBRE,NOVIEMBRE,DICIEMBRE"</formula1>
    </dataValidation>
  </dataValidations>
  <hyperlinks>
    <hyperlink ref="E2" r:id="rId1" xr:uid="{822C5BF0-F39B-4F92-AA64-DD2178449478}"/>
    <hyperlink ref="E2:H2" r:id="rId2" display="mvzcinthiacabezas@gmail.com" xr:uid="{D3DBB668-A550-4746-B809-C1AA650E1453}"/>
  </hyperlinks>
  <pageMargins left="0.7" right="0.7" top="0.75" bottom="0.75" header="0.3" footer="0.3"/>
  <pageSetup paperSize="9" orientation="portrait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C758-C663-4156-A692-CACB516B0B1D}">
  <sheetPr>
    <tabColor rgb="FFFF0000"/>
  </sheetPr>
  <dimension ref="A1:L47"/>
  <sheetViews>
    <sheetView workbookViewId="0">
      <selection activeCell="S20" sqref="S20"/>
    </sheetView>
  </sheetViews>
  <sheetFormatPr defaultColWidth="11.42578125" defaultRowHeight="15"/>
  <cols>
    <col min="2" max="2" width="18.7109375" customWidth="1"/>
    <col min="3" max="3" width="17.140625" customWidth="1"/>
    <col min="4" max="4" width="22.140625" customWidth="1"/>
    <col min="5" max="5" width="19.28515625" customWidth="1"/>
    <col min="6" max="6" width="18.28515625" customWidth="1"/>
    <col min="11" max="11" width="18.5703125" customWidth="1"/>
  </cols>
  <sheetData>
    <row r="1" spans="1:12" ht="21">
      <c r="A1" s="1" t="s">
        <v>2165</v>
      </c>
      <c r="B1" s="1"/>
      <c r="C1" s="1"/>
      <c r="D1" s="1"/>
      <c r="E1" s="1"/>
    </row>
    <row r="2" spans="1:12" ht="30">
      <c r="A2" s="2" t="s">
        <v>93</v>
      </c>
      <c r="B2" s="638" t="s">
        <v>2166</v>
      </c>
      <c r="C2" s="638"/>
      <c r="E2" s="639" t="s">
        <v>2167</v>
      </c>
      <c r="F2" s="639"/>
      <c r="G2" s="639"/>
      <c r="H2" s="639"/>
    </row>
    <row r="3" spans="1:12">
      <c r="A3" s="2" t="s">
        <v>1670</v>
      </c>
      <c r="B3" s="3">
        <v>20600045173</v>
      </c>
    </row>
    <row r="4" spans="1:12" ht="37.5">
      <c r="A4" s="140" t="s">
        <v>4</v>
      </c>
      <c r="B4" s="141">
        <v>44412</v>
      </c>
      <c r="D4" s="436"/>
      <c r="F4" s="640" t="s">
        <v>1125</v>
      </c>
      <c r="G4" s="640"/>
      <c r="I4" s="641" t="s">
        <v>2168</v>
      </c>
      <c r="J4" s="641"/>
      <c r="K4" s="641"/>
    </row>
    <row r="6" spans="1:12" ht="57">
      <c r="A6" s="142" t="s">
        <v>7</v>
      </c>
      <c r="B6" s="142" t="s">
        <v>8</v>
      </c>
      <c r="C6" s="142" t="s">
        <v>9</v>
      </c>
      <c r="D6" s="142" t="s">
        <v>10</v>
      </c>
      <c r="E6" s="142" t="s">
        <v>11</v>
      </c>
      <c r="F6" s="142" t="s">
        <v>12</v>
      </c>
      <c r="G6" s="142" t="s">
        <v>13</v>
      </c>
      <c r="H6" s="142" t="s">
        <v>14</v>
      </c>
      <c r="I6" s="142" t="s">
        <v>15</v>
      </c>
      <c r="J6" s="142" t="s">
        <v>16</v>
      </c>
      <c r="K6" s="142" t="s">
        <v>18</v>
      </c>
      <c r="L6" s="289" t="s">
        <v>99</v>
      </c>
    </row>
    <row r="7" spans="1:12">
      <c r="A7" s="7">
        <v>44480</v>
      </c>
      <c r="B7" s="8">
        <v>120</v>
      </c>
      <c r="C7" s="2" t="s">
        <v>50</v>
      </c>
      <c r="D7" s="7">
        <v>44439</v>
      </c>
      <c r="E7" s="2" t="s">
        <v>23</v>
      </c>
      <c r="F7" s="2" t="s">
        <v>28</v>
      </c>
      <c r="G7" s="2">
        <v>1</v>
      </c>
      <c r="H7" s="2">
        <v>2661</v>
      </c>
      <c r="I7" s="9" t="s">
        <v>1773</v>
      </c>
      <c r="J7" s="9" t="s">
        <v>2169</v>
      </c>
      <c r="K7" s="2" t="s">
        <v>26</v>
      </c>
      <c r="L7" s="2"/>
    </row>
    <row r="8" spans="1:12">
      <c r="A8" s="7">
        <v>44480</v>
      </c>
      <c r="B8" s="8">
        <v>120</v>
      </c>
      <c r="C8" s="2" t="s">
        <v>54</v>
      </c>
      <c r="D8" s="7">
        <v>44469</v>
      </c>
      <c r="E8" s="2" t="s">
        <v>23</v>
      </c>
      <c r="F8" s="2" t="s">
        <v>28</v>
      </c>
      <c r="G8" s="2">
        <v>2</v>
      </c>
      <c r="H8" s="9" t="s">
        <v>2170</v>
      </c>
      <c r="I8" s="9" t="s">
        <v>1773</v>
      </c>
      <c r="J8" s="9" t="s">
        <v>2171</v>
      </c>
      <c r="K8" s="2" t="s">
        <v>26</v>
      </c>
      <c r="L8" s="2"/>
    </row>
    <row r="9" spans="1:12">
      <c r="A9" s="7">
        <v>44616</v>
      </c>
      <c r="B9" s="8">
        <v>120</v>
      </c>
      <c r="C9" s="2" t="s">
        <v>30</v>
      </c>
      <c r="D9" s="7">
        <v>44558</v>
      </c>
      <c r="E9" s="2" t="s">
        <v>23</v>
      </c>
      <c r="F9" s="2" t="s">
        <v>24</v>
      </c>
      <c r="G9" s="2">
        <v>3</v>
      </c>
      <c r="H9" s="9" t="s">
        <v>2172</v>
      </c>
      <c r="I9" s="9" t="s">
        <v>1773</v>
      </c>
      <c r="J9" s="9" t="s">
        <v>2173</v>
      </c>
      <c r="K9" s="2" t="s">
        <v>26</v>
      </c>
      <c r="L9" s="2"/>
    </row>
    <row r="10" spans="1:12">
      <c r="A10" s="7">
        <v>44616</v>
      </c>
      <c r="B10" s="8">
        <v>120</v>
      </c>
      <c r="C10" s="2" t="s">
        <v>32</v>
      </c>
      <c r="D10" s="7">
        <v>44592</v>
      </c>
      <c r="E10" s="2" t="s">
        <v>23</v>
      </c>
      <c r="F10" s="2" t="s">
        <v>24</v>
      </c>
      <c r="G10" s="2">
        <v>4</v>
      </c>
      <c r="H10" s="9" t="s">
        <v>2174</v>
      </c>
      <c r="I10" s="9" t="s">
        <v>1773</v>
      </c>
      <c r="J10" s="9" t="s">
        <v>2175</v>
      </c>
      <c r="K10" s="2" t="s">
        <v>26</v>
      </c>
      <c r="L10" s="2"/>
    </row>
    <row r="11" spans="1:12">
      <c r="A11" s="7">
        <v>37338</v>
      </c>
      <c r="B11" s="2">
        <v>120</v>
      </c>
      <c r="C11" s="2" t="s">
        <v>38</v>
      </c>
      <c r="D11" s="7">
        <v>44652</v>
      </c>
      <c r="E11" s="2" t="s">
        <v>23</v>
      </c>
      <c r="F11" s="2" t="s">
        <v>24</v>
      </c>
      <c r="G11" s="2">
        <v>5</v>
      </c>
      <c r="H11" s="9" t="s">
        <v>2176</v>
      </c>
      <c r="I11" s="9" t="s">
        <v>1773</v>
      </c>
      <c r="J11" s="2">
        <v>11941</v>
      </c>
      <c r="K11" s="2" t="s">
        <v>26</v>
      </c>
      <c r="L11" s="2"/>
    </row>
    <row r="12" spans="1:12">
      <c r="A12" s="7">
        <v>44643</v>
      </c>
      <c r="B12" s="2">
        <v>120</v>
      </c>
      <c r="C12" s="2" t="s">
        <v>41</v>
      </c>
      <c r="D12" s="7">
        <v>44681</v>
      </c>
      <c r="E12" s="2" t="s">
        <v>23</v>
      </c>
      <c r="F12" s="2" t="s">
        <v>24</v>
      </c>
      <c r="G12" s="2">
        <v>6</v>
      </c>
      <c r="H12" s="2">
        <v>6199</v>
      </c>
      <c r="I12" s="2"/>
      <c r="J12" s="2">
        <v>12853</v>
      </c>
      <c r="K12" s="2" t="s">
        <v>26</v>
      </c>
      <c r="L12" s="2"/>
    </row>
    <row r="13" spans="1:12">
      <c r="A13" s="7">
        <v>44750</v>
      </c>
      <c r="B13" s="2">
        <v>120</v>
      </c>
      <c r="C13" s="2" t="s">
        <v>44</v>
      </c>
      <c r="D13" s="7">
        <v>44709</v>
      </c>
      <c r="E13" s="2" t="s">
        <v>23</v>
      </c>
      <c r="F13" s="2" t="s">
        <v>24</v>
      </c>
      <c r="G13" s="2">
        <v>7</v>
      </c>
      <c r="H13" s="2">
        <v>8119</v>
      </c>
      <c r="I13" s="2"/>
      <c r="J13" s="2">
        <v>13906</v>
      </c>
      <c r="K13" s="2" t="s">
        <v>26</v>
      </c>
      <c r="L13" s="2"/>
    </row>
    <row r="14" spans="1:12">
      <c r="A14" s="7">
        <v>44750</v>
      </c>
      <c r="B14" s="2">
        <v>120</v>
      </c>
      <c r="C14" s="2" t="s">
        <v>57</v>
      </c>
      <c r="D14" s="7">
        <v>44740</v>
      </c>
      <c r="E14" s="2" t="s">
        <v>23</v>
      </c>
      <c r="F14" s="2" t="s">
        <v>24</v>
      </c>
      <c r="G14" s="2">
        <v>8</v>
      </c>
      <c r="H14" s="2">
        <v>8680</v>
      </c>
      <c r="I14" s="2"/>
      <c r="J14" s="2">
        <v>14643</v>
      </c>
      <c r="K14" s="2" t="s">
        <v>26</v>
      </c>
      <c r="L14" s="2"/>
    </row>
    <row r="15" spans="1:12">
      <c r="A15" s="7">
        <v>44753</v>
      </c>
      <c r="B15" s="2">
        <v>120</v>
      </c>
      <c r="C15" s="2" t="s">
        <v>47</v>
      </c>
      <c r="D15" s="7">
        <v>44774</v>
      </c>
      <c r="E15" s="2" t="s">
        <v>23</v>
      </c>
      <c r="F15" s="2" t="s">
        <v>24</v>
      </c>
      <c r="G15" s="2">
        <v>9</v>
      </c>
      <c r="H15" s="2">
        <v>8786</v>
      </c>
      <c r="I15" s="2"/>
      <c r="J15" s="2">
        <v>15836</v>
      </c>
      <c r="K15" s="2" t="s">
        <v>26</v>
      </c>
      <c r="L15" s="2"/>
    </row>
    <row r="16" spans="1:12">
      <c r="A16" s="7" t="s">
        <v>2177</v>
      </c>
      <c r="B16" s="2">
        <v>120</v>
      </c>
      <c r="C16" s="2" t="s">
        <v>50</v>
      </c>
      <c r="D16" s="7">
        <v>44802</v>
      </c>
      <c r="E16" s="2" t="s">
        <v>23</v>
      </c>
      <c r="F16" s="2" t="s">
        <v>24</v>
      </c>
      <c r="G16" s="2">
        <v>10</v>
      </c>
      <c r="H16" s="2">
        <v>10374</v>
      </c>
      <c r="I16" s="2"/>
      <c r="J16" s="2">
        <v>16736</v>
      </c>
      <c r="K16" s="2" t="s">
        <v>26</v>
      </c>
      <c r="L16" s="2" t="s">
        <v>270</v>
      </c>
    </row>
    <row r="17" spans="1:12">
      <c r="A17" s="2" t="s">
        <v>2177</v>
      </c>
      <c r="B17" s="2">
        <v>120</v>
      </c>
      <c r="C17" s="2" t="s">
        <v>22</v>
      </c>
      <c r="D17" s="7">
        <v>44630</v>
      </c>
      <c r="E17" s="2" t="s">
        <v>23</v>
      </c>
      <c r="F17" s="2" t="s">
        <v>24</v>
      </c>
      <c r="G17" s="2">
        <v>11</v>
      </c>
      <c r="H17" s="2">
        <v>11200</v>
      </c>
      <c r="I17" s="2"/>
      <c r="J17" s="2">
        <v>18074</v>
      </c>
      <c r="K17" s="2" t="s">
        <v>26</v>
      </c>
      <c r="L17" s="2" t="s">
        <v>270</v>
      </c>
    </row>
    <row r="18" spans="1:12">
      <c r="A18" s="2" t="s">
        <v>2177</v>
      </c>
      <c r="B18" s="2">
        <v>120</v>
      </c>
      <c r="C18" s="2" t="s">
        <v>54</v>
      </c>
      <c r="D18" s="2" t="s">
        <v>60</v>
      </c>
      <c r="E18" s="2" t="s">
        <v>23</v>
      </c>
      <c r="F18" s="2" t="s">
        <v>24</v>
      </c>
      <c r="G18" s="2">
        <v>12</v>
      </c>
      <c r="H18" s="2">
        <v>11780</v>
      </c>
      <c r="I18" s="2"/>
      <c r="J18" s="2">
        <v>18589</v>
      </c>
      <c r="K18" s="2" t="s">
        <v>26</v>
      </c>
      <c r="L18" s="2" t="s">
        <v>270</v>
      </c>
    </row>
    <row r="19" spans="1:12">
      <c r="A19" s="2"/>
      <c r="B19" s="2">
        <v>120</v>
      </c>
      <c r="C19" s="2" t="s">
        <v>27</v>
      </c>
      <c r="D19" s="2" t="s">
        <v>61</v>
      </c>
      <c r="E19" s="2" t="s">
        <v>23</v>
      </c>
      <c r="F19" s="2" t="s">
        <v>24</v>
      </c>
      <c r="G19" s="2">
        <v>13</v>
      </c>
      <c r="H19" s="2">
        <v>12381</v>
      </c>
      <c r="I19" s="2"/>
      <c r="J19" s="2">
        <v>19628</v>
      </c>
      <c r="K19" s="2" t="s">
        <v>1590</v>
      </c>
      <c r="L19" s="2"/>
    </row>
    <row r="20" spans="1:12">
      <c r="A20" s="2"/>
      <c r="B20" s="2">
        <v>120</v>
      </c>
      <c r="C20" s="2" t="s">
        <v>32</v>
      </c>
      <c r="D20" s="2" t="s">
        <v>1305</v>
      </c>
      <c r="E20" s="2" t="s">
        <v>23</v>
      </c>
      <c r="F20" s="2" t="s">
        <v>24</v>
      </c>
      <c r="G20" s="2">
        <v>14</v>
      </c>
      <c r="H20" s="2">
        <v>14271</v>
      </c>
      <c r="I20" s="2"/>
      <c r="J20" s="2">
        <v>21610</v>
      </c>
      <c r="K20" s="2" t="s">
        <v>1590</v>
      </c>
      <c r="L20" s="2"/>
    </row>
    <row r="21" spans="1:12">
      <c r="A21" s="2" t="s">
        <v>1179</v>
      </c>
      <c r="B21" s="2">
        <v>120</v>
      </c>
      <c r="C21" s="2" t="s">
        <v>38</v>
      </c>
      <c r="D21" s="2" t="s">
        <v>1179</v>
      </c>
      <c r="E21" s="2" t="s">
        <v>23</v>
      </c>
      <c r="F21" s="2" t="s">
        <v>28</v>
      </c>
      <c r="G21" s="2">
        <v>15</v>
      </c>
      <c r="H21" s="2">
        <v>15195</v>
      </c>
      <c r="I21" s="2"/>
      <c r="J21" s="2">
        <v>22621</v>
      </c>
      <c r="K21" s="2" t="s">
        <v>26</v>
      </c>
      <c r="L21" s="2"/>
    </row>
    <row r="22" spans="1:12">
      <c r="A22" s="2"/>
      <c r="B22" s="2">
        <v>120</v>
      </c>
      <c r="C22" s="2" t="s">
        <v>41</v>
      </c>
      <c r="D22" s="2" t="s">
        <v>1182</v>
      </c>
      <c r="E22" s="2" t="s">
        <v>23</v>
      </c>
      <c r="F22" s="2" t="s">
        <v>24</v>
      </c>
      <c r="G22" s="2">
        <v>16</v>
      </c>
      <c r="H22" s="2"/>
      <c r="I22" s="2"/>
      <c r="J22" s="2">
        <v>20696</v>
      </c>
      <c r="K22" s="2" t="s">
        <v>1590</v>
      </c>
      <c r="L22" s="2"/>
    </row>
    <row r="23" spans="1:12">
      <c r="A23" s="2"/>
      <c r="B23" s="2"/>
      <c r="C23" s="2"/>
      <c r="D23" s="2"/>
      <c r="E23" s="2" t="s">
        <v>23</v>
      </c>
      <c r="F23" s="2"/>
      <c r="G23" s="2"/>
      <c r="H23" s="2"/>
      <c r="I23" s="2"/>
      <c r="J23" s="2"/>
      <c r="K23" s="2"/>
      <c r="L23" s="2"/>
    </row>
    <row r="24" spans="1:12">
      <c r="B24" s="728"/>
      <c r="C24" s="728"/>
    </row>
    <row r="25" spans="1:12">
      <c r="A25" s="2"/>
      <c r="B25" s="728"/>
      <c r="C25" s="728"/>
    </row>
    <row r="47" spans="1:1">
      <c r="A47" t="s">
        <v>2178</v>
      </c>
    </row>
  </sheetData>
  <mergeCells count="6">
    <mergeCell ref="I4:K4"/>
    <mergeCell ref="B24:C25"/>
    <mergeCell ref="A1:E1"/>
    <mergeCell ref="B2:C2"/>
    <mergeCell ref="E2:H2"/>
    <mergeCell ref="F4:G4"/>
  </mergeCells>
  <dataValidations count="2">
    <dataValidation type="list" allowBlank="1" showInputMessage="1" showErrorMessage="1" sqref="C7:C23" xr:uid="{3A5A5664-176F-4222-9C7E-F53A65580F2A}">
      <formula1>"ENERO,FEBRERO,MARZO,ABRIL,MAYO,JUNIO,JULIO,AGOSTO,SEPTIEMBRE,OCTUBRE,NOVIEMBRE,DICIEMBRE"</formula1>
    </dataValidation>
    <dataValidation type="list" allowBlank="1" showInputMessage="1" showErrorMessage="1" sqref="F7:F23" xr:uid="{7C9703D4-A42D-4123-895F-CC334507E5D0}">
      <formula1>"EFECTIVO, CHEQUE, TRANSFERENCIA,DEPOSITO"</formula1>
    </dataValidation>
  </dataValidations>
  <hyperlinks>
    <hyperlink ref="E2" r:id="rId1" xr:uid="{A3D91756-7DFE-42A1-8CB1-9094A2908B67}"/>
    <hyperlink ref="E2:H2" r:id="rId2" display="midentistakids.sac@gmail.com" xr:uid="{7ED3E1A2-4B1E-4AE1-AE33-F4B851C5545F}"/>
  </hyperlinks>
  <pageMargins left="0.7" right="0.7" top="0.75" bottom="0.75" header="0.3" footer="0.3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7A4B-2D68-4534-AB31-3B6A61407003}">
  <sheetPr>
    <tabColor rgb="FFFF0000"/>
  </sheetPr>
  <dimension ref="A1:K23"/>
  <sheetViews>
    <sheetView workbookViewId="0">
      <selection activeCell="B3" sqref="B3"/>
    </sheetView>
  </sheetViews>
  <sheetFormatPr defaultColWidth="11.42578125" defaultRowHeight="15"/>
  <cols>
    <col min="2" max="2" width="18.7109375" customWidth="1"/>
    <col min="6" max="6" width="18.28515625" customWidth="1"/>
  </cols>
  <sheetData>
    <row r="1" spans="1:11" ht="21">
      <c r="A1" s="773" t="s">
        <v>2179</v>
      </c>
      <c r="B1" s="774"/>
      <c r="C1" s="774"/>
      <c r="D1" s="774"/>
      <c r="E1" s="774"/>
    </row>
    <row r="2" spans="1:11" ht="30">
      <c r="A2" s="2" t="s">
        <v>93</v>
      </c>
      <c r="B2" s="638"/>
      <c r="C2" s="638"/>
      <c r="E2" s="775" t="s">
        <v>2180</v>
      </c>
      <c r="F2" s="702"/>
      <c r="G2" s="702"/>
      <c r="H2" s="702"/>
    </row>
    <row r="3" spans="1:11">
      <c r="A3" s="2" t="s">
        <v>1670</v>
      </c>
      <c r="B3" s="3">
        <v>10460581163</v>
      </c>
    </row>
    <row r="4" spans="1:11" ht="39.75">
      <c r="A4" s="212" t="s">
        <v>4</v>
      </c>
      <c r="B4" s="213">
        <v>44133</v>
      </c>
      <c r="F4" s="776" t="s">
        <v>1125</v>
      </c>
      <c r="G4" s="776"/>
      <c r="I4" s="772" t="s">
        <v>2181</v>
      </c>
      <c r="J4" s="772"/>
      <c r="K4" s="772"/>
    </row>
    <row r="6" spans="1:11" ht="75.75" thickBot="1">
      <c r="A6" s="214" t="s">
        <v>7</v>
      </c>
      <c r="B6" s="214" t="s">
        <v>8</v>
      </c>
      <c r="C6" s="214" t="s">
        <v>9</v>
      </c>
      <c r="D6" s="214" t="s">
        <v>10</v>
      </c>
      <c r="E6" s="214" t="s">
        <v>11</v>
      </c>
      <c r="F6" s="214" t="s">
        <v>12</v>
      </c>
      <c r="G6" s="214" t="s">
        <v>13</v>
      </c>
      <c r="H6" s="214" t="s">
        <v>14</v>
      </c>
      <c r="I6" s="214" t="s">
        <v>15</v>
      </c>
      <c r="J6" s="214" t="s">
        <v>16</v>
      </c>
      <c r="K6" s="214" t="s">
        <v>18</v>
      </c>
    </row>
    <row r="7" spans="1:11" ht="30">
      <c r="A7" s="7">
        <v>44133</v>
      </c>
      <c r="B7" s="8">
        <v>94.4</v>
      </c>
      <c r="C7" s="2" t="s">
        <v>54</v>
      </c>
      <c r="D7" s="7">
        <v>44133</v>
      </c>
      <c r="E7" s="2" t="s">
        <v>23</v>
      </c>
      <c r="F7" s="2" t="s">
        <v>28</v>
      </c>
      <c r="G7" s="2">
        <v>1</v>
      </c>
      <c r="H7" s="2">
        <v>1114</v>
      </c>
      <c r="I7" s="9" t="s">
        <v>2182</v>
      </c>
      <c r="J7" s="9" t="s">
        <v>2183</v>
      </c>
      <c r="K7" s="2" t="s">
        <v>26</v>
      </c>
    </row>
    <row r="8" spans="1:11" ht="30">
      <c r="A8" s="7" t="s">
        <v>2184</v>
      </c>
      <c r="B8" s="8">
        <v>94.4</v>
      </c>
      <c r="C8" s="2" t="s">
        <v>27</v>
      </c>
      <c r="D8" s="7">
        <v>44161</v>
      </c>
      <c r="E8" s="2" t="s">
        <v>23</v>
      </c>
      <c r="F8" s="2" t="s">
        <v>28</v>
      </c>
      <c r="G8" s="2">
        <v>2</v>
      </c>
      <c r="H8" s="2">
        <v>1309</v>
      </c>
      <c r="I8" s="9" t="s">
        <v>2182</v>
      </c>
      <c r="J8" s="9" t="s">
        <v>2185</v>
      </c>
      <c r="K8" s="2" t="s">
        <v>26</v>
      </c>
    </row>
    <row r="9" spans="1:11" ht="30">
      <c r="A9" s="7">
        <v>44257</v>
      </c>
      <c r="B9" s="8">
        <v>94.4</v>
      </c>
      <c r="C9" s="2" t="s">
        <v>34</v>
      </c>
      <c r="D9" s="7">
        <v>44257</v>
      </c>
      <c r="E9" s="2" t="s">
        <v>23</v>
      </c>
      <c r="F9" s="2" t="s">
        <v>28</v>
      </c>
      <c r="G9" s="2">
        <v>3</v>
      </c>
      <c r="H9" s="9" t="s">
        <v>2186</v>
      </c>
      <c r="I9" s="9" t="s">
        <v>2182</v>
      </c>
      <c r="J9" s="9" t="s">
        <v>2187</v>
      </c>
      <c r="K9" s="2" t="s">
        <v>26</v>
      </c>
    </row>
    <row r="10" spans="1:11" ht="30">
      <c r="A10" s="7"/>
      <c r="B10" s="8"/>
      <c r="C10" s="2"/>
      <c r="D10" s="2"/>
      <c r="E10" s="2" t="s">
        <v>23</v>
      </c>
      <c r="F10" s="2"/>
      <c r="G10" s="2"/>
      <c r="H10" s="9"/>
      <c r="I10" s="9" t="s">
        <v>2182</v>
      </c>
      <c r="J10" s="9"/>
      <c r="K10" s="2"/>
    </row>
    <row r="11" spans="1:11" ht="30">
      <c r="A11" s="2"/>
      <c r="B11" s="8"/>
      <c r="C11" s="2"/>
      <c r="D11" s="2"/>
      <c r="E11" s="2" t="s">
        <v>23</v>
      </c>
      <c r="F11" s="2"/>
      <c r="G11" s="2"/>
      <c r="H11" s="9"/>
      <c r="I11" s="9" t="s">
        <v>2182</v>
      </c>
      <c r="J11" s="9"/>
      <c r="K11" s="2"/>
    </row>
    <row r="12" spans="1:11" ht="30">
      <c r="A12" s="2"/>
      <c r="B12" s="8"/>
      <c r="C12" s="2"/>
      <c r="D12" s="2"/>
      <c r="E12" s="2" t="s">
        <v>23</v>
      </c>
      <c r="F12" s="2"/>
      <c r="G12" s="2"/>
      <c r="H12" s="9"/>
      <c r="I12" s="9" t="s">
        <v>2182</v>
      </c>
      <c r="J12" s="9"/>
      <c r="K12" s="2"/>
    </row>
    <row r="13" spans="1:11" ht="30">
      <c r="A13" s="2"/>
      <c r="B13" s="8"/>
      <c r="C13" s="2"/>
      <c r="D13" s="2"/>
      <c r="E13" s="2" t="s">
        <v>23</v>
      </c>
      <c r="F13" s="2"/>
      <c r="G13" s="2"/>
      <c r="H13" s="9"/>
      <c r="I13" s="9" t="s">
        <v>2182</v>
      </c>
      <c r="J13" s="9"/>
      <c r="K13" s="2"/>
    </row>
    <row r="14" spans="1:11" ht="30">
      <c r="A14" s="2"/>
      <c r="B14" s="8"/>
      <c r="C14" s="2"/>
      <c r="D14" s="2"/>
      <c r="E14" s="2" t="s">
        <v>23</v>
      </c>
      <c r="F14" s="2"/>
      <c r="G14" s="2"/>
      <c r="H14" s="9"/>
      <c r="I14" s="9" t="s">
        <v>2182</v>
      </c>
      <c r="J14" s="9"/>
      <c r="K14" s="2"/>
    </row>
    <row r="15" spans="1:11" ht="30">
      <c r="A15" s="2"/>
      <c r="B15" s="8"/>
      <c r="C15" s="2"/>
      <c r="D15" s="2"/>
      <c r="E15" s="2" t="s">
        <v>23</v>
      </c>
      <c r="F15" s="2"/>
      <c r="G15" s="2"/>
      <c r="H15" s="9"/>
      <c r="I15" s="9" t="s">
        <v>2182</v>
      </c>
      <c r="J15" s="9"/>
      <c r="K15" s="2"/>
    </row>
    <row r="16" spans="1:11" ht="30">
      <c r="A16" s="2"/>
      <c r="B16" s="8"/>
      <c r="C16" s="2"/>
      <c r="D16" s="2"/>
      <c r="E16" s="2" t="s">
        <v>23</v>
      </c>
      <c r="F16" s="2"/>
      <c r="G16" s="2"/>
      <c r="H16" s="9"/>
      <c r="I16" s="9" t="s">
        <v>2182</v>
      </c>
      <c r="J16" s="9"/>
      <c r="K16" s="2"/>
    </row>
    <row r="17" spans="1:11" ht="30">
      <c r="A17" s="2"/>
      <c r="B17" s="8"/>
      <c r="C17" s="2"/>
      <c r="D17" s="2"/>
      <c r="E17" s="2" t="s">
        <v>23</v>
      </c>
      <c r="F17" s="2"/>
      <c r="G17" s="2"/>
      <c r="H17" s="9"/>
      <c r="I17" s="9" t="s">
        <v>2182</v>
      </c>
      <c r="J17" s="9"/>
      <c r="K17" s="2"/>
    </row>
    <row r="18" spans="1:11" ht="30">
      <c r="A18" s="2"/>
      <c r="B18" s="8"/>
      <c r="C18" s="2"/>
      <c r="D18" s="2"/>
      <c r="E18" s="2" t="s">
        <v>23</v>
      </c>
      <c r="F18" s="2"/>
      <c r="G18" s="2"/>
      <c r="H18" s="9"/>
      <c r="I18" s="9" t="s">
        <v>2182</v>
      </c>
      <c r="J18" s="9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9" t="s">
        <v>2182</v>
      </c>
      <c r="J19" s="2"/>
      <c r="K19" s="2"/>
    </row>
    <row r="20" spans="1:11">
      <c r="A20" s="2"/>
      <c r="B20" s="2"/>
      <c r="C20" s="2"/>
      <c r="D20" s="2"/>
      <c r="E20" s="2"/>
      <c r="F20" s="2"/>
      <c r="G20" s="2"/>
      <c r="H20" s="2"/>
      <c r="I20" s="9" t="s">
        <v>2182</v>
      </c>
      <c r="J20" s="2"/>
      <c r="K20" s="2"/>
    </row>
    <row r="22" spans="1:11">
      <c r="B22" s="728"/>
      <c r="C22" s="728"/>
    </row>
    <row r="23" spans="1:11">
      <c r="A23" s="2"/>
      <c r="B23" s="728"/>
      <c r="C23" s="728"/>
    </row>
  </sheetData>
  <mergeCells count="6">
    <mergeCell ref="I4:K4"/>
    <mergeCell ref="B22:C23"/>
    <mergeCell ref="A1:E1"/>
    <mergeCell ref="B2:C2"/>
    <mergeCell ref="E2:H2"/>
    <mergeCell ref="F4:G4"/>
  </mergeCells>
  <dataValidations count="2">
    <dataValidation type="list" allowBlank="1" showInputMessage="1" showErrorMessage="1" sqref="C7:C20" xr:uid="{00000000-0002-0000-2000-000000000000}">
      <formula1>"ENERO,FEBRERO,MARZO,ABRIL,MAYO,JUNIO,JULIO,AGOSTO,SEPTIEMBRE,OCTUBRE,NOVIEMBRE,DICIEMBRE"</formula1>
    </dataValidation>
    <dataValidation type="list" allowBlank="1" showInputMessage="1" showErrorMessage="1" sqref="F7:F20" xr:uid="{00000000-0002-0000-2000-000001000000}">
      <formula1>"EFECTIVO, CHEQUE, TRANSFERENCIA,DEPOSITO"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FAC2-FE6D-4C9D-A5D7-7F2CF712C7FE}">
  <dimension ref="A1:O95"/>
  <sheetViews>
    <sheetView topLeftCell="A49" workbookViewId="0">
      <selection activeCell="I65" sqref="I65"/>
    </sheetView>
  </sheetViews>
  <sheetFormatPr defaultColWidth="11.42578125" defaultRowHeight="15"/>
  <cols>
    <col min="2" max="2" width="16.28515625" customWidth="1"/>
    <col min="6" max="6" width="18.28515625" customWidth="1"/>
  </cols>
  <sheetData>
    <row r="1" spans="1:15" ht="21">
      <c r="A1" s="777" t="s">
        <v>2188</v>
      </c>
      <c r="B1" s="777"/>
      <c r="C1" s="777"/>
      <c r="D1" s="777"/>
      <c r="E1" s="777"/>
    </row>
    <row r="2" spans="1:15" ht="30" customHeight="1">
      <c r="A2" s="2" t="s">
        <v>93</v>
      </c>
      <c r="B2" s="638" t="s">
        <v>2189</v>
      </c>
      <c r="C2" s="638"/>
      <c r="E2" s="663" t="s">
        <v>2190</v>
      </c>
      <c r="F2" s="663"/>
      <c r="G2" s="663"/>
      <c r="H2" s="663"/>
      <c r="I2" s="663"/>
      <c r="J2" s="663"/>
      <c r="K2" s="663"/>
      <c r="L2" s="663"/>
      <c r="M2" s="663"/>
    </row>
    <row r="3" spans="1:15" ht="18">
      <c r="A3" s="2" t="s">
        <v>1670</v>
      </c>
      <c r="B3" s="525">
        <v>20601823307</v>
      </c>
    </row>
    <row r="4" spans="1:15" ht="37.5">
      <c r="A4" s="218" t="s">
        <v>4</v>
      </c>
      <c r="B4" s="219">
        <v>46148</v>
      </c>
      <c r="E4" s="779" t="s">
        <v>2191</v>
      </c>
      <c r="F4" s="779"/>
      <c r="G4" s="779"/>
      <c r="I4" s="778" t="s">
        <v>2192</v>
      </c>
      <c r="J4" s="778"/>
      <c r="K4" s="778"/>
      <c r="L4" s="778"/>
    </row>
    <row r="6" spans="1:15" ht="57">
      <c r="A6" s="220" t="s">
        <v>7</v>
      </c>
      <c r="B6" s="220" t="s">
        <v>8</v>
      </c>
      <c r="C6" s="220" t="s">
        <v>9</v>
      </c>
      <c r="D6" s="220" t="s">
        <v>10</v>
      </c>
      <c r="E6" s="220" t="s">
        <v>11</v>
      </c>
      <c r="F6" s="220" t="s">
        <v>12</v>
      </c>
      <c r="G6" s="220" t="s">
        <v>13</v>
      </c>
      <c r="H6" s="220" t="s">
        <v>14</v>
      </c>
      <c r="I6" s="220" t="s">
        <v>15</v>
      </c>
      <c r="J6" s="220" t="s">
        <v>16</v>
      </c>
      <c r="K6" s="220" t="s">
        <v>17</v>
      </c>
      <c r="L6" s="220" t="s">
        <v>18</v>
      </c>
      <c r="M6" s="427" t="s">
        <v>99</v>
      </c>
      <c r="N6" s="427" t="s">
        <v>19</v>
      </c>
      <c r="O6" s="427" t="s">
        <v>20</v>
      </c>
    </row>
    <row r="7" spans="1:15" ht="30.75">
      <c r="A7" s="7">
        <v>44320</v>
      </c>
      <c r="B7" s="8">
        <v>94.4</v>
      </c>
      <c r="C7" s="2" t="s">
        <v>44</v>
      </c>
      <c r="D7" s="7">
        <v>44347</v>
      </c>
      <c r="E7" s="2" t="s">
        <v>23</v>
      </c>
      <c r="F7" s="2" t="s">
        <v>24</v>
      </c>
      <c r="G7" s="2">
        <v>1</v>
      </c>
      <c r="H7" s="9" t="s">
        <v>2193</v>
      </c>
      <c r="I7" s="9"/>
      <c r="J7" s="9" t="s">
        <v>2194</v>
      </c>
      <c r="K7" s="9"/>
      <c r="L7" s="2" t="s">
        <v>26</v>
      </c>
      <c r="M7" s="2"/>
      <c r="N7" s="2"/>
      <c r="O7" s="2"/>
    </row>
    <row r="8" spans="1:15" ht="30.75">
      <c r="A8" s="7">
        <v>44377</v>
      </c>
      <c r="B8" s="8">
        <v>94.4</v>
      </c>
      <c r="C8" s="2" t="s">
        <v>57</v>
      </c>
      <c r="D8" s="7">
        <v>44377</v>
      </c>
      <c r="E8" s="2" t="s">
        <v>23</v>
      </c>
      <c r="F8" s="2" t="s">
        <v>24</v>
      </c>
      <c r="G8" s="2">
        <v>2</v>
      </c>
      <c r="H8" s="9" t="s">
        <v>2195</v>
      </c>
      <c r="I8" s="9"/>
      <c r="J8" s="9" t="s">
        <v>2196</v>
      </c>
      <c r="K8" s="9"/>
      <c r="L8" s="2" t="s">
        <v>26</v>
      </c>
      <c r="M8" s="2"/>
      <c r="N8" s="2"/>
      <c r="O8" s="2"/>
    </row>
    <row r="9" spans="1:15" ht="30.75">
      <c r="A9" s="7">
        <v>44377</v>
      </c>
      <c r="B9" s="8">
        <v>94.4</v>
      </c>
      <c r="C9" s="2" t="s">
        <v>47</v>
      </c>
      <c r="D9" s="7">
        <v>44408</v>
      </c>
      <c r="E9" s="2" t="s">
        <v>23</v>
      </c>
      <c r="F9" s="2" t="s">
        <v>24</v>
      </c>
      <c r="G9" s="2">
        <v>3</v>
      </c>
      <c r="H9" s="9" t="s">
        <v>2197</v>
      </c>
      <c r="I9" s="9"/>
      <c r="J9" s="9" t="s">
        <v>2198</v>
      </c>
      <c r="K9" s="9"/>
      <c r="L9" s="2" t="s">
        <v>1805</v>
      </c>
      <c r="M9" s="2"/>
      <c r="N9" s="2"/>
      <c r="O9" s="2"/>
    </row>
    <row r="10" spans="1:15" ht="30.75">
      <c r="A10" s="7">
        <v>44419</v>
      </c>
      <c r="B10" s="8">
        <v>94.4</v>
      </c>
      <c r="C10" s="2" t="s">
        <v>50</v>
      </c>
      <c r="D10" s="7">
        <v>44439</v>
      </c>
      <c r="E10" s="2" t="s">
        <v>23</v>
      </c>
      <c r="F10" s="2" t="s">
        <v>24</v>
      </c>
      <c r="G10" s="2">
        <v>5</v>
      </c>
      <c r="H10" s="9" t="s">
        <v>2199</v>
      </c>
      <c r="I10" s="9"/>
      <c r="J10" s="9" t="s">
        <v>1141</v>
      </c>
      <c r="K10" s="9"/>
      <c r="L10" s="2" t="s">
        <v>26</v>
      </c>
      <c r="M10" s="2"/>
      <c r="N10" s="2"/>
      <c r="O10" s="2"/>
    </row>
    <row r="11" spans="1:15" ht="30.75">
      <c r="A11" s="7">
        <v>44419</v>
      </c>
      <c r="B11" s="8" t="s">
        <v>1858</v>
      </c>
      <c r="C11" s="2" t="s">
        <v>22</v>
      </c>
      <c r="D11" s="7">
        <v>44469</v>
      </c>
      <c r="E11" s="2" t="s">
        <v>23</v>
      </c>
      <c r="F11" s="2" t="s">
        <v>24</v>
      </c>
      <c r="G11" s="2">
        <v>6</v>
      </c>
      <c r="H11" s="9" t="s">
        <v>2199</v>
      </c>
      <c r="I11" s="9"/>
      <c r="J11" s="9" t="s">
        <v>2200</v>
      </c>
      <c r="K11" s="9"/>
      <c r="L11" s="2" t="s">
        <v>26</v>
      </c>
      <c r="M11" s="2"/>
      <c r="N11" s="2"/>
      <c r="O11" s="2"/>
    </row>
    <row r="12" spans="1:15" ht="30.75">
      <c r="A12" s="7">
        <v>44419</v>
      </c>
      <c r="B12" s="8" t="s">
        <v>2201</v>
      </c>
      <c r="C12" s="2" t="s">
        <v>54</v>
      </c>
      <c r="D12" s="7">
        <v>44499</v>
      </c>
      <c r="E12" s="2" t="s">
        <v>23</v>
      </c>
      <c r="F12" s="2" t="s">
        <v>24</v>
      </c>
      <c r="G12" s="2">
        <v>7</v>
      </c>
      <c r="H12" s="9" t="s">
        <v>2199</v>
      </c>
      <c r="I12" s="9"/>
      <c r="J12" s="9" t="s">
        <v>2202</v>
      </c>
      <c r="K12" s="9"/>
      <c r="L12" s="2" t="s">
        <v>26</v>
      </c>
      <c r="M12" s="2"/>
      <c r="N12" s="2"/>
      <c r="O12" s="2"/>
    </row>
    <row r="13" spans="1:15" ht="30.75">
      <c r="A13" s="7">
        <v>44419</v>
      </c>
      <c r="B13" s="8" t="s">
        <v>2201</v>
      </c>
      <c r="C13" s="2" t="s">
        <v>27</v>
      </c>
      <c r="D13" s="7">
        <v>44530</v>
      </c>
      <c r="E13" s="2" t="s">
        <v>23</v>
      </c>
      <c r="F13" s="2" t="s">
        <v>24</v>
      </c>
      <c r="G13" s="2">
        <v>8</v>
      </c>
      <c r="H13" s="9" t="s">
        <v>2199</v>
      </c>
      <c r="I13" s="9"/>
      <c r="J13" s="9" t="s">
        <v>2203</v>
      </c>
      <c r="K13" s="9"/>
      <c r="L13" s="2" t="s">
        <v>26</v>
      </c>
      <c r="M13" s="2"/>
      <c r="N13" s="2"/>
      <c r="O13" s="2"/>
    </row>
    <row r="14" spans="1:15" ht="30.75">
      <c r="A14" s="7">
        <v>44419</v>
      </c>
      <c r="B14" s="8" t="s">
        <v>2201</v>
      </c>
      <c r="C14" s="2" t="s">
        <v>30</v>
      </c>
      <c r="D14" s="7">
        <v>44558</v>
      </c>
      <c r="E14" s="2" t="s">
        <v>23</v>
      </c>
      <c r="F14" s="2" t="s">
        <v>24</v>
      </c>
      <c r="G14" s="2">
        <v>9</v>
      </c>
      <c r="H14" s="9" t="s">
        <v>2199</v>
      </c>
      <c r="I14" s="9"/>
      <c r="J14" s="9" t="s">
        <v>2204</v>
      </c>
      <c r="K14" s="9"/>
      <c r="L14" s="2" t="s">
        <v>26</v>
      </c>
      <c r="M14" s="2"/>
      <c r="N14" s="2"/>
      <c r="O14" s="2"/>
    </row>
    <row r="15" spans="1:15" ht="30.75">
      <c r="A15" s="7">
        <v>44610</v>
      </c>
      <c r="B15" s="8" t="s">
        <v>2201</v>
      </c>
      <c r="C15" s="2" t="s">
        <v>32</v>
      </c>
      <c r="D15" s="7">
        <v>44592</v>
      </c>
      <c r="E15" s="2" t="s">
        <v>23</v>
      </c>
      <c r="F15" s="2" t="s">
        <v>24</v>
      </c>
      <c r="G15" s="2">
        <v>10</v>
      </c>
      <c r="H15" s="9" t="s">
        <v>2205</v>
      </c>
      <c r="I15" s="9"/>
      <c r="J15" s="9" t="s">
        <v>2206</v>
      </c>
      <c r="K15" s="9"/>
      <c r="L15" s="2" t="s">
        <v>56</v>
      </c>
      <c r="M15" s="2"/>
      <c r="N15" s="2"/>
      <c r="O15" s="2"/>
    </row>
    <row r="16" spans="1:15" ht="30.75">
      <c r="A16" s="7">
        <v>44610</v>
      </c>
      <c r="B16" s="8">
        <v>85</v>
      </c>
      <c r="C16" s="2" t="s">
        <v>34</v>
      </c>
      <c r="D16" s="7">
        <v>44620</v>
      </c>
      <c r="E16" s="2" t="s">
        <v>23</v>
      </c>
      <c r="F16" s="2" t="s">
        <v>24</v>
      </c>
      <c r="G16" s="2">
        <v>11</v>
      </c>
      <c r="H16" s="9" t="s">
        <v>2207</v>
      </c>
      <c r="I16" s="9"/>
      <c r="J16" s="9" t="s">
        <v>2208</v>
      </c>
      <c r="K16" s="9"/>
      <c r="L16" s="2" t="s">
        <v>56</v>
      </c>
      <c r="M16" s="2"/>
      <c r="N16" s="2"/>
      <c r="O16" s="2"/>
    </row>
    <row r="17" spans="1:15" ht="30.75">
      <c r="A17" s="7">
        <v>44610</v>
      </c>
      <c r="B17" s="8">
        <v>85</v>
      </c>
      <c r="C17" s="2" t="s">
        <v>38</v>
      </c>
      <c r="D17" s="7">
        <v>44652</v>
      </c>
      <c r="E17" s="2" t="s">
        <v>23</v>
      </c>
      <c r="F17" s="2" t="s">
        <v>24</v>
      </c>
      <c r="G17" s="2">
        <v>12</v>
      </c>
      <c r="H17" s="9" t="s">
        <v>2207</v>
      </c>
      <c r="I17" s="9"/>
      <c r="J17" s="9" t="s">
        <v>2209</v>
      </c>
      <c r="K17" s="9"/>
      <c r="L17" s="2" t="s">
        <v>56</v>
      </c>
      <c r="M17" s="2"/>
      <c r="N17" s="2"/>
      <c r="O17" s="2"/>
    </row>
    <row r="18" spans="1:15" ht="30.75">
      <c r="A18" s="7">
        <v>44610</v>
      </c>
      <c r="B18" s="8">
        <v>85</v>
      </c>
      <c r="C18" s="2" t="s">
        <v>41</v>
      </c>
      <c r="D18" s="7">
        <v>44681</v>
      </c>
      <c r="E18" s="2" t="s">
        <v>23</v>
      </c>
      <c r="F18" s="2" t="s">
        <v>24</v>
      </c>
      <c r="G18" s="2">
        <v>13</v>
      </c>
      <c r="H18" s="9" t="s">
        <v>2207</v>
      </c>
      <c r="I18" s="9"/>
      <c r="J18" s="9" t="s">
        <v>2210</v>
      </c>
      <c r="K18" s="9"/>
      <c r="L18" s="2" t="s">
        <v>56</v>
      </c>
      <c r="M18" s="2"/>
      <c r="N18" s="2"/>
      <c r="O18" s="2"/>
    </row>
    <row r="19" spans="1:15" ht="30.75">
      <c r="A19" s="7">
        <v>44610</v>
      </c>
      <c r="B19" s="8">
        <v>85</v>
      </c>
      <c r="C19" s="2" t="s">
        <v>44</v>
      </c>
      <c r="D19" s="7">
        <v>44709</v>
      </c>
      <c r="E19" s="2" t="s">
        <v>23</v>
      </c>
      <c r="F19" s="2" t="s">
        <v>24</v>
      </c>
      <c r="G19" s="2">
        <v>14</v>
      </c>
      <c r="H19" s="9" t="s">
        <v>2207</v>
      </c>
      <c r="I19" s="9"/>
      <c r="J19" s="2">
        <v>13884</v>
      </c>
      <c r="K19" s="2"/>
      <c r="L19" s="2" t="s">
        <v>56</v>
      </c>
      <c r="M19" s="2"/>
      <c r="N19" s="2"/>
      <c r="O19" s="2"/>
    </row>
    <row r="20" spans="1:15" ht="30.75">
      <c r="A20" s="7">
        <v>44610</v>
      </c>
      <c r="B20" s="8">
        <v>85</v>
      </c>
      <c r="C20" s="2" t="s">
        <v>57</v>
      </c>
      <c r="D20" s="7">
        <v>44737</v>
      </c>
      <c r="E20" s="2" t="s">
        <v>23</v>
      </c>
      <c r="F20" s="2" t="s">
        <v>24</v>
      </c>
      <c r="G20" s="2">
        <v>15</v>
      </c>
      <c r="H20" s="9" t="s">
        <v>2207</v>
      </c>
      <c r="I20" s="9"/>
      <c r="J20" s="2">
        <v>14633</v>
      </c>
      <c r="K20" s="2"/>
      <c r="L20" s="2" t="s">
        <v>56</v>
      </c>
      <c r="M20" s="2"/>
      <c r="N20" s="2"/>
      <c r="O20" s="2"/>
    </row>
    <row r="21" spans="1:15" ht="30.75">
      <c r="A21" s="7">
        <v>44610</v>
      </c>
      <c r="B21" s="8">
        <v>85</v>
      </c>
      <c r="C21" s="2" t="s">
        <v>47</v>
      </c>
      <c r="D21" s="7">
        <v>44772</v>
      </c>
      <c r="E21" s="2" t="s">
        <v>23</v>
      </c>
      <c r="F21" s="2" t="s">
        <v>24</v>
      </c>
      <c r="G21" s="2">
        <v>16</v>
      </c>
      <c r="H21" s="9" t="s">
        <v>2207</v>
      </c>
      <c r="I21" s="2"/>
      <c r="J21" s="2">
        <v>15830</v>
      </c>
      <c r="K21" s="2"/>
      <c r="L21" s="2" t="s">
        <v>56</v>
      </c>
      <c r="M21" s="2"/>
      <c r="N21" s="2"/>
      <c r="O21" s="2"/>
    </row>
    <row r="22" spans="1:15" ht="30.75">
      <c r="A22" s="7">
        <v>44610</v>
      </c>
      <c r="B22" s="8">
        <v>85</v>
      </c>
      <c r="C22" s="2" t="s">
        <v>50</v>
      </c>
      <c r="D22" s="7">
        <v>44804</v>
      </c>
      <c r="E22" s="2" t="s">
        <v>23</v>
      </c>
      <c r="F22" s="2" t="s">
        <v>24</v>
      </c>
      <c r="G22" s="2">
        <v>17</v>
      </c>
      <c r="H22" s="2">
        <v>5395</v>
      </c>
      <c r="I22" s="2"/>
      <c r="J22" s="2">
        <v>16732</v>
      </c>
      <c r="K22" s="2"/>
      <c r="L22" s="2" t="s">
        <v>56</v>
      </c>
      <c r="M22" s="2"/>
      <c r="N22" s="2"/>
      <c r="O22" s="2"/>
    </row>
    <row r="23" spans="1:15" ht="30.75">
      <c r="A23" s="7">
        <v>44610</v>
      </c>
      <c r="B23" s="8">
        <v>85</v>
      </c>
      <c r="C23" s="2" t="s">
        <v>22</v>
      </c>
      <c r="D23" s="7">
        <v>44837</v>
      </c>
      <c r="E23" s="2" t="s">
        <v>23</v>
      </c>
      <c r="F23" s="2" t="s">
        <v>24</v>
      </c>
      <c r="G23" s="2">
        <v>18</v>
      </c>
      <c r="H23" s="2">
        <v>5395</v>
      </c>
      <c r="I23" s="2"/>
      <c r="J23" s="2">
        <v>17948</v>
      </c>
      <c r="K23" s="2"/>
      <c r="L23" s="2" t="s">
        <v>56</v>
      </c>
      <c r="M23" s="2" t="s">
        <v>1300</v>
      </c>
      <c r="N23" s="2"/>
      <c r="O23" s="2"/>
    </row>
    <row r="24" spans="1:15" ht="30.75">
      <c r="A24" s="7">
        <v>44610</v>
      </c>
      <c r="B24" s="8">
        <v>85</v>
      </c>
      <c r="C24" s="2" t="s">
        <v>54</v>
      </c>
      <c r="D24" s="2" t="s">
        <v>60</v>
      </c>
      <c r="E24" s="2" t="s">
        <v>23</v>
      </c>
      <c r="F24" s="2" t="s">
        <v>24</v>
      </c>
      <c r="G24" s="2">
        <v>19</v>
      </c>
      <c r="H24" s="2">
        <v>5395</v>
      </c>
      <c r="I24" s="2"/>
      <c r="J24" s="2">
        <v>18595</v>
      </c>
      <c r="K24" s="2"/>
      <c r="L24" s="2" t="s">
        <v>56</v>
      </c>
      <c r="M24" s="2"/>
      <c r="N24" s="2"/>
      <c r="O24" s="2"/>
    </row>
    <row r="25" spans="1:15" ht="30.75">
      <c r="A25" s="7">
        <v>44610</v>
      </c>
      <c r="B25" s="8">
        <v>85</v>
      </c>
      <c r="C25" s="2" t="s">
        <v>27</v>
      </c>
      <c r="D25" s="2" t="s">
        <v>61</v>
      </c>
      <c r="E25" s="2" t="s">
        <v>23</v>
      </c>
      <c r="F25" s="2" t="s">
        <v>24</v>
      </c>
      <c r="G25" s="2">
        <v>20</v>
      </c>
      <c r="H25" s="2">
        <v>5395</v>
      </c>
      <c r="I25" s="2"/>
      <c r="J25" s="2">
        <v>19647</v>
      </c>
      <c r="K25" s="2"/>
      <c r="L25" s="2" t="s">
        <v>56</v>
      </c>
      <c r="M25" s="2"/>
      <c r="N25" s="2"/>
      <c r="O25" s="2"/>
    </row>
    <row r="26" spans="1:15" ht="30.75">
      <c r="A26" s="7">
        <v>44610</v>
      </c>
      <c r="B26" s="8">
        <v>85</v>
      </c>
      <c r="C26" s="2" t="s">
        <v>34</v>
      </c>
      <c r="D26" s="7">
        <v>45232</v>
      </c>
      <c r="E26" s="2" t="s">
        <v>23</v>
      </c>
      <c r="F26" s="2" t="s">
        <v>24</v>
      </c>
      <c r="G26" s="2">
        <v>21</v>
      </c>
      <c r="H26" s="2">
        <v>5395</v>
      </c>
      <c r="I26" s="2"/>
      <c r="J26" s="2">
        <v>21622</v>
      </c>
      <c r="K26" s="2"/>
      <c r="L26" s="2" t="s">
        <v>56</v>
      </c>
      <c r="M26" s="2"/>
      <c r="N26" s="2"/>
      <c r="O26" s="2"/>
    </row>
    <row r="27" spans="1:15" ht="30.75">
      <c r="A27" s="478" t="s">
        <v>188</v>
      </c>
      <c r="B27" s="479">
        <v>85</v>
      </c>
      <c r="C27" s="480" t="s">
        <v>38</v>
      </c>
      <c r="D27" s="480" t="s">
        <v>1179</v>
      </c>
      <c r="E27" s="480" t="s">
        <v>23</v>
      </c>
      <c r="F27" s="480" t="s">
        <v>24</v>
      </c>
      <c r="G27" s="480">
        <v>22</v>
      </c>
      <c r="H27" s="480">
        <v>1465</v>
      </c>
      <c r="I27" s="480"/>
      <c r="J27" s="480">
        <v>22626</v>
      </c>
      <c r="K27" s="480"/>
      <c r="L27" s="480" t="s">
        <v>26</v>
      </c>
      <c r="M27" s="480" t="s">
        <v>170</v>
      </c>
      <c r="N27" s="2"/>
      <c r="O27" s="2"/>
    </row>
    <row r="28" spans="1:15" ht="30.75">
      <c r="A28" s="480" t="s">
        <v>188</v>
      </c>
      <c r="B28" s="479">
        <v>85</v>
      </c>
      <c r="C28" s="480" t="s">
        <v>41</v>
      </c>
      <c r="D28" s="480" t="s">
        <v>1182</v>
      </c>
      <c r="E28" s="480" t="s">
        <v>23</v>
      </c>
      <c r="F28" s="480" t="s">
        <v>24</v>
      </c>
      <c r="G28" s="480">
        <v>23</v>
      </c>
      <c r="H28" s="480">
        <v>14654</v>
      </c>
      <c r="I28" s="480"/>
      <c r="J28" s="480">
        <v>20716</v>
      </c>
      <c r="K28" s="480"/>
      <c r="L28" s="480" t="s">
        <v>26</v>
      </c>
      <c r="M28" s="480" t="s">
        <v>170</v>
      </c>
      <c r="N28" s="2"/>
      <c r="O28" s="2"/>
    </row>
    <row r="29" spans="1:15" ht="30.75">
      <c r="A29" s="480" t="s">
        <v>188</v>
      </c>
      <c r="B29" s="479">
        <v>85</v>
      </c>
      <c r="C29" s="480" t="s">
        <v>44</v>
      </c>
      <c r="D29" s="480" t="s">
        <v>1185</v>
      </c>
      <c r="E29" s="480" t="s">
        <v>23</v>
      </c>
      <c r="F29" s="480" t="s">
        <v>24</v>
      </c>
      <c r="G29" s="480">
        <v>24</v>
      </c>
      <c r="H29" s="480">
        <v>14654</v>
      </c>
      <c r="I29" s="480"/>
      <c r="J29" s="480">
        <v>24592</v>
      </c>
      <c r="K29" s="480"/>
      <c r="L29" s="480" t="s">
        <v>26</v>
      </c>
      <c r="M29" s="480" t="s">
        <v>170</v>
      </c>
      <c r="N29" s="2"/>
      <c r="O29" s="2"/>
    </row>
    <row r="30" spans="1:15" ht="30.75">
      <c r="A30" s="480" t="s">
        <v>188</v>
      </c>
      <c r="B30" s="479">
        <v>85</v>
      </c>
      <c r="C30" s="480" t="s">
        <v>57</v>
      </c>
      <c r="D30" s="478">
        <v>45103</v>
      </c>
      <c r="E30" s="480" t="s">
        <v>23</v>
      </c>
      <c r="F30" s="480" t="s">
        <v>24</v>
      </c>
      <c r="G30" s="480">
        <v>25</v>
      </c>
      <c r="H30" s="480">
        <v>14654</v>
      </c>
      <c r="I30" s="480"/>
      <c r="J30" s="480">
        <v>25662</v>
      </c>
      <c r="K30" s="480"/>
      <c r="L30" s="480" t="s">
        <v>26</v>
      </c>
      <c r="M30" s="480" t="s">
        <v>170</v>
      </c>
      <c r="N30" s="2">
        <v>3.2</v>
      </c>
      <c r="O30" s="2"/>
    </row>
    <row r="31" spans="1:15" ht="30.75">
      <c r="A31" s="480" t="s">
        <v>188</v>
      </c>
      <c r="B31" s="8">
        <v>85</v>
      </c>
      <c r="C31" s="480" t="s">
        <v>47</v>
      </c>
      <c r="D31" s="478">
        <v>45133</v>
      </c>
      <c r="E31" s="480" t="s">
        <v>23</v>
      </c>
      <c r="F31" s="480" t="s">
        <v>24</v>
      </c>
      <c r="G31" s="480">
        <v>26</v>
      </c>
      <c r="H31" s="480">
        <v>14654</v>
      </c>
      <c r="I31" s="480"/>
      <c r="J31" s="480">
        <v>26586</v>
      </c>
      <c r="K31" s="480"/>
      <c r="L31" s="480" t="s">
        <v>26</v>
      </c>
      <c r="M31" s="480" t="s">
        <v>170</v>
      </c>
      <c r="N31" s="2">
        <v>2.2000000000000002</v>
      </c>
      <c r="O31" s="2"/>
    </row>
    <row r="32" spans="1:15" ht="30.75">
      <c r="A32" s="480" t="s">
        <v>188</v>
      </c>
      <c r="B32" s="8">
        <v>85</v>
      </c>
      <c r="C32" s="480" t="s">
        <v>50</v>
      </c>
      <c r="D32" s="478">
        <v>45167</v>
      </c>
      <c r="E32" s="480" t="s">
        <v>23</v>
      </c>
      <c r="F32" s="480" t="s">
        <v>24</v>
      </c>
      <c r="G32" s="480">
        <v>27</v>
      </c>
      <c r="H32" s="480">
        <v>14654</v>
      </c>
      <c r="I32" s="480"/>
      <c r="J32" s="480">
        <v>27935</v>
      </c>
      <c r="K32" s="480"/>
      <c r="L32" s="480" t="s">
        <v>26</v>
      </c>
      <c r="M32" s="480" t="s">
        <v>170</v>
      </c>
      <c r="N32" s="2">
        <v>2.2000000000000002</v>
      </c>
      <c r="O32" s="2"/>
    </row>
    <row r="33" spans="1:15" ht="30.75">
      <c r="A33" s="480" t="s">
        <v>188</v>
      </c>
      <c r="B33" s="8">
        <v>85</v>
      </c>
      <c r="C33" s="480" t="s">
        <v>22</v>
      </c>
      <c r="D33" s="478">
        <v>45197</v>
      </c>
      <c r="E33" s="480" t="s">
        <v>23</v>
      </c>
      <c r="F33" s="480" t="s">
        <v>24</v>
      </c>
      <c r="G33" s="480">
        <v>28</v>
      </c>
      <c r="H33" s="480">
        <v>14655</v>
      </c>
      <c r="I33" s="480"/>
      <c r="J33" s="480">
        <v>28891</v>
      </c>
      <c r="K33" s="480"/>
      <c r="L33" s="480" t="s">
        <v>26</v>
      </c>
      <c r="M33" s="480" t="s">
        <v>170</v>
      </c>
      <c r="N33" s="2">
        <v>3.2</v>
      </c>
      <c r="O33" s="2"/>
    </row>
    <row r="34" spans="1:15" ht="30.75">
      <c r="A34" s="480" t="s">
        <v>188</v>
      </c>
      <c r="B34" s="8">
        <v>85</v>
      </c>
      <c r="C34" s="480" t="s">
        <v>54</v>
      </c>
      <c r="D34" s="478">
        <v>45229</v>
      </c>
      <c r="E34" s="480" t="s">
        <v>23</v>
      </c>
      <c r="F34" s="480" t="s">
        <v>24</v>
      </c>
      <c r="G34" s="480">
        <v>29</v>
      </c>
      <c r="H34" s="480">
        <v>14655</v>
      </c>
      <c r="I34" s="480"/>
      <c r="J34" s="480">
        <v>29768</v>
      </c>
      <c r="K34" s="480">
        <v>31891</v>
      </c>
      <c r="L34" s="480" t="s">
        <v>26</v>
      </c>
      <c r="M34" s="480" t="s">
        <v>170</v>
      </c>
      <c r="N34" s="2">
        <v>1.2</v>
      </c>
      <c r="O34" s="2"/>
    </row>
    <row r="35" spans="1:15" ht="30.75">
      <c r="A35" s="480" t="s">
        <v>188</v>
      </c>
      <c r="B35" s="8">
        <v>85</v>
      </c>
      <c r="C35" s="480" t="s">
        <v>27</v>
      </c>
      <c r="D35" s="478">
        <v>45259</v>
      </c>
      <c r="E35" s="480" t="s">
        <v>23</v>
      </c>
      <c r="F35" s="480" t="s">
        <v>24</v>
      </c>
      <c r="G35" s="480">
        <v>30</v>
      </c>
      <c r="H35" s="480">
        <v>14655</v>
      </c>
      <c r="I35" s="480"/>
      <c r="J35" s="480">
        <v>30678</v>
      </c>
      <c r="K35" s="480">
        <v>32796</v>
      </c>
      <c r="L35" s="480" t="s">
        <v>26</v>
      </c>
      <c r="M35" s="480" t="s">
        <v>170</v>
      </c>
      <c r="N35" s="2">
        <v>7</v>
      </c>
      <c r="O35" s="2"/>
    </row>
    <row r="36" spans="1:15" ht="30.75">
      <c r="A36" s="480" t="s">
        <v>188</v>
      </c>
      <c r="B36" s="8">
        <v>85</v>
      </c>
      <c r="C36" s="480" t="s">
        <v>30</v>
      </c>
      <c r="D36" s="478">
        <v>45288</v>
      </c>
      <c r="E36" s="480" t="s">
        <v>23</v>
      </c>
      <c r="F36" s="480" t="s">
        <v>24</v>
      </c>
      <c r="G36" s="480">
        <v>31</v>
      </c>
      <c r="H36" s="480">
        <v>14655</v>
      </c>
      <c r="I36" s="480"/>
      <c r="J36" s="480">
        <v>31510</v>
      </c>
      <c r="K36" s="480">
        <v>33683</v>
      </c>
      <c r="L36" s="480" t="s">
        <v>26</v>
      </c>
      <c r="M36" s="480" t="s">
        <v>170</v>
      </c>
      <c r="N36" s="2">
        <v>2</v>
      </c>
      <c r="O36" s="2"/>
    </row>
    <row r="37" spans="1:15" ht="30.75">
      <c r="A37" s="480" t="s">
        <v>188</v>
      </c>
      <c r="B37" s="8">
        <v>85</v>
      </c>
      <c r="C37" s="480" t="s">
        <v>32</v>
      </c>
      <c r="D37" s="478">
        <v>45321</v>
      </c>
      <c r="E37" s="480" t="s">
        <v>23</v>
      </c>
      <c r="F37" s="480" t="s">
        <v>24</v>
      </c>
      <c r="G37" s="480">
        <v>32</v>
      </c>
      <c r="H37" s="480">
        <v>14655</v>
      </c>
      <c r="I37" s="480"/>
      <c r="J37" s="480">
        <v>32501</v>
      </c>
      <c r="K37" s="480">
        <v>34556</v>
      </c>
      <c r="L37" s="480" t="s">
        <v>26</v>
      </c>
      <c r="M37" s="480" t="s">
        <v>170</v>
      </c>
      <c r="N37" s="2">
        <v>3</v>
      </c>
      <c r="O37" s="2"/>
    </row>
    <row r="38" spans="1:15" ht="30.75">
      <c r="A38" s="480" t="s">
        <v>188</v>
      </c>
      <c r="B38" s="8">
        <v>85</v>
      </c>
      <c r="C38" s="480" t="s">
        <v>34</v>
      </c>
      <c r="D38" s="478">
        <v>45351</v>
      </c>
      <c r="E38" s="480" t="s">
        <v>23</v>
      </c>
      <c r="F38" s="480" t="s">
        <v>24</v>
      </c>
      <c r="G38" s="480">
        <v>33</v>
      </c>
      <c r="H38" s="480">
        <v>14655</v>
      </c>
      <c r="I38" s="480"/>
      <c r="J38" s="480">
        <v>33389</v>
      </c>
      <c r="K38" s="480">
        <v>35473</v>
      </c>
      <c r="L38" s="480" t="s">
        <v>26</v>
      </c>
      <c r="M38" s="480" t="s">
        <v>170</v>
      </c>
      <c r="N38" s="2">
        <v>2.2000000000000002</v>
      </c>
      <c r="O38" s="2"/>
    </row>
    <row r="39" spans="1:15" ht="30.75">
      <c r="A39" s="7">
        <v>45394</v>
      </c>
      <c r="B39" s="8">
        <v>94.4</v>
      </c>
      <c r="C39" s="2" t="s">
        <v>38</v>
      </c>
      <c r="D39" s="7">
        <v>45378</v>
      </c>
      <c r="E39" s="2" t="s">
        <v>23</v>
      </c>
      <c r="F39" s="2" t="s">
        <v>24</v>
      </c>
      <c r="G39" s="2">
        <v>34</v>
      </c>
      <c r="H39" s="2">
        <v>23617</v>
      </c>
      <c r="I39" s="2"/>
      <c r="J39" s="2">
        <v>34236</v>
      </c>
      <c r="K39" s="2">
        <v>36284</v>
      </c>
      <c r="L39" s="2" t="s">
        <v>26</v>
      </c>
      <c r="M39" s="2"/>
      <c r="N39" s="2">
        <v>2</v>
      </c>
      <c r="O39" s="2"/>
    </row>
    <row r="40" spans="1:15" ht="30.75">
      <c r="A40" s="7">
        <v>45394</v>
      </c>
      <c r="B40" s="8">
        <v>90</v>
      </c>
      <c r="C40" s="480" t="s">
        <v>41</v>
      </c>
      <c r="D40" s="7">
        <v>45411</v>
      </c>
      <c r="E40" s="2" t="s">
        <v>23</v>
      </c>
      <c r="F40" s="2" t="s">
        <v>24</v>
      </c>
      <c r="G40" s="2"/>
      <c r="H40" s="2">
        <v>23685</v>
      </c>
      <c r="I40" s="2"/>
      <c r="J40" s="2">
        <v>35352</v>
      </c>
      <c r="K40" s="2">
        <v>37355</v>
      </c>
      <c r="L40" s="2" t="s">
        <v>26</v>
      </c>
      <c r="M40" s="2"/>
      <c r="N40" s="2">
        <v>4</v>
      </c>
      <c r="O40" s="2"/>
    </row>
    <row r="41" spans="1:15" ht="30.75">
      <c r="A41" s="7">
        <v>45394</v>
      </c>
      <c r="B41" s="8">
        <v>90</v>
      </c>
      <c r="C41" s="2" t="s">
        <v>44</v>
      </c>
      <c r="D41" s="7">
        <v>45442</v>
      </c>
      <c r="E41" s="2" t="s">
        <v>23</v>
      </c>
      <c r="F41" s="2" t="s">
        <v>24</v>
      </c>
      <c r="G41" s="2"/>
      <c r="H41" s="2">
        <v>23685</v>
      </c>
      <c r="I41" s="2"/>
      <c r="J41" s="2">
        <v>36257</v>
      </c>
      <c r="K41" s="2">
        <v>38293</v>
      </c>
      <c r="L41" s="2" t="s">
        <v>26</v>
      </c>
      <c r="M41" s="2"/>
      <c r="N41" s="2">
        <v>3</v>
      </c>
      <c r="O41" s="2"/>
    </row>
    <row r="42" spans="1:15" ht="30.75">
      <c r="A42" s="7">
        <v>45394</v>
      </c>
      <c r="B42" s="8">
        <v>90</v>
      </c>
      <c r="C42" s="480" t="s">
        <v>57</v>
      </c>
      <c r="D42" s="7">
        <v>45470</v>
      </c>
      <c r="E42" s="2" t="s">
        <v>23</v>
      </c>
      <c r="F42" s="2" t="s">
        <v>24</v>
      </c>
      <c r="G42" s="2"/>
      <c r="H42" s="2">
        <v>23685</v>
      </c>
      <c r="I42" s="2"/>
      <c r="J42" s="2">
        <v>37174</v>
      </c>
      <c r="K42" s="2">
        <v>39222</v>
      </c>
      <c r="L42" s="2" t="s">
        <v>26</v>
      </c>
      <c r="M42" s="2"/>
      <c r="N42" s="2">
        <v>2.2000000000000002</v>
      </c>
      <c r="O42" s="2"/>
    </row>
    <row r="43" spans="1:15" ht="30.75">
      <c r="A43" s="7">
        <v>45394</v>
      </c>
      <c r="B43" s="8">
        <v>90</v>
      </c>
      <c r="C43" s="2" t="s">
        <v>47</v>
      </c>
      <c r="D43" s="7">
        <v>45503</v>
      </c>
      <c r="E43" s="2" t="s">
        <v>23</v>
      </c>
      <c r="F43" s="2" t="s">
        <v>24</v>
      </c>
      <c r="G43" s="2"/>
      <c r="H43" s="2">
        <v>23685</v>
      </c>
      <c r="I43" s="2"/>
      <c r="J43" s="2">
        <v>38144</v>
      </c>
      <c r="K43" s="2">
        <v>40283</v>
      </c>
      <c r="L43" s="2" t="s">
        <v>26</v>
      </c>
      <c r="M43" s="2"/>
      <c r="N43" s="2">
        <v>3</v>
      </c>
      <c r="O43" s="2"/>
    </row>
    <row r="44" spans="1:15" ht="30.75">
      <c r="A44" s="7">
        <v>45394</v>
      </c>
      <c r="B44" s="8">
        <v>90</v>
      </c>
      <c r="C44" s="480" t="s">
        <v>50</v>
      </c>
      <c r="D44" s="7">
        <v>45535</v>
      </c>
      <c r="E44" s="2" t="s">
        <v>23</v>
      </c>
      <c r="F44" s="2" t="s">
        <v>24</v>
      </c>
      <c r="G44" s="2"/>
      <c r="H44" s="2">
        <v>23685</v>
      </c>
      <c r="I44" s="2"/>
      <c r="J44" s="2">
        <v>39190</v>
      </c>
      <c r="K44" s="2">
        <v>41332</v>
      </c>
      <c r="L44" s="2" t="s">
        <v>26</v>
      </c>
      <c r="M44" s="2"/>
      <c r="N44" s="2">
        <v>10</v>
      </c>
      <c r="O44" s="2"/>
    </row>
    <row r="45" spans="1:15" ht="30.75">
      <c r="A45" s="7">
        <v>45394</v>
      </c>
      <c r="B45" s="8">
        <v>90</v>
      </c>
      <c r="C45" s="2" t="s">
        <v>22</v>
      </c>
      <c r="D45" s="7">
        <v>45565</v>
      </c>
      <c r="E45" s="2" t="s">
        <v>23</v>
      </c>
      <c r="F45" s="2" t="s">
        <v>24</v>
      </c>
      <c r="G45" s="2"/>
      <c r="H45" s="2">
        <v>23685</v>
      </c>
      <c r="I45" s="2"/>
      <c r="J45" s="2">
        <v>40236</v>
      </c>
      <c r="K45" s="2">
        <v>42389</v>
      </c>
      <c r="L45" s="2" t="s">
        <v>26</v>
      </c>
      <c r="M45" s="2"/>
      <c r="N45" s="2">
        <v>7.5</v>
      </c>
      <c r="O45" s="2"/>
    </row>
    <row r="46" spans="1:15" ht="36" customHeight="1">
      <c r="A46" s="7">
        <v>45394</v>
      </c>
      <c r="B46" s="8">
        <v>90</v>
      </c>
      <c r="C46" s="480" t="s">
        <v>54</v>
      </c>
      <c r="D46" s="7">
        <v>45596</v>
      </c>
      <c r="E46" s="2" t="s">
        <v>23</v>
      </c>
      <c r="F46" s="2" t="s">
        <v>24</v>
      </c>
      <c r="G46" s="2"/>
      <c r="H46" s="2">
        <v>23686</v>
      </c>
      <c r="I46" s="2"/>
      <c r="J46" s="2">
        <v>41288</v>
      </c>
      <c r="K46" s="2">
        <v>43471</v>
      </c>
      <c r="L46" s="2" t="s">
        <v>26</v>
      </c>
      <c r="M46" s="2"/>
      <c r="N46" s="2">
        <v>5.5</v>
      </c>
      <c r="O46" s="2"/>
    </row>
    <row r="47" spans="1:15" ht="36" customHeight="1">
      <c r="A47" s="7">
        <v>45394</v>
      </c>
      <c r="B47" s="8">
        <v>90</v>
      </c>
      <c r="C47" s="480" t="s">
        <v>27</v>
      </c>
      <c r="D47" s="7">
        <v>45626</v>
      </c>
      <c r="E47" s="2" t="s">
        <v>23</v>
      </c>
      <c r="F47" s="2" t="s">
        <v>24</v>
      </c>
      <c r="G47" s="2"/>
      <c r="H47" s="2">
        <v>23686</v>
      </c>
      <c r="I47" s="2"/>
      <c r="J47" s="2">
        <v>42254</v>
      </c>
      <c r="K47" s="2">
        <v>44299</v>
      </c>
      <c r="L47" s="2" t="s">
        <v>26</v>
      </c>
      <c r="M47" s="2"/>
      <c r="N47" s="2">
        <v>7.5</v>
      </c>
      <c r="O47" s="2"/>
    </row>
    <row r="48" spans="1:15" ht="36" customHeight="1">
      <c r="A48" s="7">
        <v>45394</v>
      </c>
      <c r="B48" s="8">
        <v>90</v>
      </c>
      <c r="C48" s="2" t="s">
        <v>30</v>
      </c>
      <c r="D48" s="7">
        <v>45656</v>
      </c>
      <c r="E48" s="2" t="s">
        <v>23</v>
      </c>
      <c r="F48" s="2" t="s">
        <v>24</v>
      </c>
      <c r="G48" s="2"/>
      <c r="H48" s="2">
        <v>23686</v>
      </c>
      <c r="I48" s="2"/>
      <c r="J48" s="2">
        <v>43229</v>
      </c>
      <c r="K48" s="2">
        <v>45423</v>
      </c>
      <c r="L48" s="2" t="s">
        <v>26</v>
      </c>
      <c r="M48" s="2">
        <v>6.5</v>
      </c>
      <c r="N48" s="2"/>
      <c r="O48" s="2"/>
    </row>
    <row r="49" spans="1:15" ht="36" customHeight="1">
      <c r="A49" s="7">
        <v>45394</v>
      </c>
      <c r="B49" s="8">
        <v>90</v>
      </c>
      <c r="C49" s="480" t="s">
        <v>32</v>
      </c>
      <c r="D49" s="7">
        <v>45688</v>
      </c>
      <c r="E49" s="2" t="s">
        <v>23</v>
      </c>
      <c r="F49" s="2" t="s">
        <v>24</v>
      </c>
      <c r="G49" s="2"/>
      <c r="H49" s="2">
        <v>23686</v>
      </c>
      <c r="I49" s="2"/>
      <c r="J49" s="2">
        <v>44432</v>
      </c>
      <c r="K49" s="2"/>
      <c r="L49" s="2" t="s">
        <v>26</v>
      </c>
      <c r="M49" s="2"/>
      <c r="N49" s="2">
        <v>6.3</v>
      </c>
      <c r="O49" s="2"/>
    </row>
    <row r="50" spans="1:15" ht="36" customHeight="1">
      <c r="A50" s="7">
        <v>45394</v>
      </c>
      <c r="B50" s="8">
        <v>90</v>
      </c>
      <c r="C50" s="480" t="s">
        <v>34</v>
      </c>
      <c r="D50" s="7">
        <v>45716</v>
      </c>
      <c r="E50" s="2" t="s">
        <v>23</v>
      </c>
      <c r="F50" s="2" t="s">
        <v>24</v>
      </c>
      <c r="G50" s="2"/>
      <c r="H50" s="2">
        <v>23686</v>
      </c>
      <c r="I50" s="2"/>
      <c r="J50" s="2">
        <v>45438</v>
      </c>
      <c r="K50" s="2"/>
      <c r="L50" s="2" t="s">
        <v>26</v>
      </c>
      <c r="M50" s="2"/>
      <c r="N50" s="2">
        <v>4.8</v>
      </c>
      <c r="O50" s="2"/>
    </row>
    <row r="51" spans="1:15" ht="36" customHeight="1">
      <c r="A51" s="7">
        <v>45394</v>
      </c>
      <c r="B51" s="8">
        <v>90</v>
      </c>
      <c r="C51" s="2" t="s">
        <v>38</v>
      </c>
      <c r="D51" s="7">
        <v>45747</v>
      </c>
      <c r="E51" s="2" t="s">
        <v>23</v>
      </c>
      <c r="F51" s="2" t="s">
        <v>24</v>
      </c>
      <c r="G51" s="2"/>
      <c r="H51" s="2">
        <v>23686</v>
      </c>
      <c r="I51" s="100">
        <v>994</v>
      </c>
      <c r="J51" s="2">
        <v>46586</v>
      </c>
      <c r="K51" s="2"/>
      <c r="L51" s="2" t="s">
        <v>26</v>
      </c>
      <c r="M51" s="2">
        <v>5.3</v>
      </c>
      <c r="N51" s="2"/>
      <c r="O51" s="100" t="s">
        <v>76</v>
      </c>
    </row>
    <row r="52" spans="1:15" ht="36" customHeight="1">
      <c r="A52" s="7">
        <v>45779</v>
      </c>
      <c r="B52" s="8">
        <v>90</v>
      </c>
      <c r="C52" s="2" t="s">
        <v>41</v>
      </c>
      <c r="D52" s="7">
        <v>45777</v>
      </c>
      <c r="E52" s="559" t="s">
        <v>23</v>
      </c>
      <c r="F52" s="2" t="s">
        <v>24</v>
      </c>
      <c r="G52" s="2"/>
      <c r="H52" s="2">
        <v>33987</v>
      </c>
      <c r="I52" s="2"/>
      <c r="J52" s="2">
        <v>47639</v>
      </c>
      <c r="K52" s="2"/>
      <c r="L52" s="2" t="s">
        <v>26</v>
      </c>
      <c r="M52" s="2">
        <v>3.5</v>
      </c>
      <c r="N52" s="2"/>
      <c r="O52" s="2"/>
    </row>
    <row r="53" spans="1:15" ht="36" customHeight="1">
      <c r="A53" s="7">
        <v>45779</v>
      </c>
      <c r="B53" s="8">
        <v>90</v>
      </c>
      <c r="C53" s="2" t="s">
        <v>44</v>
      </c>
      <c r="D53" s="568">
        <v>45808</v>
      </c>
      <c r="E53" s="559" t="s">
        <v>23</v>
      </c>
      <c r="F53" s="2" t="s">
        <v>24</v>
      </c>
      <c r="G53" s="2"/>
      <c r="H53" s="2">
        <v>33987</v>
      </c>
      <c r="I53" s="2"/>
      <c r="J53" s="2">
        <v>50036</v>
      </c>
      <c r="K53" s="2"/>
      <c r="L53" s="2" t="s">
        <v>26</v>
      </c>
      <c r="M53" s="2">
        <v>1.7</v>
      </c>
      <c r="N53" s="2"/>
      <c r="O53" s="2"/>
    </row>
    <row r="54" spans="1:15" ht="30.75">
      <c r="A54" s="7">
        <v>45779</v>
      </c>
      <c r="B54" s="8">
        <v>90</v>
      </c>
      <c r="C54" s="2" t="s">
        <v>57</v>
      </c>
      <c r="D54" s="7">
        <v>45835</v>
      </c>
      <c r="E54" s="559" t="s">
        <v>23</v>
      </c>
      <c r="F54" s="2" t="s">
        <v>24</v>
      </c>
      <c r="G54" s="2"/>
      <c r="H54" s="2">
        <v>33987</v>
      </c>
      <c r="I54" s="2"/>
      <c r="J54" s="2">
        <v>50037</v>
      </c>
      <c r="K54" s="2"/>
      <c r="L54" s="2" t="s">
        <v>26</v>
      </c>
      <c r="M54" s="2">
        <v>4</v>
      </c>
      <c r="N54" s="2"/>
      <c r="O54" s="2"/>
    </row>
    <row r="55" spans="1:15" ht="30.75">
      <c r="A55" s="7">
        <v>45779</v>
      </c>
      <c r="B55" s="8">
        <v>90</v>
      </c>
      <c r="C55" s="2" t="s">
        <v>47</v>
      </c>
      <c r="D55" s="7">
        <v>45868</v>
      </c>
      <c r="E55" s="559" t="s">
        <v>23</v>
      </c>
      <c r="F55" s="2" t="s">
        <v>24</v>
      </c>
      <c r="G55" s="2"/>
      <c r="H55" s="2">
        <v>33987</v>
      </c>
      <c r="I55" s="2"/>
      <c r="J55" s="2">
        <v>50038</v>
      </c>
      <c r="K55" s="2"/>
      <c r="L55" s="2" t="s">
        <v>26</v>
      </c>
      <c r="M55" s="2">
        <v>5.5</v>
      </c>
      <c r="N55" s="2"/>
      <c r="O55" s="2"/>
    </row>
    <row r="56" spans="1:15" ht="30.75">
      <c r="A56" s="7">
        <v>45779</v>
      </c>
      <c r="B56" s="8">
        <v>90</v>
      </c>
      <c r="C56" s="2" t="s">
        <v>50</v>
      </c>
      <c r="D56" s="7">
        <v>45898</v>
      </c>
      <c r="E56" s="559" t="s">
        <v>23</v>
      </c>
      <c r="F56" s="2" t="s">
        <v>24</v>
      </c>
      <c r="G56" s="2"/>
      <c r="H56" s="2">
        <v>33987</v>
      </c>
      <c r="I56" s="2"/>
      <c r="J56" s="2">
        <v>51306</v>
      </c>
      <c r="K56" s="2"/>
      <c r="L56" s="2" t="s">
        <v>26</v>
      </c>
      <c r="M56" s="2">
        <v>2.5</v>
      </c>
      <c r="N56" s="2"/>
      <c r="O56" s="2"/>
    </row>
    <row r="57" spans="1:15" ht="30.75">
      <c r="A57" s="7">
        <v>45779</v>
      </c>
      <c r="B57" s="8">
        <v>90</v>
      </c>
      <c r="C57" s="2" t="s">
        <v>22</v>
      </c>
      <c r="D57" s="7">
        <v>45930</v>
      </c>
      <c r="E57" s="559" t="s">
        <v>23</v>
      </c>
      <c r="F57" s="2" t="s">
        <v>24</v>
      </c>
      <c r="G57" s="2"/>
      <c r="H57" s="2">
        <v>33987</v>
      </c>
      <c r="I57" s="2"/>
      <c r="J57" s="2">
        <v>52135</v>
      </c>
      <c r="K57" s="2"/>
      <c r="L57" s="2" t="s">
        <v>26</v>
      </c>
      <c r="M57" s="2">
        <v>3</v>
      </c>
      <c r="N57" s="2"/>
      <c r="O57" s="2"/>
    </row>
    <row r="58" spans="1:15" ht="30.75">
      <c r="A58" s="7">
        <v>45779</v>
      </c>
      <c r="B58" s="8">
        <v>90</v>
      </c>
      <c r="C58" s="2" t="s">
        <v>54</v>
      </c>
      <c r="D58" s="7">
        <v>45961</v>
      </c>
      <c r="E58" s="559" t="s">
        <v>23</v>
      </c>
      <c r="F58" s="2" t="s">
        <v>24</v>
      </c>
      <c r="G58" s="2"/>
      <c r="H58" s="2">
        <v>33989</v>
      </c>
      <c r="I58" s="2"/>
      <c r="J58" s="2">
        <v>53336</v>
      </c>
      <c r="K58" s="2"/>
      <c r="L58" s="2" t="s">
        <v>26</v>
      </c>
      <c r="M58" s="2">
        <v>1.8</v>
      </c>
      <c r="N58" s="2"/>
      <c r="O58" s="2"/>
    </row>
    <row r="59" spans="1:15" ht="30.75">
      <c r="A59" s="7">
        <v>45779</v>
      </c>
      <c r="B59" s="8">
        <v>90</v>
      </c>
      <c r="C59" s="2" t="s">
        <v>27</v>
      </c>
      <c r="D59" s="7">
        <v>45989</v>
      </c>
      <c r="E59" s="559" t="s">
        <v>23</v>
      </c>
      <c r="F59" s="2" t="s">
        <v>24</v>
      </c>
      <c r="G59" s="2"/>
      <c r="H59" s="2">
        <v>33989</v>
      </c>
      <c r="I59" s="2"/>
      <c r="J59" s="2">
        <v>54625</v>
      </c>
      <c r="K59" s="2"/>
      <c r="L59" s="2" t="s">
        <v>26</v>
      </c>
      <c r="M59" s="2">
        <v>2</v>
      </c>
      <c r="N59" s="2"/>
      <c r="O59" s="2"/>
    </row>
    <row r="60" spans="1:15" ht="30.75">
      <c r="A60" s="7">
        <v>45779</v>
      </c>
      <c r="B60" s="8">
        <v>90</v>
      </c>
      <c r="C60" s="2" t="s">
        <v>30</v>
      </c>
      <c r="D60" s="7">
        <v>46020</v>
      </c>
      <c r="E60" s="559" t="s">
        <v>23</v>
      </c>
      <c r="F60" s="2" t="s">
        <v>24</v>
      </c>
      <c r="G60" s="2"/>
      <c r="H60" s="2">
        <v>33989</v>
      </c>
      <c r="I60" s="2"/>
      <c r="J60" s="2">
        <v>55702</v>
      </c>
      <c r="K60" s="2"/>
      <c r="L60" s="2" t="s">
        <v>26</v>
      </c>
      <c r="M60" s="2">
        <v>5.5</v>
      </c>
      <c r="N60" s="2"/>
      <c r="O60" s="2"/>
    </row>
    <row r="61" spans="1:15" ht="30.75">
      <c r="A61" s="7">
        <v>45779</v>
      </c>
      <c r="B61" s="8">
        <v>90</v>
      </c>
      <c r="C61" s="2" t="s">
        <v>32</v>
      </c>
      <c r="D61" s="7">
        <v>46053</v>
      </c>
      <c r="E61" s="559" t="s">
        <v>23</v>
      </c>
      <c r="F61" s="2" t="s">
        <v>24</v>
      </c>
      <c r="G61" s="2"/>
      <c r="H61" s="2">
        <v>33989</v>
      </c>
      <c r="I61" s="2"/>
      <c r="J61" s="2">
        <v>56474</v>
      </c>
      <c r="K61" s="2"/>
      <c r="L61" s="2" t="s">
        <v>26</v>
      </c>
      <c r="M61" s="2" t="s">
        <v>2211</v>
      </c>
      <c r="N61" s="2"/>
      <c r="O61" s="2"/>
    </row>
    <row r="62" spans="1:15" ht="30.75">
      <c r="A62" s="7">
        <v>45779</v>
      </c>
      <c r="B62" s="8">
        <v>90</v>
      </c>
      <c r="C62" s="2" t="s">
        <v>34</v>
      </c>
      <c r="D62" s="7">
        <v>46081</v>
      </c>
      <c r="E62" s="559" t="s">
        <v>23</v>
      </c>
      <c r="F62" s="2" t="s">
        <v>24</v>
      </c>
      <c r="G62" s="2"/>
      <c r="H62" s="2">
        <v>33989</v>
      </c>
      <c r="I62" s="2"/>
      <c r="J62" s="2">
        <v>58394</v>
      </c>
      <c r="K62" s="2"/>
      <c r="L62" s="2" t="s">
        <v>26</v>
      </c>
      <c r="M62" s="2">
        <v>3.1</v>
      </c>
      <c r="N62" s="2"/>
      <c r="O62" s="2"/>
    </row>
    <row r="63" spans="1:15" ht="30.75">
      <c r="A63" s="7">
        <v>45779</v>
      </c>
      <c r="B63" s="8">
        <v>90</v>
      </c>
      <c r="C63" s="2" t="s">
        <v>38</v>
      </c>
      <c r="D63" s="7">
        <v>46112</v>
      </c>
      <c r="E63" s="559" t="s">
        <v>23</v>
      </c>
      <c r="F63" s="2" t="s">
        <v>24</v>
      </c>
      <c r="G63" s="2"/>
      <c r="H63" s="2">
        <v>33989</v>
      </c>
      <c r="I63" s="2"/>
      <c r="J63" s="2">
        <v>59572</v>
      </c>
      <c r="K63" s="2"/>
      <c r="L63" s="2" t="s">
        <v>26</v>
      </c>
      <c r="M63" s="2">
        <v>1.8</v>
      </c>
      <c r="N63" s="2"/>
      <c r="O63" s="2"/>
    </row>
    <row r="64" spans="1:15" ht="30.75">
      <c r="A64" s="7">
        <v>46149</v>
      </c>
      <c r="B64" s="8">
        <v>90</v>
      </c>
      <c r="C64" s="2" t="s">
        <v>41</v>
      </c>
      <c r="D64" s="7">
        <v>46141</v>
      </c>
      <c r="E64" s="2" t="s">
        <v>23</v>
      </c>
      <c r="F64" s="2" t="s">
        <v>24</v>
      </c>
      <c r="G64" s="2"/>
      <c r="H64" s="2">
        <v>44158</v>
      </c>
      <c r="I64" s="2"/>
      <c r="J64" s="2">
        <v>60985</v>
      </c>
      <c r="K64" s="2"/>
      <c r="L64" s="2" t="s">
        <v>73</v>
      </c>
      <c r="M64" s="2">
        <v>3</v>
      </c>
      <c r="N64" s="2"/>
      <c r="O64" s="2"/>
    </row>
    <row r="65" spans="1:15" ht="30.75">
      <c r="A65" s="7">
        <v>46149</v>
      </c>
      <c r="B65" s="8">
        <v>90</v>
      </c>
      <c r="C65" s="2" t="s">
        <v>44</v>
      </c>
      <c r="D65" s="2"/>
      <c r="E65" s="2" t="s">
        <v>23</v>
      </c>
      <c r="F65" s="2" t="s">
        <v>24</v>
      </c>
      <c r="G65" s="2"/>
      <c r="H65" s="2">
        <v>44158</v>
      </c>
      <c r="I65" s="100">
        <v>1821</v>
      </c>
      <c r="J65" s="2"/>
      <c r="K65" s="2"/>
      <c r="L65" s="2" t="s">
        <v>73</v>
      </c>
      <c r="M65" s="2"/>
      <c r="N65" s="2"/>
      <c r="O65" s="100" t="s">
        <v>76</v>
      </c>
    </row>
    <row r="66" spans="1:15" ht="30.75">
      <c r="A66" s="7">
        <v>46149</v>
      </c>
      <c r="B66" s="8">
        <v>90</v>
      </c>
      <c r="C66" s="2" t="s">
        <v>57</v>
      </c>
      <c r="D66" s="2"/>
      <c r="E66" s="2" t="s">
        <v>23</v>
      </c>
      <c r="F66" s="2" t="s">
        <v>24</v>
      </c>
      <c r="G66" s="2"/>
      <c r="H66" s="2">
        <v>44158</v>
      </c>
      <c r="I66" s="2"/>
      <c r="J66" s="2"/>
      <c r="K66" s="2"/>
      <c r="L66" s="2" t="s">
        <v>73</v>
      </c>
      <c r="M66" s="2"/>
      <c r="N66" s="2"/>
      <c r="O66" s="2"/>
    </row>
    <row r="67" spans="1:15" ht="30.75">
      <c r="A67" s="7">
        <v>46149</v>
      </c>
      <c r="B67" s="8">
        <v>90</v>
      </c>
      <c r="C67" s="2" t="s">
        <v>47</v>
      </c>
      <c r="D67" s="2"/>
      <c r="E67" s="2" t="s">
        <v>23</v>
      </c>
      <c r="F67" s="2" t="s">
        <v>24</v>
      </c>
      <c r="G67" s="2"/>
      <c r="H67" s="2">
        <v>44158</v>
      </c>
      <c r="I67" s="2"/>
      <c r="J67" s="2"/>
      <c r="K67" s="2"/>
      <c r="L67" s="2" t="s">
        <v>73</v>
      </c>
      <c r="M67" s="2"/>
      <c r="N67" s="2"/>
      <c r="O67" s="2"/>
    </row>
    <row r="68" spans="1:15" ht="30.75">
      <c r="A68" s="7">
        <v>46149</v>
      </c>
      <c r="B68" s="8">
        <v>90</v>
      </c>
      <c r="C68" s="2" t="s">
        <v>50</v>
      </c>
      <c r="D68" s="2"/>
      <c r="E68" s="2" t="s">
        <v>23</v>
      </c>
      <c r="F68" s="2" t="s">
        <v>24</v>
      </c>
      <c r="G68" s="2"/>
      <c r="H68" s="2">
        <v>44158</v>
      </c>
      <c r="I68" s="2"/>
      <c r="J68" s="2"/>
      <c r="K68" s="2"/>
      <c r="L68" s="2" t="s">
        <v>73</v>
      </c>
      <c r="M68" s="2"/>
      <c r="N68" s="2"/>
      <c r="O68" s="2"/>
    </row>
    <row r="69" spans="1:15" ht="30.75">
      <c r="A69" s="7">
        <v>46149</v>
      </c>
      <c r="B69" s="8">
        <v>90</v>
      </c>
      <c r="C69" s="2" t="s">
        <v>22</v>
      </c>
      <c r="D69" s="2"/>
      <c r="E69" s="2" t="s">
        <v>23</v>
      </c>
      <c r="F69" s="2" t="s">
        <v>24</v>
      </c>
      <c r="G69" s="2"/>
      <c r="H69" s="2">
        <v>44158</v>
      </c>
      <c r="I69" s="2"/>
      <c r="J69" s="2"/>
      <c r="K69" s="2"/>
      <c r="L69" s="2" t="s">
        <v>73</v>
      </c>
      <c r="M69" s="2"/>
      <c r="N69" s="2"/>
      <c r="O69" s="2"/>
    </row>
    <row r="70" spans="1:15" ht="30.75">
      <c r="A70" s="7">
        <v>46149</v>
      </c>
      <c r="B70" s="8">
        <v>90</v>
      </c>
      <c r="C70" s="2" t="s">
        <v>54</v>
      </c>
      <c r="D70" s="2"/>
      <c r="E70" s="2" t="s">
        <v>23</v>
      </c>
      <c r="F70" s="2" t="s">
        <v>24</v>
      </c>
      <c r="G70" s="2"/>
      <c r="H70" s="2">
        <v>44159</v>
      </c>
      <c r="I70" s="2"/>
      <c r="J70" s="2"/>
      <c r="K70" s="2"/>
      <c r="L70" s="2" t="s">
        <v>73</v>
      </c>
      <c r="M70" s="2"/>
      <c r="N70" s="2"/>
      <c r="O70" s="2"/>
    </row>
    <row r="71" spans="1:15" ht="30.75">
      <c r="A71" s="7">
        <v>46149</v>
      </c>
      <c r="B71" s="8">
        <v>90</v>
      </c>
      <c r="C71" s="2" t="s">
        <v>27</v>
      </c>
      <c r="D71" s="2"/>
      <c r="E71" s="2" t="s">
        <v>23</v>
      </c>
      <c r="F71" s="2" t="s">
        <v>24</v>
      </c>
      <c r="G71" s="2"/>
      <c r="H71" s="2">
        <v>44159</v>
      </c>
      <c r="I71" s="2"/>
      <c r="J71" s="2"/>
      <c r="K71" s="2"/>
      <c r="L71" s="2" t="s">
        <v>73</v>
      </c>
      <c r="M71" s="2"/>
      <c r="N71" s="2"/>
      <c r="O71" s="2"/>
    </row>
    <row r="72" spans="1:15" ht="30.75">
      <c r="A72" s="7">
        <v>46149</v>
      </c>
      <c r="B72" s="8">
        <v>90</v>
      </c>
      <c r="C72" s="2" t="s">
        <v>30</v>
      </c>
      <c r="D72" s="2"/>
      <c r="E72" s="2" t="s">
        <v>23</v>
      </c>
      <c r="F72" s="2" t="s">
        <v>24</v>
      </c>
      <c r="G72" s="2"/>
      <c r="H72" s="2">
        <v>44159</v>
      </c>
      <c r="I72" s="2"/>
      <c r="J72" s="2"/>
      <c r="K72" s="2"/>
      <c r="L72" s="2" t="s">
        <v>73</v>
      </c>
      <c r="M72" s="2"/>
      <c r="N72" s="2"/>
      <c r="O72" s="2"/>
    </row>
    <row r="73" spans="1:15" ht="30.75">
      <c r="A73" s="7">
        <v>46149</v>
      </c>
      <c r="B73" s="8">
        <v>90</v>
      </c>
      <c r="C73" s="2" t="s">
        <v>32</v>
      </c>
      <c r="D73" s="2"/>
      <c r="E73" s="2" t="s">
        <v>23</v>
      </c>
      <c r="F73" s="2" t="s">
        <v>24</v>
      </c>
      <c r="G73" s="2"/>
      <c r="H73" s="2">
        <v>44159</v>
      </c>
      <c r="I73" s="2"/>
      <c r="J73" s="2"/>
      <c r="K73" s="2"/>
      <c r="L73" s="2" t="s">
        <v>73</v>
      </c>
      <c r="M73" s="2"/>
      <c r="N73" s="2"/>
      <c r="O73" s="2"/>
    </row>
    <row r="74" spans="1:15" ht="30.75">
      <c r="A74" s="7">
        <v>46149</v>
      </c>
      <c r="B74" s="8">
        <v>90</v>
      </c>
      <c r="C74" s="2" t="s">
        <v>34</v>
      </c>
      <c r="D74" s="2"/>
      <c r="E74" s="2" t="s">
        <v>23</v>
      </c>
      <c r="F74" s="2" t="s">
        <v>24</v>
      </c>
      <c r="G74" s="2"/>
      <c r="H74" s="2">
        <v>44159</v>
      </c>
      <c r="I74" s="2"/>
      <c r="J74" s="2"/>
      <c r="K74" s="2"/>
      <c r="L74" s="2" t="s">
        <v>73</v>
      </c>
      <c r="M74" s="2"/>
      <c r="N74" s="2"/>
      <c r="O74" s="2"/>
    </row>
    <row r="75" spans="1:15" ht="30.75">
      <c r="A75" s="7">
        <v>46149</v>
      </c>
      <c r="B75" s="8">
        <v>90</v>
      </c>
      <c r="C75" s="2" t="s">
        <v>38</v>
      </c>
      <c r="D75" s="2"/>
      <c r="E75" s="2" t="s">
        <v>23</v>
      </c>
      <c r="F75" s="2" t="s">
        <v>24</v>
      </c>
      <c r="G75" s="2"/>
      <c r="H75" s="2">
        <v>44159</v>
      </c>
      <c r="I75" s="2"/>
      <c r="J75" s="2"/>
      <c r="K75" s="2"/>
      <c r="L75" s="2" t="s">
        <v>73</v>
      </c>
      <c r="M75" s="2"/>
      <c r="N75" s="2"/>
      <c r="O75" s="2"/>
    </row>
    <row r="76" spans="1:15" ht="30.75">
      <c r="A76" s="2"/>
      <c r="B76" s="2"/>
      <c r="C76" s="2"/>
      <c r="D76" s="2"/>
      <c r="E76" s="2" t="s">
        <v>23</v>
      </c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30.75">
      <c r="A77" s="2"/>
      <c r="B77" s="2"/>
      <c r="C77" s="2"/>
      <c r="D77" s="2"/>
      <c r="E77" s="2" t="s">
        <v>23</v>
      </c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30.75">
      <c r="A78" s="2"/>
      <c r="B78" s="2"/>
      <c r="C78" s="2"/>
      <c r="D78" s="2"/>
      <c r="E78" s="2" t="s">
        <v>23</v>
      </c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30.75">
      <c r="A79" s="2"/>
      <c r="B79" s="2"/>
      <c r="C79" s="2"/>
      <c r="D79" s="2"/>
      <c r="E79" s="2" t="s">
        <v>23</v>
      </c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30.75">
      <c r="A80" s="2"/>
      <c r="B80" s="2"/>
      <c r="C80" s="2"/>
      <c r="D80" s="2"/>
      <c r="E80" s="2" t="s">
        <v>23</v>
      </c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30.75">
      <c r="A81" s="2"/>
      <c r="B81" s="2"/>
      <c r="C81" s="2"/>
      <c r="D81" s="2"/>
      <c r="E81" s="2" t="s">
        <v>23</v>
      </c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30.75">
      <c r="A82" s="2"/>
      <c r="B82" s="2"/>
      <c r="C82" s="2"/>
      <c r="D82" s="2"/>
      <c r="E82" s="2" t="s">
        <v>23</v>
      </c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30.75">
      <c r="A83" s="2"/>
      <c r="B83" s="2"/>
      <c r="C83" s="2"/>
      <c r="D83" s="2"/>
      <c r="E83" s="2" t="s">
        <v>23</v>
      </c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30.75">
      <c r="A84" s="2"/>
      <c r="B84" s="2"/>
      <c r="C84" s="2"/>
      <c r="D84" s="2"/>
      <c r="E84" s="2" t="s">
        <v>23</v>
      </c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30.75">
      <c r="A85" s="2"/>
      <c r="B85" s="2"/>
      <c r="C85" s="2"/>
      <c r="D85" s="2"/>
      <c r="E85" s="2" t="s">
        <v>23</v>
      </c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30.75">
      <c r="A86" s="2"/>
      <c r="B86" s="2"/>
      <c r="C86" s="2"/>
      <c r="D86" s="2"/>
      <c r="E86" s="2" t="s">
        <v>23</v>
      </c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30.75">
      <c r="A87" s="2"/>
      <c r="B87" s="2"/>
      <c r="C87" s="2"/>
      <c r="D87" s="2"/>
      <c r="E87" s="2" t="s">
        <v>23</v>
      </c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30.75">
      <c r="A88" s="2"/>
      <c r="B88" s="2"/>
      <c r="C88" s="2"/>
      <c r="D88" s="2"/>
      <c r="E88" s="2" t="s">
        <v>23</v>
      </c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30.75">
      <c r="A89" s="2"/>
      <c r="B89" s="2"/>
      <c r="C89" s="2"/>
      <c r="D89" s="2"/>
      <c r="E89" s="2" t="s">
        <v>23</v>
      </c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30.75">
      <c r="A90" s="2"/>
      <c r="B90" s="2"/>
      <c r="C90" s="2"/>
      <c r="D90" s="2"/>
      <c r="E90" s="2" t="s">
        <v>23</v>
      </c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30.75">
      <c r="A91" s="2"/>
      <c r="B91" s="2"/>
      <c r="C91" s="2"/>
      <c r="D91" s="2"/>
      <c r="E91" s="2" t="s">
        <v>23</v>
      </c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30.75">
      <c r="A92" s="2"/>
      <c r="B92" s="2"/>
      <c r="C92" s="2"/>
      <c r="D92" s="2"/>
      <c r="E92" s="2" t="s">
        <v>23</v>
      </c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30.75">
      <c r="A93" s="2"/>
      <c r="B93" s="2"/>
      <c r="C93" s="2"/>
      <c r="D93" s="2"/>
      <c r="E93" s="2" t="s">
        <v>23</v>
      </c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30.75">
      <c r="A94" s="2"/>
      <c r="B94" s="2"/>
      <c r="C94" s="2"/>
      <c r="D94" s="2"/>
      <c r="E94" s="2" t="s">
        <v>23</v>
      </c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30.75">
      <c r="A95" s="2"/>
      <c r="B95" s="2"/>
      <c r="C95" s="2"/>
      <c r="D95" s="2"/>
      <c r="E95" s="2" t="s">
        <v>23</v>
      </c>
      <c r="F95" s="2"/>
      <c r="G95" s="2"/>
      <c r="H95" s="2"/>
      <c r="I95" s="2"/>
      <c r="J95" s="2"/>
      <c r="K95" s="2"/>
      <c r="L95" s="2"/>
      <c r="M95" s="2"/>
      <c r="N95" s="2"/>
      <c r="O95" s="2"/>
    </row>
  </sheetData>
  <mergeCells count="5">
    <mergeCell ref="A1:E1"/>
    <mergeCell ref="B2:C2"/>
    <mergeCell ref="E2:M2"/>
    <mergeCell ref="I4:L4"/>
    <mergeCell ref="E4:G4"/>
  </mergeCells>
  <dataValidations count="2">
    <dataValidation type="list" allowBlank="1" showInputMessage="1" showErrorMessage="1" sqref="F7:F95" xr:uid="{00000000-0002-0000-2200-000000000000}">
      <formula1>"EFECTIVO, CHEQUE, TRANSFERENCIA,DEPOSITO"</formula1>
    </dataValidation>
    <dataValidation type="list" allowBlank="1" showInputMessage="1" showErrorMessage="1" sqref="C7:C95" xr:uid="{00000000-0002-0000-2200-000001000000}">
      <formula1>"ENERO,FEBRERO,MARZO,ABRIL,MAYO,JUNIO,JULIO,AGOSTO,SEPTIEMBRE,OCTUBRE,NOVIEMBRE,DICIEMBRE"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A96B-BA2D-4308-A3F8-8E3777DBCBD7}">
  <dimension ref="A1:O99"/>
  <sheetViews>
    <sheetView topLeftCell="A62" workbookViewId="0">
      <selection activeCell="M65" sqref="M65"/>
    </sheetView>
  </sheetViews>
  <sheetFormatPr defaultColWidth="11.42578125" defaultRowHeight="15"/>
  <cols>
    <col min="2" max="2" width="18.7109375" customWidth="1"/>
    <col min="6" max="6" width="18.28515625" customWidth="1"/>
  </cols>
  <sheetData>
    <row r="1" spans="1:15" ht="21">
      <c r="A1" s="780" t="s">
        <v>2212</v>
      </c>
      <c r="B1" s="780"/>
      <c r="C1" s="780"/>
      <c r="D1" s="780"/>
      <c r="E1" s="780"/>
    </row>
    <row r="2" spans="1:15" ht="30" customHeight="1">
      <c r="A2" s="2" t="s">
        <v>93</v>
      </c>
      <c r="B2" s="638" t="s">
        <v>2213</v>
      </c>
      <c r="C2" s="638"/>
      <c r="E2" s="663" t="s">
        <v>2214</v>
      </c>
      <c r="F2" s="663"/>
      <c r="G2" s="663"/>
      <c r="H2" s="663"/>
      <c r="I2" s="663"/>
      <c r="J2" s="663"/>
      <c r="K2" s="663"/>
      <c r="L2" s="663"/>
      <c r="M2" s="663"/>
    </row>
    <row r="3" spans="1:15">
      <c r="A3" s="2" t="s">
        <v>1670</v>
      </c>
      <c r="B3" s="3">
        <v>20410478529</v>
      </c>
    </row>
    <row r="4" spans="1:15" ht="37.5">
      <c r="A4" s="215" t="s">
        <v>4</v>
      </c>
      <c r="B4" s="216">
        <v>46148</v>
      </c>
      <c r="F4" s="781" t="s">
        <v>1125</v>
      </c>
      <c r="G4" s="781"/>
      <c r="I4" s="782" t="s">
        <v>2215</v>
      </c>
      <c r="J4" s="782"/>
      <c r="K4" s="782"/>
      <c r="L4" s="782"/>
    </row>
    <row r="6" spans="1:15" ht="57">
      <c r="A6" s="217" t="s">
        <v>7</v>
      </c>
      <c r="B6" s="217" t="s">
        <v>8</v>
      </c>
      <c r="C6" s="217" t="s">
        <v>9</v>
      </c>
      <c r="D6" s="217" t="s">
        <v>10</v>
      </c>
      <c r="E6" s="217" t="s">
        <v>11</v>
      </c>
      <c r="F6" s="217" t="s">
        <v>12</v>
      </c>
      <c r="G6" s="217" t="s">
        <v>13</v>
      </c>
      <c r="H6" s="217" t="s">
        <v>14</v>
      </c>
      <c r="I6" s="217" t="s">
        <v>15</v>
      </c>
      <c r="J6" s="217" t="s">
        <v>16</v>
      </c>
      <c r="K6" s="217" t="s">
        <v>17</v>
      </c>
      <c r="L6" s="217" t="s">
        <v>18</v>
      </c>
      <c r="M6" s="426" t="s">
        <v>99</v>
      </c>
      <c r="N6" s="426" t="s">
        <v>19</v>
      </c>
      <c r="O6" s="426" t="s">
        <v>20</v>
      </c>
    </row>
    <row r="7" spans="1:15" ht="30.75">
      <c r="A7" s="7">
        <v>44320</v>
      </c>
      <c r="B7" s="8">
        <v>94.4</v>
      </c>
      <c r="C7" s="2" t="s">
        <v>44</v>
      </c>
      <c r="D7" s="7">
        <v>44347</v>
      </c>
      <c r="E7" s="2" t="s">
        <v>23</v>
      </c>
      <c r="F7" s="2" t="s">
        <v>24</v>
      </c>
      <c r="G7" s="2">
        <v>1</v>
      </c>
      <c r="H7" s="9" t="s">
        <v>2216</v>
      </c>
      <c r="I7" s="9"/>
      <c r="J7" s="9" t="s">
        <v>2217</v>
      </c>
      <c r="K7" s="9"/>
      <c r="L7" s="2" t="s">
        <v>26</v>
      </c>
      <c r="M7" s="2"/>
      <c r="N7" s="2"/>
      <c r="O7" s="2"/>
    </row>
    <row r="8" spans="1:15" ht="30.75">
      <c r="A8" s="7">
        <v>44377</v>
      </c>
      <c r="B8" s="8">
        <v>94.4</v>
      </c>
      <c r="C8" s="2" t="s">
        <v>57</v>
      </c>
      <c r="D8" s="7">
        <v>44377</v>
      </c>
      <c r="E8" s="2" t="s">
        <v>23</v>
      </c>
      <c r="F8" s="2" t="s">
        <v>24</v>
      </c>
      <c r="G8" s="2">
        <v>2</v>
      </c>
      <c r="H8" s="9" t="s">
        <v>2218</v>
      </c>
      <c r="I8" s="9"/>
      <c r="J8" s="9" t="s">
        <v>2219</v>
      </c>
      <c r="K8" s="9"/>
      <c r="L8" s="2" t="s">
        <v>26</v>
      </c>
      <c r="M8" s="2"/>
      <c r="N8" s="2"/>
      <c r="O8" s="2"/>
    </row>
    <row r="9" spans="1:15" ht="30.75">
      <c r="A9" s="7">
        <v>44377</v>
      </c>
      <c r="B9" s="8">
        <v>94.4</v>
      </c>
      <c r="C9" s="2" t="s">
        <v>47</v>
      </c>
      <c r="D9" s="7">
        <v>44408</v>
      </c>
      <c r="E9" s="2" t="s">
        <v>23</v>
      </c>
      <c r="F9" s="2" t="s">
        <v>24</v>
      </c>
      <c r="G9" s="2">
        <v>3</v>
      </c>
      <c r="H9" s="9" t="s">
        <v>2220</v>
      </c>
      <c r="I9" s="9"/>
      <c r="J9" s="9" t="s">
        <v>2221</v>
      </c>
      <c r="K9" s="9"/>
      <c r="L9" s="2" t="s">
        <v>1805</v>
      </c>
      <c r="M9" s="2"/>
      <c r="N9" s="2"/>
      <c r="O9" s="2"/>
    </row>
    <row r="10" spans="1:15" ht="30.75">
      <c r="A10" s="7">
        <v>44419</v>
      </c>
      <c r="B10" s="8">
        <v>94.4</v>
      </c>
      <c r="C10" s="2" t="s">
        <v>50</v>
      </c>
      <c r="D10" s="7">
        <v>44439</v>
      </c>
      <c r="E10" s="2" t="s">
        <v>23</v>
      </c>
      <c r="F10" s="2" t="s">
        <v>24</v>
      </c>
      <c r="G10" s="2">
        <v>4</v>
      </c>
      <c r="H10" s="9" t="s">
        <v>2199</v>
      </c>
      <c r="I10" s="9"/>
      <c r="J10" s="9" t="s">
        <v>2222</v>
      </c>
      <c r="K10" s="9"/>
      <c r="L10" s="2" t="s">
        <v>26</v>
      </c>
      <c r="M10" s="2"/>
      <c r="N10" s="2"/>
      <c r="O10" s="2"/>
    </row>
    <row r="11" spans="1:15" ht="30.75">
      <c r="A11" s="7">
        <v>44419</v>
      </c>
      <c r="B11" s="8" t="s">
        <v>1858</v>
      </c>
      <c r="C11" s="2" t="s">
        <v>22</v>
      </c>
      <c r="D11" s="7">
        <v>44469</v>
      </c>
      <c r="E11" s="2" t="s">
        <v>23</v>
      </c>
      <c r="F11" s="2" t="s">
        <v>24</v>
      </c>
      <c r="G11" s="2">
        <v>5</v>
      </c>
      <c r="H11" s="9" t="s">
        <v>2199</v>
      </c>
      <c r="I11" s="9"/>
      <c r="J11" s="9" t="s">
        <v>2223</v>
      </c>
      <c r="K11" s="9"/>
      <c r="L11" s="2" t="s">
        <v>26</v>
      </c>
      <c r="M11" s="2"/>
      <c r="N11" s="2"/>
      <c r="O11" s="2"/>
    </row>
    <row r="12" spans="1:15" ht="30.75">
      <c r="A12" s="7">
        <v>44419</v>
      </c>
      <c r="B12" s="8" t="s">
        <v>1858</v>
      </c>
      <c r="C12" s="2" t="s">
        <v>54</v>
      </c>
      <c r="D12" s="7">
        <v>44499</v>
      </c>
      <c r="E12" s="2" t="s">
        <v>23</v>
      </c>
      <c r="F12" s="2" t="s">
        <v>24</v>
      </c>
      <c r="G12" s="2">
        <v>6</v>
      </c>
      <c r="H12" s="9" t="s">
        <v>2199</v>
      </c>
      <c r="I12" s="9"/>
      <c r="J12" s="9" t="s">
        <v>2224</v>
      </c>
      <c r="K12" s="9"/>
      <c r="L12" s="2" t="s">
        <v>26</v>
      </c>
      <c r="M12" s="2"/>
      <c r="N12" s="2"/>
      <c r="O12" s="2"/>
    </row>
    <row r="13" spans="1:15" ht="30.75">
      <c r="A13" s="7">
        <v>44419</v>
      </c>
      <c r="B13" s="8" t="s">
        <v>1858</v>
      </c>
      <c r="C13" s="2" t="s">
        <v>27</v>
      </c>
      <c r="D13" s="7">
        <v>44530</v>
      </c>
      <c r="E13" s="2" t="s">
        <v>23</v>
      </c>
      <c r="F13" s="2" t="s">
        <v>24</v>
      </c>
      <c r="G13" s="2">
        <v>7</v>
      </c>
      <c r="H13" s="9" t="s">
        <v>2199</v>
      </c>
      <c r="I13" s="9"/>
      <c r="J13" s="9" t="s">
        <v>2225</v>
      </c>
      <c r="K13" s="9"/>
      <c r="L13" s="2" t="s">
        <v>26</v>
      </c>
      <c r="M13" s="2"/>
      <c r="N13" s="2"/>
      <c r="O13" s="2"/>
    </row>
    <row r="14" spans="1:15" ht="30.75">
      <c r="A14" s="7">
        <v>44419</v>
      </c>
      <c r="B14" s="8" t="s">
        <v>1858</v>
      </c>
      <c r="C14" s="2" t="s">
        <v>30</v>
      </c>
      <c r="D14" s="7">
        <v>44558</v>
      </c>
      <c r="E14" s="2" t="s">
        <v>23</v>
      </c>
      <c r="F14" s="2" t="s">
        <v>24</v>
      </c>
      <c r="G14" s="2">
        <v>8</v>
      </c>
      <c r="H14" s="9" t="s">
        <v>2199</v>
      </c>
      <c r="I14" s="9"/>
      <c r="J14" s="9" t="s">
        <v>2226</v>
      </c>
      <c r="K14" s="9"/>
      <c r="L14" s="2" t="s">
        <v>26</v>
      </c>
      <c r="M14" s="2"/>
      <c r="N14" s="2"/>
      <c r="O14" s="2"/>
    </row>
    <row r="15" spans="1:15" ht="30.75">
      <c r="A15" s="7">
        <v>44610</v>
      </c>
      <c r="B15" s="8" t="s">
        <v>1858</v>
      </c>
      <c r="C15" s="2" t="s">
        <v>32</v>
      </c>
      <c r="D15" s="7">
        <v>44592</v>
      </c>
      <c r="E15" s="2" t="s">
        <v>23</v>
      </c>
      <c r="F15" s="2" t="s">
        <v>24</v>
      </c>
      <c r="G15" s="2">
        <v>9</v>
      </c>
      <c r="H15" s="9" t="s">
        <v>2227</v>
      </c>
      <c r="I15" s="9"/>
      <c r="J15" s="9" t="s">
        <v>2228</v>
      </c>
      <c r="K15" s="9"/>
      <c r="L15" s="2" t="s">
        <v>56</v>
      </c>
      <c r="M15" s="2"/>
      <c r="N15" s="2"/>
      <c r="O15" s="2"/>
    </row>
    <row r="16" spans="1:15" ht="30.75">
      <c r="A16" s="7">
        <v>44610</v>
      </c>
      <c r="B16" s="8">
        <v>85</v>
      </c>
      <c r="C16" s="2" t="s">
        <v>34</v>
      </c>
      <c r="D16" s="7">
        <v>44620</v>
      </c>
      <c r="E16" s="2" t="s">
        <v>23</v>
      </c>
      <c r="F16" s="2" t="s">
        <v>24</v>
      </c>
      <c r="G16" s="2">
        <v>10</v>
      </c>
      <c r="H16" s="9" t="s">
        <v>2229</v>
      </c>
      <c r="I16" s="9"/>
      <c r="J16" s="9" t="s">
        <v>2230</v>
      </c>
      <c r="K16" s="9"/>
      <c r="L16" s="2" t="s">
        <v>56</v>
      </c>
      <c r="M16" s="2"/>
      <c r="N16" s="2"/>
      <c r="O16" s="2"/>
    </row>
    <row r="17" spans="1:15" ht="30.75">
      <c r="A17" s="7">
        <v>44610</v>
      </c>
      <c r="B17" s="8">
        <v>85</v>
      </c>
      <c r="C17" s="2" t="s">
        <v>41</v>
      </c>
      <c r="D17" s="7">
        <v>44652</v>
      </c>
      <c r="E17" s="2" t="s">
        <v>23</v>
      </c>
      <c r="F17" s="2" t="s">
        <v>24</v>
      </c>
      <c r="G17" s="2">
        <v>11</v>
      </c>
      <c r="H17" s="9" t="s">
        <v>2229</v>
      </c>
      <c r="I17" s="9"/>
      <c r="J17" s="9" t="s">
        <v>2231</v>
      </c>
      <c r="K17" s="9"/>
      <c r="L17" s="2" t="s">
        <v>56</v>
      </c>
      <c r="M17" s="2"/>
      <c r="N17" s="2"/>
      <c r="O17" s="2"/>
    </row>
    <row r="18" spans="1:15" ht="30.75">
      <c r="A18" s="7">
        <v>44610</v>
      </c>
      <c r="B18" s="8">
        <v>85</v>
      </c>
      <c r="C18" s="2" t="s">
        <v>41</v>
      </c>
      <c r="D18" s="7">
        <v>44681</v>
      </c>
      <c r="E18" s="2" t="s">
        <v>23</v>
      </c>
      <c r="F18" s="2" t="s">
        <v>24</v>
      </c>
      <c r="G18" s="2">
        <v>12</v>
      </c>
      <c r="H18" s="9" t="s">
        <v>2229</v>
      </c>
      <c r="I18" s="9"/>
      <c r="J18" s="9" t="s">
        <v>2232</v>
      </c>
      <c r="K18" s="9"/>
      <c r="L18" s="2" t="s">
        <v>56</v>
      </c>
      <c r="M18" s="2"/>
      <c r="N18" s="2"/>
      <c r="O18" s="2"/>
    </row>
    <row r="19" spans="1:15" ht="30.75">
      <c r="A19" s="7">
        <v>44610</v>
      </c>
      <c r="B19" s="8">
        <v>85</v>
      </c>
      <c r="C19" s="2" t="s">
        <v>44</v>
      </c>
      <c r="D19" s="7">
        <v>44709</v>
      </c>
      <c r="E19" s="2" t="s">
        <v>23</v>
      </c>
      <c r="F19" s="2" t="s">
        <v>24</v>
      </c>
      <c r="G19" s="2">
        <v>13</v>
      </c>
      <c r="H19" s="9" t="s">
        <v>2229</v>
      </c>
      <c r="I19" s="9"/>
      <c r="J19" s="2">
        <v>13883</v>
      </c>
      <c r="K19" s="2"/>
      <c r="L19" s="2" t="s">
        <v>56</v>
      </c>
      <c r="M19" s="2"/>
      <c r="N19" s="2"/>
      <c r="O19" s="2"/>
    </row>
    <row r="20" spans="1:15" ht="30.75">
      <c r="A20" s="7">
        <v>44610</v>
      </c>
      <c r="B20" s="8">
        <v>85</v>
      </c>
      <c r="C20" s="2" t="s">
        <v>57</v>
      </c>
      <c r="D20" s="7">
        <v>44737</v>
      </c>
      <c r="E20" s="2" t="s">
        <v>23</v>
      </c>
      <c r="F20" s="2" t="s">
        <v>24</v>
      </c>
      <c r="G20" s="2">
        <v>14</v>
      </c>
      <c r="H20" s="9" t="s">
        <v>2229</v>
      </c>
      <c r="I20" s="9"/>
      <c r="J20" s="2">
        <v>14632</v>
      </c>
      <c r="K20" s="2"/>
      <c r="L20" s="2" t="s">
        <v>56</v>
      </c>
      <c r="M20" s="2"/>
      <c r="N20" s="2"/>
      <c r="O20" s="2"/>
    </row>
    <row r="21" spans="1:15" ht="30.75">
      <c r="A21" s="7">
        <v>44610</v>
      </c>
      <c r="B21" s="8">
        <v>85</v>
      </c>
      <c r="C21" s="2" t="s">
        <v>47</v>
      </c>
      <c r="D21" s="7">
        <v>44772</v>
      </c>
      <c r="E21" s="2" t="s">
        <v>23</v>
      </c>
      <c r="F21" s="2" t="s">
        <v>24</v>
      </c>
      <c r="G21" s="2">
        <v>15</v>
      </c>
      <c r="H21" s="2">
        <v>5396</v>
      </c>
      <c r="I21" s="2"/>
      <c r="J21" s="2">
        <v>15829</v>
      </c>
      <c r="K21" s="2"/>
      <c r="L21" s="2" t="s">
        <v>56</v>
      </c>
      <c r="M21" s="2"/>
      <c r="N21" s="2"/>
      <c r="O21" s="2"/>
    </row>
    <row r="22" spans="1:15" ht="30.75">
      <c r="A22" s="7">
        <v>44610</v>
      </c>
      <c r="B22" s="8">
        <v>85</v>
      </c>
      <c r="C22" s="2" t="s">
        <v>50</v>
      </c>
      <c r="D22" s="7">
        <v>44802</v>
      </c>
      <c r="E22" s="2" t="s">
        <v>23</v>
      </c>
      <c r="F22" s="2" t="s">
        <v>24</v>
      </c>
      <c r="G22" s="2">
        <v>16</v>
      </c>
      <c r="H22" s="2">
        <v>5397</v>
      </c>
      <c r="I22" s="2"/>
      <c r="J22" s="2">
        <v>16731</v>
      </c>
      <c r="K22" s="2"/>
      <c r="L22" s="2" t="s">
        <v>56</v>
      </c>
      <c r="M22" s="2"/>
      <c r="N22" s="2"/>
      <c r="O22" s="2"/>
    </row>
    <row r="23" spans="1:15" ht="30.75">
      <c r="A23" s="7">
        <v>44610</v>
      </c>
      <c r="B23" s="8">
        <v>85</v>
      </c>
      <c r="C23" s="2" t="s">
        <v>22</v>
      </c>
      <c r="D23" s="7">
        <v>44837</v>
      </c>
      <c r="E23" s="2" t="s">
        <v>23</v>
      </c>
      <c r="F23" s="2" t="s">
        <v>24</v>
      </c>
      <c r="G23" s="2">
        <v>17</v>
      </c>
      <c r="H23" s="2">
        <v>5397</v>
      </c>
      <c r="I23" s="2"/>
      <c r="J23" s="2">
        <v>17947</v>
      </c>
      <c r="K23" s="2"/>
      <c r="L23" s="2" t="s">
        <v>56</v>
      </c>
      <c r="M23" s="2" t="s">
        <v>1300</v>
      </c>
      <c r="N23" s="2"/>
      <c r="O23" s="2"/>
    </row>
    <row r="24" spans="1:15" ht="30.75">
      <c r="A24" s="7">
        <v>44610</v>
      </c>
      <c r="B24" s="8">
        <v>85</v>
      </c>
      <c r="C24" s="2" t="s">
        <v>54</v>
      </c>
      <c r="D24" s="2" t="s">
        <v>60</v>
      </c>
      <c r="E24" s="2" t="s">
        <v>23</v>
      </c>
      <c r="F24" s="2" t="s">
        <v>24</v>
      </c>
      <c r="G24" s="2">
        <v>18</v>
      </c>
      <c r="H24" s="2">
        <v>5397</v>
      </c>
      <c r="I24" s="2"/>
      <c r="J24" s="2">
        <v>18586</v>
      </c>
      <c r="K24" s="2"/>
      <c r="L24" s="2" t="s">
        <v>56</v>
      </c>
      <c r="M24" s="2"/>
      <c r="N24" s="2"/>
      <c r="O24" s="2"/>
    </row>
    <row r="25" spans="1:15" ht="30.75">
      <c r="A25" s="7">
        <v>44610</v>
      </c>
      <c r="B25" s="8">
        <v>85</v>
      </c>
      <c r="C25" s="2" t="s">
        <v>27</v>
      </c>
      <c r="D25" s="2" t="s">
        <v>61</v>
      </c>
      <c r="E25" s="2" t="s">
        <v>23</v>
      </c>
      <c r="F25" s="2" t="s">
        <v>24</v>
      </c>
      <c r="G25" s="2">
        <v>19</v>
      </c>
      <c r="H25" s="2">
        <v>5397</v>
      </c>
      <c r="I25" s="2"/>
      <c r="J25" s="2">
        <v>19626</v>
      </c>
      <c r="K25" s="2"/>
      <c r="L25" s="2" t="s">
        <v>56</v>
      </c>
      <c r="M25" s="2"/>
      <c r="N25" s="2"/>
      <c r="O25" s="2"/>
    </row>
    <row r="26" spans="1:15" ht="30.75">
      <c r="A26" s="7">
        <v>44610</v>
      </c>
      <c r="B26" s="8">
        <v>85</v>
      </c>
      <c r="C26" s="2" t="s">
        <v>34</v>
      </c>
      <c r="D26" s="7">
        <v>45232</v>
      </c>
      <c r="E26" s="2" t="s">
        <v>23</v>
      </c>
      <c r="F26" s="2" t="s">
        <v>24</v>
      </c>
      <c r="G26" s="2">
        <v>20</v>
      </c>
      <c r="H26" s="2">
        <v>5397</v>
      </c>
      <c r="I26" s="2"/>
      <c r="J26" s="2">
        <v>21611</v>
      </c>
      <c r="K26" s="2"/>
      <c r="L26" s="2" t="s">
        <v>56</v>
      </c>
      <c r="M26" s="2"/>
      <c r="N26" s="2"/>
      <c r="O26" s="2"/>
    </row>
    <row r="27" spans="1:15" ht="30.75">
      <c r="A27" s="478" t="s">
        <v>2233</v>
      </c>
      <c r="B27" s="479">
        <v>85</v>
      </c>
      <c r="C27" s="480" t="s">
        <v>38</v>
      </c>
      <c r="D27" s="480" t="s">
        <v>1179</v>
      </c>
      <c r="E27" s="480" t="s">
        <v>23</v>
      </c>
      <c r="F27" s="480" t="s">
        <v>24</v>
      </c>
      <c r="G27" s="480">
        <v>21</v>
      </c>
      <c r="H27" s="480">
        <v>14656</v>
      </c>
      <c r="I27" s="480"/>
      <c r="J27" s="480">
        <v>22624</v>
      </c>
      <c r="K27" s="480"/>
      <c r="L27" s="480" t="s">
        <v>26</v>
      </c>
      <c r="M27" s="480"/>
      <c r="N27" s="100" t="s">
        <v>76</v>
      </c>
      <c r="O27" s="2"/>
    </row>
    <row r="28" spans="1:15" ht="30.75">
      <c r="A28" s="480" t="s">
        <v>2233</v>
      </c>
      <c r="B28" s="479">
        <v>85</v>
      </c>
      <c r="C28" s="480" t="s">
        <v>41</v>
      </c>
      <c r="D28" s="480" t="s">
        <v>1182</v>
      </c>
      <c r="E28" s="480" t="s">
        <v>23</v>
      </c>
      <c r="F28" s="480" t="s">
        <v>24</v>
      </c>
      <c r="G28" s="480">
        <v>22</v>
      </c>
      <c r="H28" s="480">
        <v>14656</v>
      </c>
      <c r="I28" s="480"/>
      <c r="J28" s="480">
        <v>20715</v>
      </c>
      <c r="K28" s="480"/>
      <c r="L28" s="480" t="s">
        <v>26</v>
      </c>
      <c r="M28" s="480"/>
      <c r="N28" s="2"/>
      <c r="O28" s="2"/>
    </row>
    <row r="29" spans="1:15" ht="30.75">
      <c r="A29" s="480" t="s">
        <v>2233</v>
      </c>
      <c r="B29" s="479">
        <v>85</v>
      </c>
      <c r="C29" s="480" t="s">
        <v>44</v>
      </c>
      <c r="D29" s="480" t="s">
        <v>1185</v>
      </c>
      <c r="E29" s="480" t="s">
        <v>23</v>
      </c>
      <c r="F29" s="480" t="s">
        <v>24</v>
      </c>
      <c r="G29" s="480">
        <v>23</v>
      </c>
      <c r="H29" s="480">
        <v>14656</v>
      </c>
      <c r="I29" s="480"/>
      <c r="J29" s="480">
        <v>24593</v>
      </c>
      <c r="K29" s="480"/>
      <c r="L29" s="480" t="s">
        <v>26</v>
      </c>
      <c r="M29" s="480"/>
      <c r="N29" s="2"/>
      <c r="O29" s="2"/>
    </row>
    <row r="30" spans="1:15" ht="30.75">
      <c r="A30" s="480" t="s">
        <v>2234</v>
      </c>
      <c r="B30" s="479">
        <v>85</v>
      </c>
      <c r="C30" s="480" t="s">
        <v>57</v>
      </c>
      <c r="D30" s="478">
        <v>45103</v>
      </c>
      <c r="E30" s="480" t="s">
        <v>23</v>
      </c>
      <c r="F30" s="480" t="s">
        <v>24</v>
      </c>
      <c r="G30" s="480">
        <v>24</v>
      </c>
      <c r="H30" s="480">
        <v>14656</v>
      </c>
      <c r="I30" s="480"/>
      <c r="J30" s="480">
        <v>25661</v>
      </c>
      <c r="K30" s="480"/>
      <c r="L30" s="480" t="s">
        <v>26</v>
      </c>
      <c r="M30" s="480"/>
      <c r="N30" s="2">
        <v>3.2</v>
      </c>
      <c r="O30" s="2"/>
    </row>
    <row r="31" spans="1:15" ht="30.75">
      <c r="A31" s="480" t="s">
        <v>2233</v>
      </c>
      <c r="B31" s="479">
        <v>85</v>
      </c>
      <c r="C31" s="480" t="s">
        <v>47</v>
      </c>
      <c r="D31" s="478">
        <v>45133</v>
      </c>
      <c r="E31" s="480" t="s">
        <v>23</v>
      </c>
      <c r="F31" s="480" t="s">
        <v>24</v>
      </c>
      <c r="G31" s="480">
        <v>25</v>
      </c>
      <c r="H31" s="480">
        <v>14656</v>
      </c>
      <c r="I31" s="480"/>
      <c r="J31" s="480">
        <v>26585</v>
      </c>
      <c r="K31" s="480"/>
      <c r="L31" s="480" t="s">
        <v>26</v>
      </c>
      <c r="M31" s="480"/>
      <c r="N31" s="2">
        <v>2.2000000000000002</v>
      </c>
      <c r="O31" s="2"/>
    </row>
    <row r="32" spans="1:15" ht="30.75">
      <c r="A32" s="480" t="s">
        <v>2233</v>
      </c>
      <c r="B32" s="479">
        <v>85</v>
      </c>
      <c r="C32" s="480" t="s">
        <v>50</v>
      </c>
      <c r="D32" s="478">
        <v>45167</v>
      </c>
      <c r="E32" s="480" t="s">
        <v>23</v>
      </c>
      <c r="F32" s="480" t="s">
        <v>24</v>
      </c>
      <c r="G32" s="480">
        <v>26</v>
      </c>
      <c r="H32" s="480">
        <v>14656</v>
      </c>
      <c r="I32" s="480"/>
      <c r="J32" s="480">
        <v>27927</v>
      </c>
      <c r="K32" s="480"/>
      <c r="L32" s="480" t="s">
        <v>26</v>
      </c>
      <c r="M32" s="480"/>
      <c r="N32" s="2">
        <v>3.2</v>
      </c>
      <c r="O32" s="2"/>
    </row>
    <row r="33" spans="1:15" ht="30.75">
      <c r="A33" s="480" t="s">
        <v>2233</v>
      </c>
      <c r="B33" s="479">
        <v>85</v>
      </c>
      <c r="C33" s="480" t="s">
        <v>22</v>
      </c>
      <c r="D33" s="478">
        <v>45197</v>
      </c>
      <c r="E33" s="480" t="s">
        <v>23</v>
      </c>
      <c r="F33" s="480" t="s">
        <v>24</v>
      </c>
      <c r="G33" s="480">
        <v>27</v>
      </c>
      <c r="H33" s="480">
        <v>14657</v>
      </c>
      <c r="I33" s="480"/>
      <c r="J33" s="480">
        <v>28890</v>
      </c>
      <c r="K33" s="480"/>
      <c r="L33" s="480" t="s">
        <v>26</v>
      </c>
      <c r="M33" s="480"/>
      <c r="N33" s="2">
        <v>2.2000000000000002</v>
      </c>
      <c r="O33" s="2"/>
    </row>
    <row r="34" spans="1:15" ht="30.75">
      <c r="A34" s="480" t="s">
        <v>2233</v>
      </c>
      <c r="B34" s="479">
        <v>85</v>
      </c>
      <c r="C34" s="480" t="s">
        <v>54</v>
      </c>
      <c r="D34" s="478">
        <v>45229</v>
      </c>
      <c r="E34" s="480" t="s">
        <v>23</v>
      </c>
      <c r="F34" s="480" t="s">
        <v>24</v>
      </c>
      <c r="G34" s="480">
        <v>28</v>
      </c>
      <c r="H34" s="480">
        <v>14657</v>
      </c>
      <c r="I34" s="480"/>
      <c r="J34" s="480">
        <v>29743</v>
      </c>
      <c r="K34" s="480"/>
      <c r="L34" s="480" t="s">
        <v>26</v>
      </c>
      <c r="M34" s="480"/>
      <c r="N34" s="2">
        <v>2.2000000000000002</v>
      </c>
      <c r="O34" s="2"/>
    </row>
    <row r="35" spans="1:15" ht="30.75">
      <c r="A35" s="480" t="s">
        <v>2233</v>
      </c>
      <c r="B35" s="479">
        <v>85</v>
      </c>
      <c r="C35" s="480" t="s">
        <v>27</v>
      </c>
      <c r="D35" s="478">
        <v>45259</v>
      </c>
      <c r="E35" s="480" t="s">
        <v>23</v>
      </c>
      <c r="F35" s="480" t="s">
        <v>24</v>
      </c>
      <c r="G35" s="480">
        <v>29</v>
      </c>
      <c r="H35" s="480">
        <v>14657</v>
      </c>
      <c r="I35" s="480"/>
      <c r="J35" s="480">
        <v>30674</v>
      </c>
      <c r="K35" s="480">
        <v>32794</v>
      </c>
      <c r="L35" s="480" t="s">
        <v>26</v>
      </c>
      <c r="M35" s="480"/>
      <c r="N35" s="2">
        <v>3</v>
      </c>
      <c r="O35" s="2"/>
    </row>
    <row r="36" spans="1:15" ht="30.75">
      <c r="A36" s="480" t="s">
        <v>2233</v>
      </c>
      <c r="B36" s="479">
        <v>85</v>
      </c>
      <c r="C36" s="480" t="s">
        <v>30</v>
      </c>
      <c r="D36" s="478">
        <v>45288</v>
      </c>
      <c r="E36" s="480" t="s">
        <v>23</v>
      </c>
      <c r="F36" s="480" t="s">
        <v>24</v>
      </c>
      <c r="G36" s="480">
        <v>30</v>
      </c>
      <c r="H36" s="480">
        <v>14657</v>
      </c>
      <c r="I36" s="480"/>
      <c r="J36" s="480">
        <v>31516</v>
      </c>
      <c r="K36" s="480">
        <v>33680</v>
      </c>
      <c r="L36" s="480" t="s">
        <v>26</v>
      </c>
      <c r="M36" s="480"/>
      <c r="N36" s="2">
        <v>3</v>
      </c>
      <c r="O36" s="2"/>
    </row>
    <row r="37" spans="1:15" ht="30.75">
      <c r="A37" s="480" t="s">
        <v>2233</v>
      </c>
      <c r="B37" s="479">
        <v>85</v>
      </c>
      <c r="C37" s="480" t="s">
        <v>32</v>
      </c>
      <c r="D37" s="478">
        <v>45321</v>
      </c>
      <c r="E37" s="480" t="s">
        <v>23</v>
      </c>
      <c r="F37" s="480" t="s">
        <v>24</v>
      </c>
      <c r="G37" s="480">
        <v>31</v>
      </c>
      <c r="H37" s="480">
        <v>14657</v>
      </c>
      <c r="I37" s="480"/>
      <c r="J37" s="480">
        <v>32498</v>
      </c>
      <c r="K37" s="480">
        <v>34553</v>
      </c>
      <c r="L37" s="480" t="s">
        <v>26</v>
      </c>
      <c r="M37" s="480"/>
      <c r="N37" s="2">
        <v>4</v>
      </c>
      <c r="O37" s="2"/>
    </row>
    <row r="38" spans="1:15" ht="30.75">
      <c r="A38" s="480" t="s">
        <v>2233</v>
      </c>
      <c r="B38" s="479">
        <v>85</v>
      </c>
      <c r="C38" s="480" t="s">
        <v>34</v>
      </c>
      <c r="D38" s="478">
        <v>45351</v>
      </c>
      <c r="E38" s="480" t="s">
        <v>23</v>
      </c>
      <c r="F38" s="480" t="s">
        <v>24</v>
      </c>
      <c r="G38" s="480">
        <v>32</v>
      </c>
      <c r="H38" s="480">
        <v>14657</v>
      </c>
      <c r="I38" s="480"/>
      <c r="J38" s="480">
        <v>33386</v>
      </c>
      <c r="K38" s="480">
        <v>35470</v>
      </c>
      <c r="L38" s="480" t="s">
        <v>26</v>
      </c>
      <c r="M38" s="480"/>
      <c r="N38" s="2">
        <v>6</v>
      </c>
      <c r="O38" s="2"/>
    </row>
    <row r="39" spans="1:15" ht="30.75">
      <c r="A39" s="7">
        <v>45363</v>
      </c>
      <c r="B39" s="479">
        <v>94.4</v>
      </c>
      <c r="C39" s="2" t="s">
        <v>38</v>
      </c>
      <c r="D39" s="7">
        <v>45378</v>
      </c>
      <c r="E39" s="480" t="s">
        <v>23</v>
      </c>
      <c r="F39" s="2" t="s">
        <v>24</v>
      </c>
      <c r="G39" s="2">
        <v>33</v>
      </c>
      <c r="H39" s="2">
        <v>23615</v>
      </c>
      <c r="I39" s="2"/>
      <c r="J39" s="2">
        <v>34233</v>
      </c>
      <c r="K39" s="2">
        <v>36281</v>
      </c>
      <c r="L39" s="2" t="s">
        <v>26</v>
      </c>
      <c r="M39" s="2"/>
      <c r="N39" s="2">
        <v>4</v>
      </c>
      <c r="O39" s="2"/>
    </row>
    <row r="40" spans="1:15" ht="30.75">
      <c r="A40" s="7">
        <v>45363</v>
      </c>
      <c r="B40" s="479">
        <v>90</v>
      </c>
      <c r="C40" s="2" t="s">
        <v>41</v>
      </c>
      <c r="D40" s="7">
        <v>45411</v>
      </c>
      <c r="E40" s="480" t="s">
        <v>23</v>
      </c>
      <c r="F40" s="2" t="s">
        <v>24</v>
      </c>
      <c r="G40" s="2"/>
      <c r="H40" s="2">
        <v>23683</v>
      </c>
      <c r="I40" s="2"/>
      <c r="J40" s="2">
        <v>35350</v>
      </c>
      <c r="K40" s="2">
        <v>37352</v>
      </c>
      <c r="L40" s="2" t="s">
        <v>26</v>
      </c>
      <c r="M40" s="2"/>
      <c r="N40" s="2">
        <v>4</v>
      </c>
      <c r="O40" s="2"/>
    </row>
    <row r="41" spans="1:15" ht="30.75">
      <c r="A41" s="7">
        <v>45363</v>
      </c>
      <c r="B41" s="479">
        <v>90</v>
      </c>
      <c r="C41" s="2" t="s">
        <v>44</v>
      </c>
      <c r="D41" s="7">
        <v>45442</v>
      </c>
      <c r="E41" s="480" t="s">
        <v>23</v>
      </c>
      <c r="F41" s="2" t="s">
        <v>24</v>
      </c>
      <c r="G41" s="2"/>
      <c r="H41" s="2">
        <v>23683</v>
      </c>
      <c r="I41" s="2"/>
      <c r="J41" s="2">
        <v>36254</v>
      </c>
      <c r="K41" s="2">
        <v>38290</v>
      </c>
      <c r="L41" s="2" t="s">
        <v>26</v>
      </c>
      <c r="M41" s="2"/>
      <c r="N41" s="2">
        <v>4</v>
      </c>
      <c r="O41" s="2"/>
    </row>
    <row r="42" spans="1:15" ht="30.75">
      <c r="A42" s="7">
        <v>45363</v>
      </c>
      <c r="B42" s="479">
        <v>90</v>
      </c>
      <c r="C42" s="2" t="s">
        <v>57</v>
      </c>
      <c r="D42" s="7">
        <v>45470</v>
      </c>
      <c r="E42" s="480" t="s">
        <v>23</v>
      </c>
      <c r="F42" s="2" t="s">
        <v>24</v>
      </c>
      <c r="G42" s="2"/>
      <c r="H42" s="2">
        <v>23683</v>
      </c>
      <c r="I42" s="2"/>
      <c r="J42" s="2">
        <v>37171</v>
      </c>
      <c r="K42" s="2">
        <v>39219</v>
      </c>
      <c r="L42" s="2" t="s">
        <v>26</v>
      </c>
      <c r="M42" s="2"/>
      <c r="N42" s="2">
        <v>4</v>
      </c>
      <c r="O42" s="2"/>
    </row>
    <row r="43" spans="1:15" ht="30.75">
      <c r="A43" s="7">
        <v>45363</v>
      </c>
      <c r="B43" s="479">
        <v>90</v>
      </c>
      <c r="C43" s="2" t="s">
        <v>47</v>
      </c>
      <c r="D43" s="7">
        <v>45503</v>
      </c>
      <c r="E43" s="480" t="s">
        <v>23</v>
      </c>
      <c r="F43" s="2" t="s">
        <v>24</v>
      </c>
      <c r="G43" s="2"/>
      <c r="H43" s="2">
        <v>23683</v>
      </c>
      <c r="I43" s="2"/>
      <c r="J43" s="2">
        <v>38142</v>
      </c>
      <c r="K43" s="2">
        <v>40281</v>
      </c>
      <c r="L43" s="2" t="s">
        <v>26</v>
      </c>
      <c r="M43" s="2"/>
      <c r="N43" s="2">
        <v>2.8</v>
      </c>
      <c r="O43" s="2"/>
    </row>
    <row r="44" spans="1:15" ht="30.75">
      <c r="A44" s="7">
        <v>45363</v>
      </c>
      <c r="B44" s="479">
        <v>90</v>
      </c>
      <c r="C44" s="2" t="s">
        <v>50</v>
      </c>
      <c r="D44" s="7">
        <v>45535</v>
      </c>
      <c r="E44" s="480" t="s">
        <v>23</v>
      </c>
      <c r="F44" s="2" t="s">
        <v>24</v>
      </c>
      <c r="G44" s="2"/>
      <c r="H44" s="2">
        <v>23683</v>
      </c>
      <c r="I44" s="2"/>
      <c r="J44" s="2">
        <v>39187</v>
      </c>
      <c r="K44" s="2">
        <v>41329</v>
      </c>
      <c r="L44" s="2" t="s">
        <v>26</v>
      </c>
      <c r="M44" s="2"/>
      <c r="N44" s="2">
        <v>10</v>
      </c>
      <c r="O44" s="2"/>
    </row>
    <row r="45" spans="1:15" ht="30.75">
      <c r="A45" s="7">
        <v>45363</v>
      </c>
      <c r="B45" s="479">
        <v>90</v>
      </c>
      <c r="C45" s="2" t="s">
        <v>22</v>
      </c>
      <c r="D45" s="7">
        <v>45565</v>
      </c>
      <c r="E45" s="480" t="s">
        <v>23</v>
      </c>
      <c r="F45" s="2" t="s">
        <v>24</v>
      </c>
      <c r="G45" s="2"/>
      <c r="H45" s="2">
        <v>23684</v>
      </c>
      <c r="I45" s="2"/>
      <c r="J45" s="2">
        <v>40233</v>
      </c>
      <c r="K45" s="2">
        <v>42386</v>
      </c>
      <c r="L45" s="2" t="s">
        <v>26</v>
      </c>
      <c r="M45" s="2"/>
      <c r="N45" s="2">
        <v>8.5</v>
      </c>
      <c r="O45" s="2"/>
    </row>
    <row r="46" spans="1:15" ht="30.75">
      <c r="A46" s="7">
        <v>45363</v>
      </c>
      <c r="B46" s="479">
        <v>90</v>
      </c>
      <c r="C46" s="2" t="s">
        <v>54</v>
      </c>
      <c r="D46" s="7">
        <v>45596</v>
      </c>
      <c r="E46" s="480" t="s">
        <v>23</v>
      </c>
      <c r="F46" s="2" t="s">
        <v>24</v>
      </c>
      <c r="G46" s="2"/>
      <c r="H46" s="2">
        <v>23684</v>
      </c>
      <c r="I46" s="2"/>
      <c r="J46" s="2">
        <v>41285</v>
      </c>
      <c r="K46" s="2">
        <v>43468</v>
      </c>
      <c r="L46" s="2" t="s">
        <v>26</v>
      </c>
      <c r="M46" s="2"/>
      <c r="N46" s="2">
        <v>4.5</v>
      </c>
      <c r="O46" s="2"/>
    </row>
    <row r="47" spans="1:15" ht="39.75" customHeight="1">
      <c r="A47" s="7">
        <v>45363</v>
      </c>
      <c r="B47" s="479">
        <v>90</v>
      </c>
      <c r="C47" s="2" t="s">
        <v>27</v>
      </c>
      <c r="D47" s="7">
        <v>45626</v>
      </c>
      <c r="E47" s="480" t="s">
        <v>23</v>
      </c>
      <c r="F47" s="2" t="s">
        <v>24</v>
      </c>
      <c r="G47" s="2"/>
      <c r="H47" s="2">
        <v>23684</v>
      </c>
      <c r="I47" s="2"/>
      <c r="J47" s="2">
        <v>42251</v>
      </c>
      <c r="K47" s="2">
        <v>44295</v>
      </c>
      <c r="L47" s="2" t="s">
        <v>26</v>
      </c>
      <c r="M47" s="2"/>
      <c r="N47" s="2">
        <v>8.5</v>
      </c>
      <c r="O47" s="2"/>
    </row>
    <row r="48" spans="1:15" ht="39.75" customHeight="1">
      <c r="A48" s="7">
        <v>45363</v>
      </c>
      <c r="B48" s="479">
        <v>90</v>
      </c>
      <c r="C48" s="2" t="s">
        <v>30</v>
      </c>
      <c r="D48" s="7">
        <v>45656</v>
      </c>
      <c r="E48" s="480" t="s">
        <v>23</v>
      </c>
      <c r="F48" s="2" t="s">
        <v>24</v>
      </c>
      <c r="G48" s="2"/>
      <c r="H48" s="2">
        <v>23684</v>
      </c>
      <c r="I48" s="2"/>
      <c r="J48" s="2">
        <v>43226</v>
      </c>
      <c r="K48" s="2">
        <v>45420</v>
      </c>
      <c r="L48" s="2" t="s">
        <v>26</v>
      </c>
      <c r="M48" s="2"/>
      <c r="N48" s="2">
        <v>5.4</v>
      </c>
      <c r="O48" s="2"/>
    </row>
    <row r="49" spans="1:15" ht="39.75" customHeight="1">
      <c r="A49" s="7">
        <v>45363</v>
      </c>
      <c r="B49" s="479">
        <v>90</v>
      </c>
      <c r="C49" s="2" t="s">
        <v>32</v>
      </c>
      <c r="D49" s="7">
        <v>45688</v>
      </c>
      <c r="E49" s="480" t="s">
        <v>23</v>
      </c>
      <c r="F49" s="2" t="s">
        <v>24</v>
      </c>
      <c r="G49" s="2"/>
      <c r="H49" s="2">
        <v>23684</v>
      </c>
      <c r="I49" s="2"/>
      <c r="J49" s="2">
        <v>44429</v>
      </c>
      <c r="K49" s="2"/>
      <c r="L49" s="2" t="s">
        <v>26</v>
      </c>
      <c r="M49" s="2"/>
      <c r="N49" s="2">
        <v>5.4</v>
      </c>
      <c r="O49" s="2"/>
    </row>
    <row r="50" spans="1:15" ht="39.75" customHeight="1">
      <c r="A50" s="7">
        <v>45363</v>
      </c>
      <c r="B50" s="479">
        <v>90</v>
      </c>
      <c r="C50" s="2" t="s">
        <v>34</v>
      </c>
      <c r="D50" s="7">
        <v>45716</v>
      </c>
      <c r="E50" s="480" t="s">
        <v>23</v>
      </c>
      <c r="F50" s="2" t="s">
        <v>24</v>
      </c>
      <c r="G50" s="2"/>
      <c r="H50" s="2">
        <v>23684</v>
      </c>
      <c r="I50" s="2"/>
      <c r="J50" s="2">
        <v>45435</v>
      </c>
      <c r="K50" s="2"/>
      <c r="L50" s="2" t="s">
        <v>26</v>
      </c>
      <c r="M50" s="2"/>
      <c r="N50" s="2">
        <v>4.5</v>
      </c>
      <c r="O50" s="2"/>
    </row>
    <row r="51" spans="1:15" ht="39.75" customHeight="1">
      <c r="A51" s="7">
        <v>45363</v>
      </c>
      <c r="B51" s="479">
        <v>90</v>
      </c>
      <c r="C51" s="2" t="s">
        <v>38</v>
      </c>
      <c r="D51" s="7">
        <v>45747</v>
      </c>
      <c r="E51" s="480" t="s">
        <v>23</v>
      </c>
      <c r="F51" s="2" t="s">
        <v>24</v>
      </c>
      <c r="G51" s="2"/>
      <c r="H51" s="2">
        <v>23684</v>
      </c>
      <c r="I51" s="100">
        <v>993</v>
      </c>
      <c r="J51" s="2">
        <v>46551</v>
      </c>
      <c r="K51" s="2"/>
      <c r="L51" s="2" t="s">
        <v>26</v>
      </c>
      <c r="M51" s="2"/>
      <c r="N51" s="2">
        <v>4.5</v>
      </c>
      <c r="O51" s="2"/>
    </row>
    <row r="52" spans="1:15" ht="39.75" customHeight="1">
      <c r="A52" s="7">
        <v>45779</v>
      </c>
      <c r="B52" s="479">
        <v>90</v>
      </c>
      <c r="C52" s="2" t="s">
        <v>41</v>
      </c>
      <c r="D52" s="121">
        <v>45777</v>
      </c>
      <c r="E52" s="558" t="s">
        <v>23</v>
      </c>
      <c r="F52" s="2" t="s">
        <v>24</v>
      </c>
      <c r="G52" s="2">
        <v>1</v>
      </c>
      <c r="H52" s="2">
        <v>33985</v>
      </c>
      <c r="I52" s="2"/>
      <c r="J52" s="2">
        <v>47634</v>
      </c>
      <c r="K52" s="2"/>
      <c r="L52" s="2" t="s">
        <v>26</v>
      </c>
      <c r="M52" s="2"/>
      <c r="N52" s="2">
        <v>2</v>
      </c>
      <c r="O52" s="2"/>
    </row>
    <row r="53" spans="1:15" ht="30.75">
      <c r="A53" s="7">
        <v>45779</v>
      </c>
      <c r="B53" s="479">
        <v>90</v>
      </c>
      <c r="C53" s="2" t="s">
        <v>44</v>
      </c>
      <c r="D53" s="568">
        <v>45808</v>
      </c>
      <c r="E53" s="558" t="s">
        <v>23</v>
      </c>
      <c r="F53" s="2" t="s">
        <v>24</v>
      </c>
      <c r="G53" s="2">
        <v>2</v>
      </c>
      <c r="H53" s="2">
        <v>33985</v>
      </c>
      <c r="I53" s="2"/>
      <c r="J53" s="2">
        <v>50028</v>
      </c>
      <c r="K53" s="2"/>
      <c r="L53" s="2" t="s">
        <v>26</v>
      </c>
      <c r="M53" s="2"/>
      <c r="N53" s="2">
        <v>2.2999999999999998</v>
      </c>
      <c r="O53" s="2"/>
    </row>
    <row r="54" spans="1:15" ht="30.75">
      <c r="A54" s="7">
        <v>45779</v>
      </c>
      <c r="B54" s="479">
        <v>90</v>
      </c>
      <c r="C54" s="2" t="s">
        <v>57</v>
      </c>
      <c r="D54" s="7">
        <v>45835</v>
      </c>
      <c r="E54" s="558" t="s">
        <v>23</v>
      </c>
      <c r="F54" s="2" t="s">
        <v>24</v>
      </c>
      <c r="G54" s="2">
        <v>3</v>
      </c>
      <c r="H54" s="2">
        <v>33985</v>
      </c>
      <c r="I54" s="2"/>
      <c r="J54" s="2">
        <v>50029</v>
      </c>
      <c r="K54" s="2"/>
      <c r="L54" s="2" t="s">
        <v>26</v>
      </c>
      <c r="M54" s="2"/>
      <c r="N54" s="2">
        <v>3.5</v>
      </c>
      <c r="O54" s="2"/>
    </row>
    <row r="55" spans="1:15" ht="30.75">
      <c r="A55" s="7">
        <v>45779</v>
      </c>
      <c r="B55" s="479">
        <v>90</v>
      </c>
      <c r="C55" s="2" t="s">
        <v>47</v>
      </c>
      <c r="D55" s="7">
        <v>45868</v>
      </c>
      <c r="E55" s="558" t="s">
        <v>23</v>
      </c>
      <c r="F55" s="2" t="s">
        <v>24</v>
      </c>
      <c r="G55" s="2">
        <v>4</v>
      </c>
      <c r="H55" s="2">
        <v>33985</v>
      </c>
      <c r="I55" s="2"/>
      <c r="J55" s="2">
        <v>50030</v>
      </c>
      <c r="K55" s="2"/>
      <c r="L55" s="2" t="s">
        <v>26</v>
      </c>
      <c r="M55" s="2"/>
      <c r="N55" s="2">
        <v>4.5</v>
      </c>
      <c r="O55" s="2"/>
    </row>
    <row r="56" spans="1:15" ht="30.75">
      <c r="A56" s="7">
        <v>45779</v>
      </c>
      <c r="B56" s="479">
        <v>90</v>
      </c>
      <c r="C56" s="2" t="s">
        <v>50</v>
      </c>
      <c r="D56" s="7">
        <v>45898</v>
      </c>
      <c r="E56" s="558" t="s">
        <v>23</v>
      </c>
      <c r="F56" s="2" t="s">
        <v>24</v>
      </c>
      <c r="G56" s="2">
        <v>5</v>
      </c>
      <c r="H56" s="2">
        <v>33985</v>
      </c>
      <c r="I56" s="2"/>
      <c r="J56" s="2">
        <v>51303</v>
      </c>
      <c r="K56" s="2"/>
      <c r="L56" s="2" t="s">
        <v>26</v>
      </c>
      <c r="M56" s="2"/>
      <c r="N56" s="2">
        <v>4.5</v>
      </c>
      <c r="O56" s="2"/>
    </row>
    <row r="57" spans="1:15" ht="30.75">
      <c r="A57" s="7">
        <v>45779</v>
      </c>
      <c r="B57" s="479">
        <v>90</v>
      </c>
      <c r="C57" s="2" t="s">
        <v>22</v>
      </c>
      <c r="D57" s="7">
        <v>45930</v>
      </c>
      <c r="E57" s="558" t="s">
        <v>23</v>
      </c>
      <c r="F57" s="2" t="s">
        <v>24</v>
      </c>
      <c r="G57" s="2">
        <v>6</v>
      </c>
      <c r="H57" s="2">
        <v>33985</v>
      </c>
      <c r="I57" s="2"/>
      <c r="J57" s="2">
        <v>52132</v>
      </c>
      <c r="K57" s="2"/>
      <c r="L57" s="2" t="s">
        <v>26</v>
      </c>
      <c r="M57" s="2"/>
      <c r="N57" s="2">
        <v>5</v>
      </c>
      <c r="O57" s="2"/>
    </row>
    <row r="58" spans="1:15" ht="30.75">
      <c r="A58" s="7">
        <v>45779</v>
      </c>
      <c r="B58" s="479">
        <v>90</v>
      </c>
      <c r="C58" s="2" t="s">
        <v>54</v>
      </c>
      <c r="D58" s="7">
        <v>45961</v>
      </c>
      <c r="E58" s="558" t="s">
        <v>23</v>
      </c>
      <c r="F58" s="2" t="s">
        <v>24</v>
      </c>
      <c r="G58" s="2">
        <v>7</v>
      </c>
      <c r="H58" s="2">
        <v>33986</v>
      </c>
      <c r="I58" s="2"/>
      <c r="J58" s="2">
        <v>53333</v>
      </c>
      <c r="K58" s="2"/>
      <c r="L58" s="2" t="s">
        <v>26</v>
      </c>
      <c r="M58" s="2"/>
      <c r="N58" s="2">
        <v>1.5</v>
      </c>
      <c r="O58" s="2"/>
    </row>
    <row r="59" spans="1:15" ht="30.75">
      <c r="A59" s="7">
        <v>45779</v>
      </c>
      <c r="B59" s="479">
        <v>90</v>
      </c>
      <c r="C59" s="2" t="s">
        <v>27</v>
      </c>
      <c r="D59" s="7">
        <v>45989</v>
      </c>
      <c r="E59" s="558" t="s">
        <v>23</v>
      </c>
      <c r="F59" s="2" t="s">
        <v>24</v>
      </c>
      <c r="G59" s="2">
        <v>8</v>
      </c>
      <c r="H59" s="2">
        <v>33986</v>
      </c>
      <c r="I59" s="2"/>
      <c r="J59" s="2">
        <v>54431</v>
      </c>
      <c r="K59" s="2"/>
      <c r="L59" s="2" t="s">
        <v>26</v>
      </c>
      <c r="M59" s="2"/>
      <c r="N59" s="2">
        <v>1.5</v>
      </c>
      <c r="O59" s="2"/>
    </row>
    <row r="60" spans="1:15" ht="30.75">
      <c r="A60" s="7">
        <v>45779</v>
      </c>
      <c r="B60" s="479">
        <v>90</v>
      </c>
      <c r="C60" s="2" t="s">
        <v>30</v>
      </c>
      <c r="D60" s="7">
        <v>46020</v>
      </c>
      <c r="E60" s="558" t="s">
        <v>23</v>
      </c>
      <c r="F60" s="2" t="s">
        <v>24</v>
      </c>
      <c r="G60" s="2">
        <v>9</v>
      </c>
      <c r="H60" s="2">
        <v>33986</v>
      </c>
      <c r="I60" s="2"/>
      <c r="J60" s="2">
        <v>55649</v>
      </c>
      <c r="K60" s="2"/>
      <c r="L60" s="2" t="s">
        <v>26</v>
      </c>
      <c r="M60" s="2"/>
      <c r="N60" s="2">
        <v>5</v>
      </c>
      <c r="O60" s="2"/>
    </row>
    <row r="61" spans="1:15" ht="30.75">
      <c r="A61" s="7">
        <v>45779</v>
      </c>
      <c r="B61" s="479">
        <v>90</v>
      </c>
      <c r="C61" s="2" t="s">
        <v>32</v>
      </c>
      <c r="D61" s="7">
        <v>46053</v>
      </c>
      <c r="E61" s="558" t="s">
        <v>23</v>
      </c>
      <c r="F61" s="2" t="s">
        <v>24</v>
      </c>
      <c r="G61" s="2">
        <v>10</v>
      </c>
      <c r="H61" s="2">
        <v>33986</v>
      </c>
      <c r="I61" s="2"/>
      <c r="J61" s="2">
        <v>56471</v>
      </c>
      <c r="K61" s="2"/>
      <c r="L61" s="2" t="s">
        <v>26</v>
      </c>
      <c r="M61" s="2"/>
      <c r="N61" s="2" t="s">
        <v>2235</v>
      </c>
      <c r="O61" s="2"/>
    </row>
    <row r="62" spans="1:15" ht="30.75">
      <c r="A62" s="7">
        <v>45779</v>
      </c>
      <c r="B62" s="479">
        <v>90</v>
      </c>
      <c r="C62" s="2" t="s">
        <v>34</v>
      </c>
      <c r="D62" s="7">
        <v>46081</v>
      </c>
      <c r="E62" s="558" t="s">
        <v>23</v>
      </c>
      <c r="F62" s="2" t="s">
        <v>24</v>
      </c>
      <c r="G62" s="2">
        <v>11</v>
      </c>
      <c r="H62" s="2">
        <v>33986</v>
      </c>
      <c r="I62" s="2"/>
      <c r="J62" s="2">
        <v>58422</v>
      </c>
      <c r="K62" s="2"/>
      <c r="L62" s="2" t="s">
        <v>26</v>
      </c>
      <c r="M62" s="2"/>
      <c r="N62" s="2">
        <v>1.8</v>
      </c>
      <c r="O62" s="2"/>
    </row>
    <row r="63" spans="1:15" ht="30.75">
      <c r="A63" s="7">
        <v>45779</v>
      </c>
      <c r="B63" s="479">
        <v>90</v>
      </c>
      <c r="C63" s="2" t="s">
        <v>38</v>
      </c>
      <c r="D63" s="7">
        <v>46112</v>
      </c>
      <c r="E63" s="558" t="s">
        <v>23</v>
      </c>
      <c r="F63" s="2" t="s">
        <v>24</v>
      </c>
      <c r="G63" s="2">
        <v>12</v>
      </c>
      <c r="H63" s="2">
        <v>33986</v>
      </c>
      <c r="I63" s="2"/>
      <c r="J63" s="2">
        <v>59569</v>
      </c>
      <c r="K63" s="2"/>
      <c r="L63" s="2" t="s">
        <v>26</v>
      </c>
      <c r="M63" s="2"/>
      <c r="N63" s="2">
        <v>2.2999999999999998</v>
      </c>
      <c r="O63" s="2"/>
    </row>
    <row r="64" spans="1:15" ht="30.75">
      <c r="A64" s="7">
        <v>46149</v>
      </c>
      <c r="B64" s="479">
        <v>90</v>
      </c>
      <c r="C64" s="2" t="s">
        <v>41</v>
      </c>
      <c r="D64" s="7">
        <v>46141</v>
      </c>
      <c r="E64" s="558" t="s">
        <v>23</v>
      </c>
      <c r="F64" s="2" t="s">
        <v>24</v>
      </c>
      <c r="G64" s="2"/>
      <c r="H64" s="2">
        <v>44156</v>
      </c>
      <c r="I64" s="2"/>
      <c r="J64" s="2">
        <v>60982</v>
      </c>
      <c r="K64" s="2"/>
      <c r="L64" s="2" t="s">
        <v>73</v>
      </c>
      <c r="M64" s="2"/>
      <c r="N64" s="2">
        <v>3.5</v>
      </c>
      <c r="O64" s="2"/>
    </row>
    <row r="65" spans="1:15" ht="30.75">
      <c r="A65" s="7">
        <v>46149</v>
      </c>
      <c r="B65" s="479">
        <v>90</v>
      </c>
      <c r="C65" s="2" t="s">
        <v>44</v>
      </c>
      <c r="D65" s="2"/>
      <c r="E65" s="558" t="s">
        <v>23</v>
      </c>
      <c r="F65" s="2" t="s">
        <v>24</v>
      </c>
      <c r="G65" s="2"/>
      <c r="H65" s="2">
        <v>44156</v>
      </c>
      <c r="I65" s="100">
        <v>1820</v>
      </c>
      <c r="J65" s="2"/>
      <c r="K65" s="2"/>
      <c r="L65" s="2" t="s">
        <v>73</v>
      </c>
      <c r="M65" s="2"/>
      <c r="N65" s="2"/>
      <c r="O65" s="100" t="s">
        <v>76</v>
      </c>
    </row>
    <row r="66" spans="1:15" ht="30.75">
      <c r="A66" s="7">
        <v>46149</v>
      </c>
      <c r="B66" s="479">
        <v>90</v>
      </c>
      <c r="C66" s="2" t="s">
        <v>57</v>
      </c>
      <c r="D66" s="2"/>
      <c r="E66" s="558" t="s">
        <v>23</v>
      </c>
      <c r="F66" s="2" t="s">
        <v>24</v>
      </c>
      <c r="G66" s="2"/>
      <c r="H66" s="2">
        <v>44156</v>
      </c>
      <c r="I66" s="2"/>
      <c r="J66" s="2"/>
      <c r="K66" s="2"/>
      <c r="L66" s="2" t="s">
        <v>73</v>
      </c>
      <c r="M66" s="2"/>
      <c r="N66" s="2"/>
      <c r="O66" s="2"/>
    </row>
    <row r="67" spans="1:15" ht="30.75">
      <c r="A67" s="7">
        <v>46149</v>
      </c>
      <c r="B67" s="479">
        <v>90</v>
      </c>
      <c r="C67" s="2" t="s">
        <v>47</v>
      </c>
      <c r="D67" s="2"/>
      <c r="E67" s="558" t="s">
        <v>23</v>
      </c>
      <c r="F67" s="2" t="s">
        <v>24</v>
      </c>
      <c r="G67" s="2"/>
      <c r="H67" s="2">
        <v>44156</v>
      </c>
      <c r="I67" s="2"/>
      <c r="J67" s="2"/>
      <c r="K67" s="2"/>
      <c r="L67" s="2" t="s">
        <v>73</v>
      </c>
      <c r="M67" s="2"/>
      <c r="N67" s="2"/>
      <c r="O67" s="2"/>
    </row>
    <row r="68" spans="1:15" ht="30.75">
      <c r="A68" s="7">
        <v>46149</v>
      </c>
      <c r="B68" s="479">
        <v>90</v>
      </c>
      <c r="C68" s="2" t="s">
        <v>50</v>
      </c>
      <c r="D68" s="2"/>
      <c r="E68" s="558" t="s">
        <v>23</v>
      </c>
      <c r="F68" s="2" t="s">
        <v>24</v>
      </c>
      <c r="G68" s="2"/>
      <c r="H68" s="2">
        <v>44156</v>
      </c>
      <c r="I68" s="2"/>
      <c r="J68" s="2"/>
      <c r="K68" s="2"/>
      <c r="L68" s="2" t="s">
        <v>73</v>
      </c>
      <c r="M68" s="2"/>
      <c r="N68" s="2"/>
      <c r="O68" s="2"/>
    </row>
    <row r="69" spans="1:15" ht="30.75">
      <c r="A69" s="7">
        <v>46149</v>
      </c>
      <c r="B69" s="479">
        <v>90</v>
      </c>
      <c r="C69" s="2" t="s">
        <v>22</v>
      </c>
      <c r="D69" s="2"/>
      <c r="E69" s="558" t="s">
        <v>23</v>
      </c>
      <c r="F69" s="2" t="s">
        <v>24</v>
      </c>
      <c r="G69" s="2"/>
      <c r="H69" s="2">
        <v>44156</v>
      </c>
      <c r="I69" s="2"/>
      <c r="J69" s="2"/>
      <c r="K69" s="2"/>
      <c r="L69" s="2" t="s">
        <v>73</v>
      </c>
      <c r="M69" s="2"/>
      <c r="N69" s="2"/>
      <c r="O69" s="2"/>
    </row>
    <row r="70" spans="1:15" ht="30.75">
      <c r="A70" s="7">
        <v>46149</v>
      </c>
      <c r="B70" s="479">
        <v>90</v>
      </c>
      <c r="C70" s="2" t="s">
        <v>54</v>
      </c>
      <c r="D70" s="2"/>
      <c r="E70" s="558" t="s">
        <v>23</v>
      </c>
      <c r="F70" s="2" t="s">
        <v>24</v>
      </c>
      <c r="G70" s="2"/>
      <c r="H70" s="2">
        <v>44157</v>
      </c>
      <c r="I70" s="2"/>
      <c r="J70" s="2"/>
      <c r="K70" s="2"/>
      <c r="L70" s="2" t="s">
        <v>73</v>
      </c>
      <c r="M70" s="2"/>
      <c r="N70" s="2"/>
      <c r="O70" s="2"/>
    </row>
    <row r="71" spans="1:15" ht="30.75">
      <c r="A71" s="7">
        <v>46149</v>
      </c>
      <c r="B71" s="479">
        <v>90</v>
      </c>
      <c r="C71" s="2" t="s">
        <v>27</v>
      </c>
      <c r="D71" s="2"/>
      <c r="E71" s="558" t="s">
        <v>23</v>
      </c>
      <c r="F71" s="2" t="s">
        <v>24</v>
      </c>
      <c r="G71" s="2"/>
      <c r="H71" s="2">
        <v>44157</v>
      </c>
      <c r="I71" s="2"/>
      <c r="J71" s="2"/>
      <c r="K71" s="2"/>
      <c r="L71" s="2" t="s">
        <v>73</v>
      </c>
      <c r="M71" s="2"/>
      <c r="N71" s="2"/>
      <c r="O71" s="2"/>
    </row>
    <row r="72" spans="1:15" ht="30.75">
      <c r="A72" s="7">
        <v>46149</v>
      </c>
      <c r="B72" s="479">
        <v>90</v>
      </c>
      <c r="C72" s="2" t="s">
        <v>30</v>
      </c>
      <c r="D72" s="2"/>
      <c r="E72" s="558" t="s">
        <v>23</v>
      </c>
      <c r="F72" s="2" t="s">
        <v>24</v>
      </c>
      <c r="G72" s="2"/>
      <c r="H72" s="2">
        <v>44157</v>
      </c>
      <c r="I72" s="2"/>
      <c r="J72" s="2"/>
      <c r="K72" s="2"/>
      <c r="L72" s="2" t="s">
        <v>73</v>
      </c>
      <c r="M72" s="2"/>
      <c r="N72" s="2"/>
      <c r="O72" s="2"/>
    </row>
    <row r="73" spans="1:15" ht="30.75">
      <c r="A73" s="7">
        <v>46149</v>
      </c>
      <c r="B73" s="479">
        <v>90</v>
      </c>
      <c r="C73" s="2" t="s">
        <v>32</v>
      </c>
      <c r="D73" s="2"/>
      <c r="E73" s="558" t="s">
        <v>23</v>
      </c>
      <c r="F73" s="2" t="s">
        <v>24</v>
      </c>
      <c r="G73" s="2"/>
      <c r="H73" s="2">
        <v>44157</v>
      </c>
      <c r="I73" s="2"/>
      <c r="J73" s="2"/>
      <c r="K73" s="2"/>
      <c r="L73" s="2" t="s">
        <v>73</v>
      </c>
      <c r="M73" s="2"/>
      <c r="N73" s="2"/>
      <c r="O73" s="2"/>
    </row>
    <row r="74" spans="1:15" ht="30.75">
      <c r="A74" s="7">
        <v>46149</v>
      </c>
      <c r="B74" s="479">
        <v>90</v>
      </c>
      <c r="C74" s="2" t="s">
        <v>34</v>
      </c>
      <c r="D74" s="2"/>
      <c r="E74" s="558" t="s">
        <v>23</v>
      </c>
      <c r="F74" s="2" t="s">
        <v>24</v>
      </c>
      <c r="G74" s="2"/>
      <c r="H74" s="2">
        <v>44157</v>
      </c>
      <c r="I74" s="2"/>
      <c r="J74" s="2"/>
      <c r="K74" s="2"/>
      <c r="L74" s="2" t="s">
        <v>73</v>
      </c>
      <c r="M74" s="2"/>
      <c r="N74" s="2"/>
      <c r="O74" s="2"/>
    </row>
    <row r="75" spans="1:15" ht="30.75">
      <c r="A75" s="7">
        <v>46149</v>
      </c>
      <c r="B75" s="479">
        <v>90</v>
      </c>
      <c r="C75" s="2" t="s">
        <v>38</v>
      </c>
      <c r="D75" s="2"/>
      <c r="E75" s="558" t="s">
        <v>23</v>
      </c>
      <c r="F75" s="2" t="s">
        <v>24</v>
      </c>
      <c r="G75" s="2"/>
      <c r="H75" s="2">
        <v>44157</v>
      </c>
      <c r="I75" s="2"/>
      <c r="J75" s="2"/>
      <c r="K75" s="2"/>
      <c r="L75" s="2" t="s">
        <v>73</v>
      </c>
      <c r="M75" s="2"/>
      <c r="N75" s="2"/>
      <c r="O75" s="2"/>
    </row>
    <row r="76" spans="1:15" ht="30.75">
      <c r="A76" s="2"/>
      <c r="B76" s="2"/>
      <c r="C76" s="2"/>
      <c r="D76" s="2"/>
      <c r="E76" s="558" t="s">
        <v>23</v>
      </c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30.75">
      <c r="A77" s="2"/>
      <c r="B77" s="2"/>
      <c r="C77" s="2"/>
      <c r="D77" s="2"/>
      <c r="E77" s="558" t="s">
        <v>23</v>
      </c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30.75">
      <c r="A78" s="2"/>
      <c r="B78" s="2"/>
      <c r="C78" s="2"/>
      <c r="D78" s="2"/>
      <c r="E78" s="558" t="s">
        <v>23</v>
      </c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30.75">
      <c r="A79" s="2"/>
      <c r="B79" s="2"/>
      <c r="C79" s="2"/>
      <c r="D79" s="2"/>
      <c r="E79" s="558" t="s">
        <v>23</v>
      </c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30.75">
      <c r="A80" s="2"/>
      <c r="B80" s="2"/>
      <c r="C80" s="2"/>
      <c r="D80" s="2"/>
      <c r="E80" s="558" t="s">
        <v>23</v>
      </c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30.75">
      <c r="A81" s="2"/>
      <c r="B81" s="2"/>
      <c r="C81" s="2"/>
      <c r="D81" s="2"/>
      <c r="E81" s="558" t="s">
        <v>23</v>
      </c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30.75">
      <c r="A82" s="2"/>
      <c r="B82" s="2"/>
      <c r="C82" s="2"/>
      <c r="D82" s="2"/>
      <c r="E82" s="558" t="s">
        <v>23</v>
      </c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30.75">
      <c r="A83" s="2"/>
      <c r="B83" s="2"/>
      <c r="C83" s="2"/>
      <c r="D83" s="2"/>
      <c r="E83" s="558" t="s">
        <v>23</v>
      </c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30.75">
      <c r="A84" s="2"/>
      <c r="B84" s="2"/>
      <c r="C84" s="2"/>
      <c r="D84" s="2"/>
      <c r="E84" s="558" t="s">
        <v>23</v>
      </c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30.75">
      <c r="A85" s="2"/>
      <c r="B85" s="2"/>
      <c r="C85" s="2"/>
      <c r="D85" s="2"/>
      <c r="E85" s="558" t="s">
        <v>23</v>
      </c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30.75">
      <c r="A86" s="2"/>
      <c r="B86" s="2"/>
      <c r="C86" s="2"/>
      <c r="D86" s="2"/>
      <c r="E86" s="558" t="s">
        <v>23</v>
      </c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30.75">
      <c r="A87" s="2"/>
      <c r="B87" s="2"/>
      <c r="C87" s="2"/>
      <c r="D87" s="2"/>
      <c r="E87" s="558" t="s">
        <v>23</v>
      </c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30.75">
      <c r="A88" s="2"/>
      <c r="B88" s="2"/>
      <c r="C88" s="2"/>
      <c r="D88" s="2"/>
      <c r="E88" s="558" t="s">
        <v>23</v>
      </c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30.75">
      <c r="A89" s="2"/>
      <c r="B89" s="2"/>
      <c r="C89" s="2"/>
      <c r="D89" s="2"/>
      <c r="E89" s="558" t="s">
        <v>23</v>
      </c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30.75">
      <c r="A90" s="2"/>
      <c r="B90" s="2"/>
      <c r="C90" s="2"/>
      <c r="D90" s="2"/>
      <c r="E90" s="558" t="s">
        <v>23</v>
      </c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30.75">
      <c r="A91" s="2"/>
      <c r="B91" s="2"/>
      <c r="C91" s="2"/>
      <c r="D91" s="2"/>
      <c r="E91" s="558" t="s">
        <v>23</v>
      </c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30.75">
      <c r="A92" s="2"/>
      <c r="B92" s="2"/>
      <c r="C92" s="2"/>
      <c r="D92" s="2"/>
      <c r="E92" s="558" t="s">
        <v>23</v>
      </c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30.75">
      <c r="A93" s="2"/>
      <c r="B93" s="2"/>
      <c r="C93" s="2"/>
      <c r="D93" s="2"/>
      <c r="E93" s="558" t="s">
        <v>23</v>
      </c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30.75">
      <c r="A94" s="2"/>
      <c r="B94" s="2"/>
      <c r="C94" s="2"/>
      <c r="D94" s="2"/>
      <c r="E94" s="558" t="s">
        <v>23</v>
      </c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30.75">
      <c r="A95" s="2"/>
      <c r="B95" s="2"/>
      <c r="C95" s="2"/>
      <c r="D95" s="2"/>
      <c r="E95" s="558" t="s">
        <v>23</v>
      </c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30.75">
      <c r="A96" s="2"/>
      <c r="B96" s="2"/>
      <c r="C96" s="2"/>
      <c r="D96" s="2"/>
      <c r="E96" s="558" t="s">
        <v>23</v>
      </c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30.75">
      <c r="A97" s="2"/>
      <c r="B97" s="2"/>
      <c r="C97" s="2"/>
      <c r="D97" s="2"/>
      <c r="E97" s="558" t="s">
        <v>23</v>
      </c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30.75">
      <c r="A98" s="2"/>
      <c r="B98" s="2"/>
      <c r="C98" s="2"/>
      <c r="D98" s="2"/>
      <c r="E98" s="558" t="s">
        <v>23</v>
      </c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30.75">
      <c r="A99" s="2"/>
      <c r="B99" s="2"/>
      <c r="C99" s="2"/>
      <c r="D99" s="2"/>
      <c r="E99" s="558" t="s">
        <v>23</v>
      </c>
      <c r="F99" s="2"/>
      <c r="G99" s="2"/>
      <c r="H99" s="2"/>
      <c r="I99" s="2"/>
      <c r="J99" s="2"/>
      <c r="K99" s="2"/>
      <c r="L99" s="2"/>
      <c r="M99" s="2"/>
      <c r="N99" s="2"/>
      <c r="O99" s="2"/>
    </row>
  </sheetData>
  <mergeCells count="5">
    <mergeCell ref="A1:E1"/>
    <mergeCell ref="B2:C2"/>
    <mergeCell ref="F4:G4"/>
    <mergeCell ref="I4:L4"/>
    <mergeCell ref="E2:M2"/>
  </mergeCells>
  <dataValidations count="2">
    <dataValidation type="list" allowBlank="1" showInputMessage="1" showErrorMessage="1" sqref="C7:C99" xr:uid="{00000000-0002-0000-2100-000000000000}">
      <formula1>"ENERO,FEBRERO,MARZO,ABRIL,MAYO,JUNIO,JULIO,AGOSTO,SEPTIEMBRE,OCTUBRE,NOVIEMBRE,DICIEMBRE"</formula1>
    </dataValidation>
    <dataValidation type="list" allowBlank="1" showInputMessage="1" showErrorMessage="1" sqref="F7:F99" xr:uid="{00000000-0002-0000-2100-000001000000}">
      <formula1>"EFECTIVO, CHEQUE, TRANSFERENCIA,DEPOSITO"</formula1>
    </dataValidation>
  </dataValidations>
  <hyperlinks>
    <hyperlink ref="E2:M2" r:id="rId1" display="clifarveteirl@hotmail.com / gotardo_55k@hotmail.com/ vetpuenteblanco@gmail.com" xr:uid="{AB8F43FC-7DEB-4C32-9FA7-9F956AE93A11}"/>
  </hyperlinks>
  <pageMargins left="0.7" right="0.7" top="0.75" bottom="0.75" header="0.3" footer="0.3"/>
  <pageSetup orientation="portrait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6620-BA57-40FB-941B-1708BFB5F711}">
  <dimension ref="A1:O50"/>
  <sheetViews>
    <sheetView topLeftCell="A26" workbookViewId="0">
      <selection activeCell="O39" sqref="O39"/>
    </sheetView>
  </sheetViews>
  <sheetFormatPr defaultColWidth="11.42578125" defaultRowHeight="15"/>
  <cols>
    <col min="2" max="2" width="18.7109375" customWidth="1"/>
    <col min="6" max="6" width="18.28515625" customWidth="1"/>
  </cols>
  <sheetData>
    <row r="1" spans="1:15" ht="21">
      <c r="A1" s="783" t="s">
        <v>2236</v>
      </c>
      <c r="B1" s="783"/>
      <c r="C1" s="783"/>
      <c r="D1" s="783"/>
      <c r="E1" s="783"/>
    </row>
    <row r="2" spans="1:15" ht="30" customHeight="1">
      <c r="A2" s="2" t="s">
        <v>93</v>
      </c>
      <c r="B2" s="638" t="s">
        <v>2237</v>
      </c>
      <c r="C2" s="638"/>
      <c r="E2" s="663" t="s">
        <v>2238</v>
      </c>
      <c r="F2" s="663"/>
      <c r="G2" s="663"/>
      <c r="H2" s="663"/>
      <c r="I2" s="663"/>
      <c r="J2" s="663"/>
      <c r="K2" s="663"/>
      <c r="L2" s="663"/>
      <c r="M2" s="663"/>
    </row>
    <row r="3" spans="1:15">
      <c r="A3" s="2" t="s">
        <v>1670</v>
      </c>
      <c r="B3" s="3">
        <v>20602683169</v>
      </c>
    </row>
    <row r="4" spans="1:15" ht="37.5">
      <c r="A4" s="221" t="s">
        <v>4</v>
      </c>
      <c r="B4" s="222">
        <v>46105</v>
      </c>
      <c r="E4" s="784" t="s">
        <v>224</v>
      </c>
      <c r="F4" s="784"/>
      <c r="G4" s="784"/>
      <c r="I4" s="785" t="s">
        <v>2239</v>
      </c>
      <c r="J4" s="785"/>
      <c r="K4" s="785"/>
      <c r="L4" s="785"/>
      <c r="M4" s="651"/>
      <c r="N4" s="651"/>
      <c r="O4" s="651"/>
    </row>
    <row r="6" spans="1:15" ht="57">
      <c r="A6" s="223" t="s">
        <v>7</v>
      </c>
      <c r="B6" s="223" t="s">
        <v>8</v>
      </c>
      <c r="C6" s="223" t="s">
        <v>9</v>
      </c>
      <c r="D6" s="223" t="s">
        <v>10</v>
      </c>
      <c r="E6" s="223" t="s">
        <v>11</v>
      </c>
      <c r="F6" s="223" t="s">
        <v>12</v>
      </c>
      <c r="G6" s="223" t="s">
        <v>13</v>
      </c>
      <c r="H6" s="223" t="s">
        <v>14</v>
      </c>
      <c r="I6" s="223" t="s">
        <v>15</v>
      </c>
      <c r="J6" s="223" t="s">
        <v>16</v>
      </c>
      <c r="K6" s="223" t="s">
        <v>99</v>
      </c>
      <c r="L6" s="223" t="s">
        <v>18</v>
      </c>
      <c r="M6" s="292" t="s">
        <v>2240</v>
      </c>
      <c r="N6" s="292" t="s">
        <v>19</v>
      </c>
    </row>
    <row r="7" spans="1:15" ht="30.75">
      <c r="A7" s="7">
        <v>44365</v>
      </c>
      <c r="B7" s="8">
        <v>150</v>
      </c>
      <c r="C7" s="2" t="s">
        <v>57</v>
      </c>
      <c r="D7" s="7">
        <v>44375</v>
      </c>
      <c r="E7" s="2" t="s">
        <v>23</v>
      </c>
      <c r="F7" s="2" t="s">
        <v>24</v>
      </c>
      <c r="G7" s="2">
        <v>1</v>
      </c>
      <c r="H7" s="9" t="s">
        <v>2241</v>
      </c>
      <c r="I7" s="9"/>
      <c r="J7" s="9"/>
      <c r="K7" s="9"/>
      <c r="L7" s="2" t="s">
        <v>26</v>
      </c>
      <c r="M7" s="2"/>
      <c r="N7" s="2"/>
    </row>
    <row r="8" spans="1:15" ht="30.75">
      <c r="A8" s="7">
        <v>44599</v>
      </c>
      <c r="B8" s="8">
        <v>150</v>
      </c>
      <c r="C8" s="2" t="s">
        <v>22</v>
      </c>
      <c r="D8" s="7">
        <v>44466</v>
      </c>
      <c r="E8" s="2" t="s">
        <v>23</v>
      </c>
      <c r="F8" s="2" t="s">
        <v>24</v>
      </c>
      <c r="G8" s="2">
        <v>2</v>
      </c>
      <c r="H8" s="9" t="s">
        <v>2242</v>
      </c>
      <c r="I8" s="9"/>
      <c r="J8" s="9" t="s">
        <v>2243</v>
      </c>
      <c r="K8" s="9"/>
      <c r="L8" s="2" t="s">
        <v>26</v>
      </c>
      <c r="M8" s="2"/>
      <c r="N8" s="2"/>
    </row>
    <row r="9" spans="1:15" ht="30.75">
      <c r="A9" s="7">
        <v>44599</v>
      </c>
      <c r="B9" s="8">
        <v>150</v>
      </c>
      <c r="C9" s="2" t="s">
        <v>34</v>
      </c>
      <c r="D9" s="7">
        <v>44596</v>
      </c>
      <c r="E9" s="2" t="s">
        <v>23</v>
      </c>
      <c r="F9" s="2" t="s">
        <v>24</v>
      </c>
      <c r="G9" s="2">
        <v>3</v>
      </c>
      <c r="H9" s="9" t="s">
        <v>2244</v>
      </c>
      <c r="I9" s="9"/>
      <c r="J9" s="9" t="s">
        <v>2245</v>
      </c>
      <c r="K9" s="9"/>
      <c r="L9" s="2" t="s">
        <v>26</v>
      </c>
      <c r="M9" s="2"/>
      <c r="N9" s="2"/>
    </row>
    <row r="10" spans="1:15" ht="30.75">
      <c r="A10" s="7">
        <v>44750</v>
      </c>
      <c r="B10" s="8">
        <v>150</v>
      </c>
      <c r="C10" s="2" t="s">
        <v>44</v>
      </c>
      <c r="D10" s="7">
        <v>44711</v>
      </c>
      <c r="E10" s="2" t="s">
        <v>23</v>
      </c>
      <c r="F10" s="2" t="s">
        <v>24</v>
      </c>
      <c r="G10" s="2">
        <v>4</v>
      </c>
      <c r="H10" s="9" t="s">
        <v>2246</v>
      </c>
      <c r="I10" s="9"/>
      <c r="J10" s="9" t="s">
        <v>2247</v>
      </c>
      <c r="K10" s="9"/>
      <c r="L10" s="2" t="s">
        <v>26</v>
      </c>
      <c r="M10" s="2"/>
      <c r="N10" s="2"/>
    </row>
    <row r="11" spans="1:15" ht="30.75">
      <c r="A11" s="7">
        <v>44783</v>
      </c>
      <c r="B11" s="8">
        <v>150</v>
      </c>
      <c r="C11" s="2" t="s">
        <v>22</v>
      </c>
      <c r="D11" s="7">
        <v>44818</v>
      </c>
      <c r="E11" s="2" t="s">
        <v>23</v>
      </c>
      <c r="F11" s="2" t="s">
        <v>24</v>
      </c>
      <c r="G11" s="2">
        <v>5</v>
      </c>
      <c r="H11" s="9" t="s">
        <v>2248</v>
      </c>
      <c r="I11" s="9"/>
      <c r="J11" s="9" t="s">
        <v>2249</v>
      </c>
      <c r="K11" s="9"/>
      <c r="L11" s="2" t="s">
        <v>26</v>
      </c>
      <c r="M11" s="2"/>
      <c r="N11" s="2"/>
    </row>
    <row r="12" spans="1:15" ht="30.75">
      <c r="A12" s="7">
        <v>44783</v>
      </c>
      <c r="B12" s="8">
        <v>150</v>
      </c>
      <c r="C12" s="2" t="s">
        <v>27</v>
      </c>
      <c r="D12" s="7">
        <v>44604</v>
      </c>
      <c r="E12" s="2" t="s">
        <v>23</v>
      </c>
      <c r="F12" s="2" t="s">
        <v>24</v>
      </c>
      <c r="G12" s="2">
        <v>6</v>
      </c>
      <c r="H12" s="9" t="s">
        <v>2248</v>
      </c>
      <c r="I12" s="9"/>
      <c r="J12" s="9" t="s">
        <v>2250</v>
      </c>
      <c r="K12" s="9"/>
      <c r="L12" s="2" t="s">
        <v>26</v>
      </c>
      <c r="M12" s="2"/>
      <c r="N12" s="2"/>
    </row>
    <row r="13" spans="1:15" ht="30.75">
      <c r="A13" s="7">
        <v>44986</v>
      </c>
      <c r="B13" s="8">
        <v>150</v>
      </c>
      <c r="C13" s="2" t="s">
        <v>30</v>
      </c>
      <c r="D13" s="2" t="s">
        <v>331</v>
      </c>
      <c r="E13" s="2" t="s">
        <v>23</v>
      </c>
      <c r="F13" s="2" t="s">
        <v>24</v>
      </c>
      <c r="G13" s="2">
        <v>7</v>
      </c>
      <c r="H13" s="9" t="s">
        <v>2251</v>
      </c>
      <c r="I13" s="9"/>
      <c r="J13" s="9" t="s">
        <v>2252</v>
      </c>
      <c r="K13" s="9"/>
      <c r="L13" s="2" t="s">
        <v>26</v>
      </c>
      <c r="M13" s="2"/>
      <c r="N13" s="2"/>
    </row>
    <row r="14" spans="1:15" ht="30.75">
      <c r="A14" s="2" t="s">
        <v>305</v>
      </c>
      <c r="B14" s="8">
        <v>150</v>
      </c>
      <c r="C14" s="2" t="s">
        <v>32</v>
      </c>
      <c r="D14" s="2" t="s">
        <v>189</v>
      </c>
      <c r="E14" s="2" t="s">
        <v>23</v>
      </c>
      <c r="F14" s="2" t="s">
        <v>28</v>
      </c>
      <c r="G14" s="2">
        <v>8</v>
      </c>
      <c r="H14" s="9" t="s">
        <v>2253</v>
      </c>
      <c r="I14" s="9"/>
      <c r="J14" s="9" t="s">
        <v>2254</v>
      </c>
      <c r="K14" s="9"/>
      <c r="L14" s="2" t="s">
        <v>26</v>
      </c>
      <c r="M14" s="2"/>
      <c r="N14" s="2"/>
    </row>
    <row r="15" spans="1:15" ht="30.75">
      <c r="A15" s="2" t="s">
        <v>69</v>
      </c>
      <c r="B15" s="8">
        <v>150</v>
      </c>
      <c r="C15" s="2" t="s">
        <v>38</v>
      </c>
      <c r="D15" s="2" t="s">
        <v>68</v>
      </c>
      <c r="E15" s="2" t="s">
        <v>23</v>
      </c>
      <c r="F15" s="2" t="s">
        <v>24</v>
      </c>
      <c r="G15" s="2">
        <v>9</v>
      </c>
      <c r="H15" s="9" t="s">
        <v>2255</v>
      </c>
      <c r="I15" s="9"/>
      <c r="J15" s="9" t="s">
        <v>2256</v>
      </c>
      <c r="K15" s="9"/>
      <c r="L15" s="2" t="s">
        <v>26</v>
      </c>
      <c r="M15" s="2"/>
      <c r="N15" s="2"/>
    </row>
    <row r="16" spans="1:15" ht="30.75">
      <c r="A16" s="2" t="s">
        <v>2092</v>
      </c>
      <c r="B16" s="8">
        <v>150</v>
      </c>
      <c r="C16" s="2" t="s">
        <v>41</v>
      </c>
      <c r="D16" s="2" t="s">
        <v>2257</v>
      </c>
      <c r="E16" s="2" t="s">
        <v>23</v>
      </c>
      <c r="F16" s="2" t="s">
        <v>28</v>
      </c>
      <c r="G16" s="2">
        <v>10</v>
      </c>
      <c r="H16" s="9" t="s">
        <v>2258</v>
      </c>
      <c r="I16" s="9"/>
      <c r="J16" s="9" t="s">
        <v>2259</v>
      </c>
      <c r="K16" s="9"/>
      <c r="L16" s="2" t="s">
        <v>26</v>
      </c>
      <c r="M16" s="2"/>
      <c r="N16" s="2"/>
    </row>
    <row r="17" spans="1:14" ht="30.75">
      <c r="A17" s="7">
        <v>45119</v>
      </c>
      <c r="B17" s="8">
        <v>150</v>
      </c>
      <c r="C17" s="2" t="s">
        <v>44</v>
      </c>
      <c r="D17" s="2" t="s">
        <v>70</v>
      </c>
      <c r="E17" s="2" t="s">
        <v>23</v>
      </c>
      <c r="F17" s="2" t="s">
        <v>24</v>
      </c>
      <c r="G17" s="2">
        <v>11</v>
      </c>
      <c r="H17" s="9" t="s">
        <v>2260</v>
      </c>
      <c r="I17" s="9"/>
      <c r="J17" s="9" t="s">
        <v>2261</v>
      </c>
      <c r="K17" s="9"/>
      <c r="L17" s="2" t="s">
        <v>26</v>
      </c>
      <c r="M17" s="2"/>
      <c r="N17" s="2"/>
    </row>
    <row r="18" spans="1:14" ht="30.75">
      <c r="A18" s="7">
        <v>45162</v>
      </c>
      <c r="B18" s="8">
        <v>150</v>
      </c>
      <c r="C18" s="2" t="s">
        <v>47</v>
      </c>
      <c r="D18" s="7">
        <v>45134</v>
      </c>
      <c r="E18" s="2" t="s">
        <v>23</v>
      </c>
      <c r="F18" s="2" t="s">
        <v>24</v>
      </c>
      <c r="G18" s="2">
        <v>12</v>
      </c>
      <c r="H18" s="9" t="s">
        <v>2262</v>
      </c>
      <c r="I18" s="9"/>
      <c r="J18" s="9" t="s">
        <v>2263</v>
      </c>
      <c r="K18" s="9"/>
      <c r="L18" s="2" t="s">
        <v>26</v>
      </c>
      <c r="M18" s="2">
        <v>6.1</v>
      </c>
      <c r="N18" s="2"/>
    </row>
    <row r="19" spans="1:14" ht="30.75">
      <c r="A19" s="7">
        <v>45260</v>
      </c>
      <c r="B19" s="8">
        <v>150</v>
      </c>
      <c r="C19" s="2" t="s">
        <v>22</v>
      </c>
      <c r="D19" s="7">
        <v>45198</v>
      </c>
      <c r="E19" s="2" t="s">
        <v>23</v>
      </c>
      <c r="F19" s="2" t="s">
        <v>24</v>
      </c>
      <c r="G19" s="2">
        <v>13</v>
      </c>
      <c r="H19" s="9" t="s">
        <v>2264</v>
      </c>
      <c r="I19" s="9"/>
      <c r="J19" s="2">
        <v>28899</v>
      </c>
      <c r="K19" s="2"/>
      <c r="L19" s="2" t="s">
        <v>26</v>
      </c>
      <c r="M19" s="2">
        <v>4</v>
      </c>
      <c r="N19" s="2"/>
    </row>
    <row r="20" spans="1:14" ht="30.75">
      <c r="A20" s="7">
        <v>45288</v>
      </c>
      <c r="B20" s="8">
        <v>150</v>
      </c>
      <c r="C20" s="2" t="s">
        <v>27</v>
      </c>
      <c r="D20" s="7">
        <v>45260</v>
      </c>
      <c r="E20" s="2" t="s">
        <v>23</v>
      </c>
      <c r="F20" s="2" t="s">
        <v>24</v>
      </c>
      <c r="G20" s="2">
        <v>14</v>
      </c>
      <c r="H20" s="9" t="s">
        <v>2265</v>
      </c>
      <c r="I20" s="9"/>
      <c r="J20" s="2">
        <v>30688</v>
      </c>
      <c r="K20" s="2">
        <v>32810</v>
      </c>
      <c r="L20" s="2" t="s">
        <v>26</v>
      </c>
      <c r="M20" s="2">
        <v>6</v>
      </c>
      <c r="N20" s="2"/>
    </row>
    <row r="21" spans="1:14" ht="30.75">
      <c r="A21" s="7">
        <v>45359</v>
      </c>
      <c r="B21" s="8">
        <v>150</v>
      </c>
      <c r="C21" s="2" t="s">
        <v>32</v>
      </c>
      <c r="D21" s="7">
        <v>45320</v>
      </c>
      <c r="E21" s="2" t="s">
        <v>23</v>
      </c>
      <c r="F21" s="2" t="s">
        <v>24</v>
      </c>
      <c r="G21" s="2">
        <v>15</v>
      </c>
      <c r="H21" s="496">
        <v>22861</v>
      </c>
      <c r="I21" s="2"/>
      <c r="J21" s="2">
        <v>33382</v>
      </c>
      <c r="K21" s="9" t="s">
        <v>2266</v>
      </c>
      <c r="L21" s="2" t="s">
        <v>26</v>
      </c>
      <c r="M21" s="2">
        <v>3.2</v>
      </c>
      <c r="N21" s="2"/>
    </row>
    <row r="22" spans="1:14" ht="30.75">
      <c r="A22" s="7">
        <v>45453</v>
      </c>
      <c r="B22" s="2">
        <v>150</v>
      </c>
      <c r="C22" s="2" t="s">
        <v>38</v>
      </c>
      <c r="D22" s="7">
        <v>45377</v>
      </c>
      <c r="E22" s="2" t="s">
        <v>23</v>
      </c>
      <c r="F22" s="2" t="s">
        <v>24</v>
      </c>
      <c r="G22" s="2">
        <v>16</v>
      </c>
      <c r="H22" s="496">
        <v>23626</v>
      </c>
      <c r="I22" s="2"/>
      <c r="J22" s="2">
        <v>34369</v>
      </c>
      <c r="K22" s="9" t="s">
        <v>2267</v>
      </c>
      <c r="L22" s="2" t="s">
        <v>26</v>
      </c>
      <c r="M22" s="2">
        <v>4</v>
      </c>
      <c r="N22" s="2"/>
    </row>
    <row r="23" spans="1:14" ht="30.75">
      <c r="A23" s="7">
        <v>45424</v>
      </c>
      <c r="B23" s="2">
        <v>150</v>
      </c>
      <c r="C23" s="2" t="s">
        <v>44</v>
      </c>
      <c r="D23" s="7">
        <v>45443</v>
      </c>
      <c r="E23" s="2" t="s">
        <v>23</v>
      </c>
      <c r="F23" s="2" t="s">
        <v>24</v>
      </c>
      <c r="G23" s="2">
        <v>17</v>
      </c>
      <c r="H23" s="496">
        <v>25124</v>
      </c>
      <c r="I23" s="2"/>
      <c r="J23" s="2">
        <v>36271</v>
      </c>
      <c r="K23" s="9" t="s">
        <v>2268</v>
      </c>
      <c r="L23" s="2" t="s">
        <v>26</v>
      </c>
      <c r="M23" s="2">
        <v>6.5</v>
      </c>
      <c r="N23" s="2"/>
    </row>
    <row r="24" spans="1:14" ht="30.75">
      <c r="A24" s="7">
        <v>45462</v>
      </c>
      <c r="B24" s="2">
        <v>150</v>
      </c>
      <c r="C24" s="2" t="s">
        <v>57</v>
      </c>
      <c r="D24" s="7">
        <v>45463</v>
      </c>
      <c r="E24" s="2" t="s">
        <v>23</v>
      </c>
      <c r="F24" s="2" t="s">
        <v>28</v>
      </c>
      <c r="G24" s="2">
        <v>18</v>
      </c>
      <c r="H24" s="496">
        <v>27478</v>
      </c>
      <c r="I24" s="2"/>
      <c r="J24" s="2">
        <v>37182</v>
      </c>
      <c r="K24" s="9" t="s">
        <v>2269</v>
      </c>
      <c r="L24" s="2" t="s">
        <v>26</v>
      </c>
      <c r="M24" s="2">
        <v>4</v>
      </c>
      <c r="N24" s="2"/>
    </row>
    <row r="25" spans="1:14" ht="30.75">
      <c r="A25" s="7">
        <v>45533</v>
      </c>
      <c r="B25" s="2">
        <v>150</v>
      </c>
      <c r="C25" s="2" t="s">
        <v>22</v>
      </c>
      <c r="D25" s="7">
        <v>45533</v>
      </c>
      <c r="E25" s="2" t="s">
        <v>23</v>
      </c>
      <c r="F25" s="2" t="s">
        <v>28</v>
      </c>
      <c r="G25" s="2">
        <v>19</v>
      </c>
      <c r="H25" s="496">
        <v>27478</v>
      </c>
      <c r="I25" s="2"/>
      <c r="J25" s="2">
        <v>39214</v>
      </c>
      <c r="K25" s="9" t="s">
        <v>2270</v>
      </c>
      <c r="L25" s="2" t="s">
        <v>26</v>
      </c>
      <c r="M25" s="2">
        <v>6.8</v>
      </c>
      <c r="N25" s="2"/>
    </row>
    <row r="26" spans="1:14" ht="30.75">
      <c r="A26" s="7">
        <v>45626</v>
      </c>
      <c r="B26" s="2">
        <v>150</v>
      </c>
      <c r="C26" s="2" t="s">
        <v>54</v>
      </c>
      <c r="D26" s="7">
        <v>45596</v>
      </c>
      <c r="E26" s="2" t="s">
        <v>23</v>
      </c>
      <c r="F26" s="2" t="s">
        <v>24</v>
      </c>
      <c r="G26" s="2">
        <v>20</v>
      </c>
      <c r="H26" s="2">
        <v>29059</v>
      </c>
      <c r="I26" s="2"/>
      <c r="J26" s="2">
        <v>41312</v>
      </c>
      <c r="K26" s="9" t="s">
        <v>2271</v>
      </c>
      <c r="L26" s="2" t="s">
        <v>73</v>
      </c>
      <c r="M26" s="2">
        <v>7.5</v>
      </c>
      <c r="N26" s="2"/>
    </row>
    <row r="27" spans="1:14" ht="30.75">
      <c r="A27" s="2" t="s">
        <v>75</v>
      </c>
      <c r="B27" s="537">
        <v>150</v>
      </c>
      <c r="C27" s="537" t="s">
        <v>30</v>
      </c>
      <c r="D27" s="549">
        <v>45654</v>
      </c>
      <c r="E27" s="537" t="s">
        <v>23</v>
      </c>
      <c r="F27" s="537"/>
      <c r="G27" s="537">
        <v>21</v>
      </c>
      <c r="H27" s="537">
        <v>30320</v>
      </c>
      <c r="I27" s="537"/>
      <c r="J27" s="537">
        <v>43154</v>
      </c>
      <c r="K27" s="538" t="s">
        <v>2272</v>
      </c>
      <c r="L27" s="2" t="s">
        <v>73</v>
      </c>
      <c r="M27" s="2">
        <v>7</v>
      </c>
      <c r="N27" s="2"/>
    </row>
    <row r="28" spans="1:14" ht="30.75">
      <c r="A28" s="537"/>
      <c r="B28" s="2">
        <v>150</v>
      </c>
      <c r="C28" s="2" t="s">
        <v>32</v>
      </c>
      <c r="D28" s="2" t="s">
        <v>75</v>
      </c>
      <c r="E28" s="2" t="s">
        <v>23</v>
      </c>
      <c r="F28" s="2" t="s">
        <v>24</v>
      </c>
      <c r="G28" s="2">
        <v>22</v>
      </c>
      <c r="H28" s="2">
        <v>31566</v>
      </c>
      <c r="I28" s="100">
        <v>955</v>
      </c>
      <c r="J28" s="2"/>
      <c r="K28" s="9"/>
      <c r="L28" s="537" t="s">
        <v>2273</v>
      </c>
      <c r="M28" s="2"/>
      <c r="N28" s="100" t="s">
        <v>76</v>
      </c>
    </row>
    <row r="29" spans="1:14" ht="30.75">
      <c r="A29" s="7">
        <v>45716</v>
      </c>
      <c r="B29" s="2">
        <v>150</v>
      </c>
      <c r="C29" s="2" t="s">
        <v>34</v>
      </c>
      <c r="D29" s="7">
        <v>45716</v>
      </c>
      <c r="E29" s="2" t="s">
        <v>23</v>
      </c>
      <c r="F29" s="2" t="s">
        <v>28</v>
      </c>
      <c r="G29" s="2">
        <v>23</v>
      </c>
      <c r="H29" s="2">
        <v>32372</v>
      </c>
      <c r="I29" s="2"/>
      <c r="J29" s="2">
        <v>45461</v>
      </c>
      <c r="K29" s="9"/>
      <c r="L29" s="2" t="s">
        <v>26</v>
      </c>
      <c r="M29" s="2">
        <v>7.5</v>
      </c>
      <c r="N29" s="2"/>
    </row>
    <row r="30" spans="1:14" ht="30.75">
      <c r="A30" s="7">
        <v>45776</v>
      </c>
      <c r="B30" s="2">
        <v>150</v>
      </c>
      <c r="C30" s="2" t="s">
        <v>41</v>
      </c>
      <c r="D30" s="7">
        <v>45776</v>
      </c>
      <c r="E30" s="2" t="s">
        <v>23</v>
      </c>
      <c r="F30" s="2" t="s">
        <v>24</v>
      </c>
      <c r="G30" s="2">
        <v>24</v>
      </c>
      <c r="H30" s="2">
        <v>33970</v>
      </c>
      <c r="I30" s="2"/>
      <c r="J30" s="2">
        <v>47617</v>
      </c>
      <c r="K30" s="9"/>
      <c r="L30" s="2" t="s">
        <v>72</v>
      </c>
      <c r="M30" s="2">
        <v>7.4</v>
      </c>
      <c r="N30" s="2"/>
    </row>
    <row r="31" spans="1:14" ht="30.75">
      <c r="A31" s="7">
        <v>45836</v>
      </c>
      <c r="B31" s="2">
        <v>150</v>
      </c>
      <c r="C31" s="2" t="s">
        <v>57</v>
      </c>
      <c r="D31" s="7">
        <v>45836</v>
      </c>
      <c r="E31" s="2" t="s">
        <v>23</v>
      </c>
      <c r="F31" s="2" t="s">
        <v>28</v>
      </c>
      <c r="G31" s="2">
        <v>25</v>
      </c>
      <c r="H31" s="2">
        <v>35708</v>
      </c>
      <c r="I31" s="2"/>
      <c r="J31" s="2">
        <v>330</v>
      </c>
      <c r="K31" s="9"/>
      <c r="L31" s="2" t="s">
        <v>26</v>
      </c>
      <c r="M31" s="2">
        <v>8</v>
      </c>
      <c r="N31" s="2"/>
    </row>
    <row r="32" spans="1:14" ht="30.75">
      <c r="A32" s="7">
        <v>45897</v>
      </c>
      <c r="B32" s="2">
        <v>150</v>
      </c>
      <c r="C32" s="2" t="s">
        <v>50</v>
      </c>
      <c r="D32" s="7">
        <v>45897</v>
      </c>
      <c r="E32" s="2" t="s">
        <v>23</v>
      </c>
      <c r="F32" s="2" t="s">
        <v>28</v>
      </c>
      <c r="G32" s="2">
        <v>26</v>
      </c>
      <c r="H32" s="2">
        <v>37254</v>
      </c>
      <c r="I32" s="2"/>
      <c r="J32" s="2">
        <v>51328</v>
      </c>
      <c r="K32" s="9"/>
      <c r="L32" s="2" t="s">
        <v>26</v>
      </c>
      <c r="M32" s="2">
        <v>4.9000000000000004</v>
      </c>
      <c r="N32" s="2"/>
    </row>
    <row r="33" spans="1:14" ht="30.75">
      <c r="A33" s="7">
        <v>45961</v>
      </c>
      <c r="B33" s="2">
        <v>150</v>
      </c>
      <c r="C33" s="2" t="s">
        <v>54</v>
      </c>
      <c r="D33" s="7">
        <v>45960</v>
      </c>
      <c r="E33" s="2" t="s">
        <v>23</v>
      </c>
      <c r="F33" s="2" t="s">
        <v>24</v>
      </c>
      <c r="G33" s="2">
        <v>27</v>
      </c>
      <c r="H33" s="2">
        <v>38967</v>
      </c>
      <c r="I33" s="2"/>
      <c r="J33" s="2">
        <v>53312</v>
      </c>
      <c r="K33" s="9"/>
      <c r="L33" s="2" t="s">
        <v>73</v>
      </c>
      <c r="M33" s="2">
        <v>7.5</v>
      </c>
      <c r="N33" s="2"/>
    </row>
    <row r="34" spans="1:14" ht="30.75">
      <c r="A34" s="7">
        <v>46018</v>
      </c>
      <c r="B34" s="2">
        <v>150</v>
      </c>
      <c r="C34" s="2" t="s">
        <v>30</v>
      </c>
      <c r="D34" s="7">
        <v>46018</v>
      </c>
      <c r="E34" s="2" t="s">
        <v>23</v>
      </c>
      <c r="F34" s="2" t="s">
        <v>28</v>
      </c>
      <c r="G34" s="2">
        <v>28</v>
      </c>
      <c r="H34" s="2">
        <v>40627</v>
      </c>
      <c r="I34" s="2"/>
      <c r="J34" s="2">
        <v>55630</v>
      </c>
      <c r="K34" s="9"/>
      <c r="L34" s="2" t="s">
        <v>26</v>
      </c>
      <c r="M34" s="2">
        <v>4</v>
      </c>
      <c r="N34" s="2"/>
    </row>
    <row r="35" spans="1:14" ht="30.75">
      <c r="A35" s="7">
        <v>46081</v>
      </c>
      <c r="B35" s="2">
        <v>150</v>
      </c>
      <c r="C35" s="2" t="s">
        <v>34</v>
      </c>
      <c r="D35" s="7">
        <v>46081</v>
      </c>
      <c r="E35" s="2" t="s">
        <v>23</v>
      </c>
      <c r="F35" s="2" t="s">
        <v>28</v>
      </c>
      <c r="G35" s="2">
        <v>29</v>
      </c>
      <c r="H35" s="2">
        <v>42435</v>
      </c>
      <c r="I35" s="2"/>
      <c r="J35" s="2">
        <v>58366</v>
      </c>
      <c r="K35" s="9"/>
      <c r="L35" s="2" t="s">
        <v>26</v>
      </c>
      <c r="M35" s="2">
        <v>4</v>
      </c>
      <c r="N35" s="2"/>
    </row>
    <row r="36" spans="1:14" ht="30.75">
      <c r="A36" s="7">
        <v>46142</v>
      </c>
      <c r="B36" s="2">
        <v>150</v>
      </c>
      <c r="C36" s="2" t="s">
        <v>41</v>
      </c>
      <c r="D36" s="7">
        <v>46142</v>
      </c>
      <c r="E36" s="2" t="s">
        <v>23</v>
      </c>
      <c r="F36" s="2" t="s">
        <v>28</v>
      </c>
      <c r="G36" s="2"/>
      <c r="H36" s="2">
        <v>44097</v>
      </c>
      <c r="I36" s="100">
        <v>1758</v>
      </c>
      <c r="J36" s="2">
        <v>60964</v>
      </c>
      <c r="K36" s="9"/>
      <c r="L36" s="2" t="s">
        <v>26</v>
      </c>
      <c r="M36" s="2">
        <v>3.8</v>
      </c>
      <c r="N36" s="100" t="s">
        <v>76</v>
      </c>
    </row>
    <row r="37" spans="1:14" ht="30.75">
      <c r="A37" s="2"/>
      <c r="B37" s="2"/>
      <c r="C37" s="2"/>
      <c r="D37" s="2"/>
      <c r="E37" s="2" t="s">
        <v>23</v>
      </c>
      <c r="F37" s="2"/>
      <c r="G37" s="2"/>
      <c r="H37" s="2"/>
      <c r="I37" s="2"/>
      <c r="J37" s="2"/>
      <c r="K37" s="9"/>
      <c r="L37" s="2"/>
      <c r="M37" s="2"/>
      <c r="N37" s="2"/>
    </row>
    <row r="38" spans="1:14" ht="30.75">
      <c r="A38" s="2"/>
      <c r="B38" s="2"/>
      <c r="C38" s="2"/>
      <c r="D38" s="2"/>
      <c r="E38" s="2" t="s">
        <v>23</v>
      </c>
      <c r="F38" s="2"/>
      <c r="G38" s="2"/>
      <c r="H38" s="2"/>
      <c r="I38" s="2"/>
      <c r="J38" s="2"/>
      <c r="K38" s="9"/>
      <c r="L38" s="2"/>
      <c r="M38" s="2"/>
      <c r="N38" s="2"/>
    </row>
    <row r="39" spans="1:14" ht="30.75">
      <c r="A39" s="2"/>
      <c r="B39" s="2"/>
      <c r="C39" s="2"/>
      <c r="D39" s="2"/>
      <c r="E39" s="2" t="s">
        <v>23</v>
      </c>
      <c r="F39" s="2"/>
      <c r="G39" s="2"/>
      <c r="H39" s="2"/>
      <c r="I39" s="2"/>
      <c r="J39" s="2"/>
      <c r="K39" s="9"/>
      <c r="L39" s="2"/>
      <c r="M39" s="2"/>
      <c r="N39" s="2"/>
    </row>
    <row r="40" spans="1:14" ht="30.75">
      <c r="A40" s="2"/>
      <c r="B40" s="2"/>
      <c r="C40" s="2"/>
      <c r="D40" s="2"/>
      <c r="E40" s="2" t="s">
        <v>23</v>
      </c>
      <c r="F40" s="2"/>
      <c r="G40" s="2"/>
      <c r="H40" s="2"/>
      <c r="I40" s="2"/>
      <c r="J40" s="2"/>
      <c r="K40" s="9"/>
      <c r="L40" s="2"/>
      <c r="M40" s="2"/>
      <c r="N40" s="2"/>
    </row>
    <row r="41" spans="1:14" ht="30.75">
      <c r="A41" s="2"/>
      <c r="B41" s="2"/>
      <c r="C41" s="2"/>
      <c r="D41" s="2"/>
      <c r="E41" s="2" t="s">
        <v>23</v>
      </c>
      <c r="F41" s="2"/>
      <c r="G41" s="2"/>
      <c r="H41" s="2"/>
      <c r="I41" s="2"/>
      <c r="J41" s="2"/>
      <c r="K41" s="9"/>
      <c r="L41" s="2"/>
      <c r="M41" s="2"/>
      <c r="N41" s="2"/>
    </row>
    <row r="42" spans="1:14" ht="30.75">
      <c r="A42" s="2"/>
      <c r="B42" s="2"/>
      <c r="C42" s="2"/>
      <c r="D42" s="2"/>
      <c r="E42" s="2" t="s">
        <v>23</v>
      </c>
      <c r="F42" s="2"/>
      <c r="G42" s="2"/>
      <c r="H42" s="2"/>
      <c r="I42" s="2"/>
      <c r="J42" s="2"/>
      <c r="K42" s="9"/>
      <c r="L42" s="2"/>
      <c r="M42" s="2"/>
      <c r="N42" s="2"/>
    </row>
    <row r="43" spans="1:14" ht="30.75">
      <c r="A43" s="2"/>
      <c r="B43" s="2"/>
      <c r="C43" s="2"/>
      <c r="D43" s="2"/>
      <c r="E43" s="2" t="s">
        <v>23</v>
      </c>
      <c r="F43" s="2"/>
      <c r="G43" s="2"/>
      <c r="H43" s="2"/>
      <c r="I43" s="2"/>
      <c r="J43" s="2"/>
      <c r="K43" s="9"/>
      <c r="L43" s="2"/>
      <c r="M43" s="2"/>
      <c r="N43" s="2"/>
    </row>
    <row r="44" spans="1:14" ht="30.75">
      <c r="A44" s="2"/>
      <c r="B44" s="2"/>
      <c r="C44" s="2"/>
      <c r="D44" s="2"/>
      <c r="E44" s="2" t="s">
        <v>23</v>
      </c>
      <c r="F44" s="2"/>
      <c r="G44" s="2"/>
      <c r="H44" s="2"/>
      <c r="I44" s="2"/>
      <c r="J44" s="2"/>
      <c r="K44" s="9"/>
      <c r="L44" s="2"/>
      <c r="M44" s="2"/>
      <c r="N44" s="2"/>
    </row>
    <row r="45" spans="1:14" ht="30.75">
      <c r="A45" s="2"/>
      <c r="B45" s="2"/>
      <c r="C45" s="2"/>
      <c r="D45" s="2"/>
      <c r="E45" s="2" t="s">
        <v>23</v>
      </c>
      <c r="F45" s="2"/>
      <c r="G45" s="2"/>
      <c r="H45" s="2"/>
      <c r="I45" s="2"/>
      <c r="J45" s="2"/>
      <c r="K45" s="9"/>
      <c r="L45" s="2"/>
      <c r="M45" s="2"/>
      <c r="N45" s="2"/>
    </row>
    <row r="46" spans="1:14" ht="30.75">
      <c r="A46" s="2"/>
      <c r="B46" s="2"/>
      <c r="C46" s="2"/>
      <c r="D46" s="2"/>
      <c r="E46" s="2" t="s">
        <v>23</v>
      </c>
      <c r="F46" s="2"/>
      <c r="G46" s="2"/>
      <c r="H46" s="2"/>
      <c r="I46" s="2"/>
      <c r="J46" s="2"/>
      <c r="K46" s="9"/>
      <c r="L46" s="2"/>
      <c r="M46" s="2"/>
      <c r="N46" s="2"/>
    </row>
    <row r="47" spans="1:14" ht="30.75">
      <c r="A47" s="2"/>
      <c r="B47" s="2"/>
      <c r="C47" s="2"/>
      <c r="D47" s="2"/>
      <c r="E47" s="2" t="s">
        <v>23</v>
      </c>
      <c r="F47" s="2"/>
      <c r="G47" s="2"/>
      <c r="H47" s="2"/>
      <c r="I47" s="2"/>
      <c r="J47" s="2"/>
      <c r="K47" s="9"/>
      <c r="L47" s="2"/>
      <c r="M47" s="2"/>
      <c r="N47" s="2"/>
    </row>
    <row r="48" spans="1:14" ht="30.75">
      <c r="A48" s="2"/>
      <c r="B48" s="2"/>
      <c r="C48" s="2"/>
      <c r="D48" s="2"/>
      <c r="E48" s="2" t="s">
        <v>23</v>
      </c>
      <c r="F48" s="2"/>
      <c r="G48" s="2"/>
      <c r="H48" s="2"/>
      <c r="I48" s="2"/>
      <c r="J48" s="2"/>
      <c r="K48" s="9"/>
      <c r="L48" s="2"/>
      <c r="M48" s="2"/>
      <c r="N48" s="2"/>
    </row>
    <row r="49" spans="1:14" ht="30.75">
      <c r="A49" s="2"/>
      <c r="B49" s="2"/>
      <c r="C49" s="2"/>
      <c r="D49" s="2"/>
      <c r="E49" s="2" t="s">
        <v>23</v>
      </c>
      <c r="F49" s="2"/>
      <c r="G49" s="2"/>
      <c r="H49" s="2"/>
      <c r="I49" s="2"/>
      <c r="J49" s="2"/>
      <c r="K49" s="9"/>
      <c r="L49" s="2"/>
      <c r="M49" s="2"/>
      <c r="N49" s="2"/>
    </row>
    <row r="50" spans="1:14" ht="30.75">
      <c r="A50" s="2"/>
      <c r="B50" s="2"/>
      <c r="C50" s="2"/>
      <c r="D50" s="2"/>
      <c r="E50" s="2" t="s">
        <v>23</v>
      </c>
      <c r="F50" s="2"/>
      <c r="G50" s="2"/>
      <c r="H50" s="2"/>
      <c r="I50" s="2"/>
      <c r="J50" s="2"/>
      <c r="K50" s="9"/>
      <c r="L50" s="2"/>
      <c r="M50" s="2"/>
      <c r="N50" s="2"/>
    </row>
  </sheetData>
  <mergeCells count="6">
    <mergeCell ref="A1:E1"/>
    <mergeCell ref="B2:C2"/>
    <mergeCell ref="E2:M2"/>
    <mergeCell ref="E4:G4"/>
    <mergeCell ref="I4:L4"/>
    <mergeCell ref="M4:O4"/>
  </mergeCells>
  <dataValidations count="2">
    <dataValidation type="list" allowBlank="1" showInputMessage="1" showErrorMessage="1" sqref="F7:F50" xr:uid="{00000000-0002-0000-2300-000001000000}">
      <formula1>"EFECTIVO, CHEQUE, TRANSFERENCIA,DEPOSITO"</formula1>
    </dataValidation>
    <dataValidation type="list" allowBlank="1" showInputMessage="1" showErrorMessage="1" sqref="C7:C50" xr:uid="{00000000-0002-0000-2300-000000000000}">
      <formula1>"ENERO,FEBRERO,MARZO,ABRIL,MAYO,JUNIO,JULIO,AGOSTO,SEPTIEMBRE,OCTUBRE,NOVIEMBRE,DICIEMBRE"</formula1>
    </dataValidation>
  </dataValidations>
  <hyperlinks>
    <hyperlink ref="E2" r:id="rId1" xr:uid="{00000000-0004-0000-2300-000000000000}"/>
    <hyperlink ref="E2:M2" r:id="rId2" display="jaimecapunaycruz@gmail.com" xr:uid="{C06C6016-9279-49BF-844E-462540505A02}"/>
  </hyperlinks>
  <pageMargins left="0.7" right="0.7" top="0.75" bottom="0.75" header="0.3" footer="0.3"/>
  <pageSetup orientation="portrait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9FDA-3466-4085-804A-A241FDA8F7FE}">
  <sheetPr>
    <tabColor rgb="FFFF0000"/>
  </sheetPr>
  <dimension ref="A1:R433"/>
  <sheetViews>
    <sheetView workbookViewId="0">
      <selection activeCell="B3" sqref="B3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2.7109375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2274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2275</v>
      </c>
      <c r="C2" s="790"/>
      <c r="D2" s="790"/>
      <c r="E2" s="790"/>
      <c r="F2" s="790"/>
      <c r="G2" s="256"/>
      <c r="H2" s="791" t="s">
        <v>224</v>
      </c>
      <c r="I2" s="791"/>
      <c r="J2" s="791"/>
      <c r="K2" s="791"/>
    </row>
    <row r="3" spans="1:14" ht="15.75">
      <c r="A3" s="2" t="s">
        <v>1</v>
      </c>
      <c r="B3" s="2">
        <v>10154498520</v>
      </c>
      <c r="F3" s="792" t="s">
        <v>2276</v>
      </c>
      <c r="G3" s="792"/>
      <c r="H3" s="792"/>
      <c r="I3" s="792"/>
      <c r="J3" s="792"/>
      <c r="K3" s="792"/>
      <c r="L3" s="792"/>
      <c r="M3" s="792"/>
    </row>
    <row r="4" spans="1:14" ht="15" customHeight="1">
      <c r="A4" s="2" t="s">
        <v>2277</v>
      </c>
      <c r="B4" s="663" t="s">
        <v>2278</v>
      </c>
      <c r="C4" s="663"/>
      <c r="D4" s="663"/>
      <c r="E4" s="663"/>
    </row>
    <row r="5" spans="1:14" ht="23.25" customHeight="1">
      <c r="A5" s="257" t="s">
        <v>4</v>
      </c>
      <c r="B5" s="786" t="s">
        <v>2279</v>
      </c>
      <c r="C5" s="787"/>
      <c r="F5" s="258"/>
      <c r="G5" s="788" t="s">
        <v>2280</v>
      </c>
      <c r="H5" s="788"/>
      <c r="I5" s="788"/>
      <c r="J5" s="788"/>
      <c r="K5" s="788"/>
      <c r="L5" s="788"/>
      <c r="M5" s="788"/>
    </row>
    <row r="9" spans="1:14" ht="56.2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18</v>
      </c>
      <c r="L9" s="265" t="s">
        <v>99</v>
      </c>
      <c r="M9" s="260"/>
      <c r="N9" s="260"/>
    </row>
    <row r="10" spans="1:14" ht="30">
      <c r="A10" s="261">
        <v>44818</v>
      </c>
      <c r="B10" s="8">
        <v>170</v>
      </c>
      <c r="C10" s="2" t="s">
        <v>22</v>
      </c>
      <c r="D10" s="153">
        <v>44468</v>
      </c>
      <c r="E10" s="2" t="s">
        <v>23</v>
      </c>
      <c r="F10" s="2" t="s">
        <v>24</v>
      </c>
      <c r="G10" s="2">
        <v>1</v>
      </c>
      <c r="H10" s="9" t="s">
        <v>2281</v>
      </c>
      <c r="I10" s="9"/>
      <c r="J10" s="9" t="s">
        <v>2282</v>
      </c>
      <c r="K10" s="2" t="s">
        <v>2283</v>
      </c>
      <c r="L10" t="s">
        <v>72</v>
      </c>
    </row>
    <row r="11" spans="1:14" ht="30">
      <c r="A11" s="7">
        <v>44818</v>
      </c>
      <c r="B11" s="8">
        <v>170</v>
      </c>
      <c r="C11" t="s">
        <v>34</v>
      </c>
      <c r="D11" s="153">
        <v>44596</v>
      </c>
      <c r="E11" s="2" t="s">
        <v>23</v>
      </c>
      <c r="F11" s="2" t="s">
        <v>24</v>
      </c>
      <c r="G11">
        <v>2</v>
      </c>
      <c r="H11" s="76" t="s">
        <v>2284</v>
      </c>
      <c r="I11" s="9"/>
      <c r="J11" s="9" t="s">
        <v>2285</v>
      </c>
      <c r="K11" s="2" t="s">
        <v>26</v>
      </c>
      <c r="L11" t="s">
        <v>72</v>
      </c>
    </row>
    <row r="12" spans="1:14" ht="30">
      <c r="A12" s="7"/>
      <c r="B12" s="8"/>
      <c r="E12" s="2" t="s">
        <v>23</v>
      </c>
      <c r="F12" s="2"/>
      <c r="H12" s="76"/>
      <c r="I12" s="9"/>
      <c r="J12" s="9"/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A67FC81E-C4DC-4B06-8CAF-CE8AC201F660}">
      <formula1>"ENERO,FEBRERO,MARZO,ABRIL,MAYO,JUNIO,JULIO,AGOSTO,SEPTIEMBRE,OCTUBRE,NOVIEMBRE,DICIEMBRE"</formula1>
    </dataValidation>
    <dataValidation type="list" allowBlank="1" showInputMessage="1" showErrorMessage="1" sqref="F10:F30" xr:uid="{98B8A158-C94D-412A-9CDA-450147B3F5A0}">
      <formula1>"EFECTIVO, CHEQUE, TRANSFERENCIA,DEPOSITO"</formula1>
    </dataValidation>
  </dataValidations>
  <hyperlinks>
    <hyperlink ref="B4:E4" r:id="rId1" display="clinicaevaleti@gmail.com" xr:uid="{D818CE52-462A-444C-9C43-16230C5CEE31}"/>
  </hyperlinks>
  <pageMargins left="0.7" right="0.7" top="0.75" bottom="0.75" header="0.3" footer="0.3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7291-FF91-45FA-96B5-1764EE638457}">
  <sheetPr>
    <tabColor rgb="FFFFC000"/>
  </sheetPr>
  <dimension ref="A1:R433"/>
  <sheetViews>
    <sheetView topLeftCell="A2" workbookViewId="0">
      <selection activeCell="L18" sqref="L18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9" width="9.140625" bestFit="1" customWidth="1"/>
    <col min="10" max="10" width="16.28515625" customWidth="1"/>
    <col min="11" max="11" width="46.85546875" customWidth="1"/>
    <col min="12" max="12" width="15.42578125" customWidth="1"/>
  </cols>
  <sheetData>
    <row r="1" spans="1:14" ht="23.25" customHeight="1">
      <c r="A1" s="789" t="s">
        <v>2288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2289</v>
      </c>
      <c r="C2" s="790"/>
      <c r="D2" s="790"/>
      <c r="E2" s="790"/>
      <c r="F2" s="790"/>
      <c r="G2" s="256"/>
      <c r="H2" s="793" t="s">
        <v>2290</v>
      </c>
      <c r="I2" s="793"/>
      <c r="J2" s="793"/>
      <c r="K2" s="793"/>
    </row>
    <row r="3" spans="1:14" ht="15.75">
      <c r="A3" s="2" t="s">
        <v>1</v>
      </c>
      <c r="B3" s="2">
        <v>20162406052</v>
      </c>
      <c r="F3" s="794" t="s">
        <v>2291</v>
      </c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663"/>
      <c r="C4" s="663"/>
      <c r="D4" s="663"/>
      <c r="E4" s="663"/>
    </row>
    <row r="5" spans="1:14" ht="23.25" customHeight="1">
      <c r="A5" s="257" t="s">
        <v>4</v>
      </c>
      <c r="B5" s="786" t="s">
        <v>36</v>
      </c>
      <c r="C5" s="787"/>
      <c r="F5" s="258"/>
      <c r="G5" s="788" t="s">
        <v>2292</v>
      </c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2293</v>
      </c>
      <c r="L9" s="265" t="s">
        <v>2294</v>
      </c>
      <c r="M9" s="260"/>
      <c r="N9" s="260"/>
    </row>
    <row r="10" spans="1:14" ht="30">
      <c r="A10" s="261" t="s">
        <v>36</v>
      </c>
      <c r="B10" s="8" t="s">
        <v>36</v>
      </c>
      <c r="C10" s="2" t="s">
        <v>54</v>
      </c>
      <c r="D10" s="153">
        <v>44489</v>
      </c>
      <c r="E10" s="2" t="s">
        <v>23</v>
      </c>
      <c r="F10" s="2"/>
      <c r="G10" s="2"/>
      <c r="H10" s="9"/>
      <c r="I10" s="9"/>
      <c r="J10" s="9" t="s">
        <v>2295</v>
      </c>
      <c r="K10" s="624">
        <v>3230</v>
      </c>
      <c r="L10">
        <v>7117</v>
      </c>
    </row>
    <row r="11" spans="1:14" ht="30">
      <c r="A11" s="7"/>
      <c r="B11" s="8"/>
      <c r="C11" t="s">
        <v>54</v>
      </c>
      <c r="D11" s="153">
        <v>44486</v>
      </c>
      <c r="E11" s="2" t="s">
        <v>23</v>
      </c>
      <c r="F11" s="2"/>
      <c r="H11" s="76"/>
      <c r="I11" s="9"/>
      <c r="J11" s="9" t="s">
        <v>2296</v>
      </c>
      <c r="K11" s="624">
        <v>4060</v>
      </c>
      <c r="L11">
        <v>7038</v>
      </c>
    </row>
    <row r="12" spans="1:14" ht="30">
      <c r="A12" s="7"/>
      <c r="B12" s="8"/>
      <c r="C12" t="s">
        <v>54</v>
      </c>
      <c r="D12" s="153">
        <v>44486</v>
      </c>
      <c r="E12" s="2" t="s">
        <v>23</v>
      </c>
      <c r="F12" s="2"/>
      <c r="H12" s="76"/>
      <c r="I12" s="9"/>
      <c r="J12" s="9" t="s">
        <v>2297</v>
      </c>
      <c r="K12" s="624">
        <v>2450</v>
      </c>
      <c r="L12">
        <v>7116</v>
      </c>
    </row>
    <row r="13" spans="1:14" ht="30">
      <c r="B13" s="154"/>
      <c r="C13" t="s">
        <v>54</v>
      </c>
      <c r="D13" s="153">
        <v>44485</v>
      </c>
      <c r="E13" s="2" t="s">
        <v>23</v>
      </c>
      <c r="H13" s="76"/>
      <c r="I13" s="9"/>
      <c r="J13" s="9" t="s">
        <v>2298</v>
      </c>
      <c r="K13" s="624">
        <v>2050</v>
      </c>
      <c r="L13">
        <v>7022</v>
      </c>
    </row>
    <row r="14" spans="1:14" ht="30">
      <c r="B14" s="154"/>
      <c r="C14" t="s">
        <v>27</v>
      </c>
      <c r="D14" s="153">
        <v>44513</v>
      </c>
      <c r="E14" s="2" t="s">
        <v>23</v>
      </c>
      <c r="H14" s="76"/>
      <c r="I14" s="9"/>
      <c r="J14" s="9" t="s">
        <v>2299</v>
      </c>
      <c r="K14" s="624">
        <v>4750</v>
      </c>
      <c r="L14">
        <v>27486</v>
      </c>
    </row>
    <row r="15" spans="1:14" ht="30">
      <c r="B15" s="154"/>
      <c r="C15" t="s">
        <v>27</v>
      </c>
      <c r="D15" s="153">
        <v>44514</v>
      </c>
      <c r="E15" s="2" t="s">
        <v>23</v>
      </c>
      <c r="H15" s="76"/>
      <c r="I15" s="9"/>
      <c r="J15" s="9" t="s">
        <v>2300</v>
      </c>
      <c r="K15" s="625">
        <v>7670</v>
      </c>
      <c r="L15">
        <v>27487</v>
      </c>
      <c r="N15" t="s">
        <v>36</v>
      </c>
    </row>
    <row r="16" spans="1:14" ht="30">
      <c r="A16" s="7"/>
      <c r="B16" s="8"/>
      <c r="C16" s="2" t="s">
        <v>27</v>
      </c>
      <c r="D16" s="7">
        <v>44515</v>
      </c>
      <c r="E16" s="2" t="s">
        <v>23</v>
      </c>
      <c r="F16" s="2"/>
      <c r="G16" s="2"/>
      <c r="H16" s="76"/>
      <c r="I16" s="9"/>
      <c r="J16" s="9" t="s">
        <v>2301</v>
      </c>
      <c r="K16" s="271">
        <v>1560</v>
      </c>
      <c r="L16">
        <v>27488</v>
      </c>
    </row>
    <row r="17" spans="1:18" ht="30">
      <c r="A17" s="7"/>
      <c r="B17" s="8"/>
      <c r="C17" t="s">
        <v>27</v>
      </c>
      <c r="D17" s="153">
        <v>44516</v>
      </c>
      <c r="E17" s="2" t="s">
        <v>23</v>
      </c>
      <c r="F17" s="2"/>
      <c r="H17" s="76"/>
      <c r="I17" s="9"/>
      <c r="J17" s="9" t="s">
        <v>2302</v>
      </c>
      <c r="K17" s="272">
        <v>3950</v>
      </c>
      <c r="L17">
        <v>7837</v>
      </c>
      <c r="R17" t="s">
        <v>36</v>
      </c>
    </row>
    <row r="18" spans="1:18" ht="30">
      <c r="B18" s="154"/>
      <c r="C18" t="s">
        <v>27</v>
      </c>
      <c r="D18" s="153">
        <v>44518</v>
      </c>
      <c r="E18" s="2" t="s">
        <v>23</v>
      </c>
      <c r="H18" s="76"/>
      <c r="I18" s="9"/>
      <c r="J18" s="9" t="s">
        <v>2303</v>
      </c>
      <c r="K18" s="272">
        <v>8050</v>
      </c>
      <c r="L18">
        <v>7839</v>
      </c>
    </row>
    <row r="19" spans="1:18" ht="30">
      <c r="B19" s="154"/>
      <c r="C19" t="s">
        <v>27</v>
      </c>
      <c r="D19" s="153">
        <v>44520</v>
      </c>
      <c r="E19" s="2" t="s">
        <v>23</v>
      </c>
      <c r="H19" s="76"/>
      <c r="I19" s="9"/>
      <c r="J19" s="9" t="s">
        <v>2304</v>
      </c>
      <c r="K19" s="272">
        <v>7190</v>
      </c>
      <c r="L19">
        <v>7840</v>
      </c>
    </row>
    <row r="20" spans="1:18" ht="30">
      <c r="B20" s="154"/>
      <c r="C20" t="s">
        <v>30</v>
      </c>
      <c r="D20" s="153">
        <v>44558</v>
      </c>
      <c r="E20" s="2" t="s">
        <v>23</v>
      </c>
      <c r="H20" s="76"/>
      <c r="I20" s="9"/>
      <c r="J20" s="9" t="s">
        <v>2305</v>
      </c>
      <c r="K20" s="272">
        <v>3610</v>
      </c>
      <c r="L20">
        <v>9302</v>
      </c>
    </row>
    <row r="21" spans="1:18" ht="30">
      <c r="B21" s="154"/>
      <c r="C21" t="s">
        <v>30</v>
      </c>
      <c r="D21" s="153">
        <v>44558</v>
      </c>
      <c r="E21" s="2" t="s">
        <v>23</v>
      </c>
      <c r="H21" s="76"/>
      <c r="I21" s="9"/>
      <c r="J21" s="9" t="s">
        <v>2306</v>
      </c>
      <c r="K21" s="272">
        <v>7090</v>
      </c>
      <c r="L21">
        <v>9301</v>
      </c>
    </row>
    <row r="22" spans="1:18" ht="30">
      <c r="C22" t="s">
        <v>30</v>
      </c>
      <c r="D22" s="153">
        <v>44558</v>
      </c>
      <c r="E22" s="2" t="s">
        <v>23</v>
      </c>
      <c r="H22" s="76"/>
      <c r="I22" s="9"/>
      <c r="J22" s="9" t="s">
        <v>2307</v>
      </c>
      <c r="K22" s="272">
        <v>3375</v>
      </c>
      <c r="L22">
        <v>9303</v>
      </c>
    </row>
    <row r="23" spans="1:18" ht="30">
      <c r="C23" t="s">
        <v>30</v>
      </c>
      <c r="D23" s="153">
        <v>44557</v>
      </c>
      <c r="E23" s="2" t="s">
        <v>23</v>
      </c>
      <c r="H23" s="76"/>
      <c r="I23" s="9"/>
      <c r="J23" s="9" t="s">
        <v>2308</v>
      </c>
      <c r="K23" s="272">
        <v>7810</v>
      </c>
      <c r="L23">
        <v>7842</v>
      </c>
    </row>
    <row r="24" spans="1:18" ht="30">
      <c r="C24" t="s">
        <v>30</v>
      </c>
      <c r="D24" s="153">
        <v>44537</v>
      </c>
      <c r="E24" s="2" t="s">
        <v>23</v>
      </c>
      <c r="H24" s="76"/>
      <c r="I24" s="9"/>
      <c r="J24" s="9" t="s">
        <v>2309</v>
      </c>
      <c r="K24" s="272">
        <v>6050</v>
      </c>
      <c r="L24">
        <v>7841</v>
      </c>
    </row>
    <row r="25" spans="1:18" ht="30">
      <c r="C25" t="s">
        <v>30</v>
      </c>
      <c r="D25" s="153">
        <v>44549</v>
      </c>
      <c r="E25" s="2" t="s">
        <v>23</v>
      </c>
      <c r="H25" s="76"/>
      <c r="I25" s="9"/>
      <c r="J25" s="9" t="s">
        <v>2310</v>
      </c>
      <c r="K25" s="272">
        <v>6660</v>
      </c>
      <c r="L25">
        <v>7838</v>
      </c>
    </row>
    <row r="26" spans="1:18" ht="30">
      <c r="D26" s="153" t="s">
        <v>36</v>
      </c>
      <c r="E26" s="2" t="s">
        <v>23</v>
      </c>
      <c r="H26" s="76"/>
      <c r="I26" s="9"/>
      <c r="J26" t="s">
        <v>36</v>
      </c>
      <c r="K26" s="272" t="s">
        <v>36</v>
      </c>
    </row>
    <row r="27" spans="1:18">
      <c r="H27" s="76"/>
      <c r="I27" s="9"/>
      <c r="K27" s="270"/>
    </row>
    <row r="28" spans="1:18">
      <c r="H28" s="76"/>
      <c r="I28" s="9"/>
      <c r="K28" s="270"/>
    </row>
    <row r="29" spans="1:18">
      <c r="H29" s="76"/>
      <c r="I29" s="9"/>
      <c r="K29" s="270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692F58BB-A345-4481-BB3D-9491A51C1EFC}">
      <formula1>"ENERO,FEBRERO,MARZO,ABRIL,MAYO,JUNIO,JULIO,AGOSTO,SEPTIEMBRE,OCTUBRE,NOVIEMBRE,DICIEMBRE"</formula1>
    </dataValidation>
    <dataValidation type="list" allowBlank="1" showInputMessage="1" showErrorMessage="1" sqref="F10:F30" xr:uid="{72358F2B-60E5-428A-93C9-2683BEEE071E}">
      <formula1>"EFECTIVO, CHEQUE, TRANSFERENCIA,DEPOSITO"</formula1>
    </dataValidation>
  </dataValidation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3939-E9A1-4B51-8140-68B89E4CAEE0}">
  <sheetPr>
    <tabColor rgb="FFFF0000"/>
  </sheetPr>
  <dimension ref="A1:R435"/>
  <sheetViews>
    <sheetView topLeftCell="A14" workbookViewId="0">
      <selection activeCell="A23" sqref="A23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15.7109375" customWidth="1"/>
    <col min="6" max="6" width="15.5703125" customWidth="1"/>
    <col min="7" max="10" width="9.140625" bestFit="1" customWidth="1"/>
    <col min="11" max="11" width="15.28515625" customWidth="1"/>
    <col min="12" max="12" width="15.140625" customWidth="1"/>
  </cols>
  <sheetData>
    <row r="1" spans="1:14" ht="23.25" customHeight="1">
      <c r="A1" s="748" t="s">
        <v>2311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2312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>
      <c r="A3" s="2" t="s">
        <v>1</v>
      </c>
      <c r="B3" s="2">
        <v>20604944768</v>
      </c>
      <c r="F3" s="639" t="s">
        <v>2313</v>
      </c>
      <c r="G3" s="639"/>
      <c r="H3" s="639"/>
      <c r="I3" s="639"/>
      <c r="J3" s="639"/>
      <c r="K3" s="639"/>
      <c r="L3" s="639"/>
      <c r="M3" s="639"/>
    </row>
    <row r="4" spans="1:14" ht="15" customHeight="1">
      <c r="A4" s="2" t="s">
        <v>2277</v>
      </c>
      <c r="B4" s="663" t="s">
        <v>2314</v>
      </c>
      <c r="C4" s="663"/>
      <c r="D4" s="663"/>
      <c r="E4" s="663"/>
    </row>
    <row r="5" spans="1:14" ht="23.25" customHeight="1">
      <c r="A5" s="257" t="s">
        <v>4</v>
      </c>
      <c r="B5" s="786" t="s">
        <v>2315</v>
      </c>
      <c r="C5" s="787"/>
      <c r="E5" s="290" t="s">
        <v>1125</v>
      </c>
      <c r="F5" s="258"/>
      <c r="G5" s="788" t="s">
        <v>2316</v>
      </c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18</v>
      </c>
      <c r="L9" s="265" t="s">
        <v>99</v>
      </c>
      <c r="M9" s="260"/>
      <c r="N9" s="260"/>
    </row>
    <row r="10" spans="1:14" ht="56.25">
      <c r="A10" s="309">
        <v>44621</v>
      </c>
      <c r="B10" s="286">
        <v>236</v>
      </c>
      <c r="C10" s="2" t="s">
        <v>27</v>
      </c>
      <c r="D10" s="153">
        <v>44530</v>
      </c>
      <c r="E10" s="2" t="s">
        <v>23</v>
      </c>
      <c r="F10" s="286" t="s">
        <v>24</v>
      </c>
      <c r="G10" s="286">
        <v>1</v>
      </c>
      <c r="H10" s="287" t="s">
        <v>2317</v>
      </c>
      <c r="I10" s="286"/>
      <c r="J10" s="286">
        <v>7971</v>
      </c>
      <c r="K10" s="2" t="s">
        <v>26</v>
      </c>
      <c r="M10" s="260"/>
      <c r="N10" s="260"/>
    </row>
    <row r="11" spans="1:14" ht="30">
      <c r="A11" s="266">
        <v>44621</v>
      </c>
      <c r="B11" s="8">
        <v>236</v>
      </c>
      <c r="C11" s="2" t="s">
        <v>30</v>
      </c>
      <c r="D11" s="153">
        <v>44560</v>
      </c>
      <c r="E11" s="2" t="s">
        <v>23</v>
      </c>
      <c r="F11" s="2" t="s">
        <v>24</v>
      </c>
      <c r="G11" s="2">
        <v>2</v>
      </c>
      <c r="H11" s="9" t="s">
        <v>2318</v>
      </c>
      <c r="I11" s="9"/>
      <c r="J11" s="9" t="s">
        <v>2319</v>
      </c>
      <c r="K11" s="2" t="s">
        <v>26</v>
      </c>
    </row>
    <row r="12" spans="1:14" ht="30">
      <c r="A12" s="7">
        <v>44621</v>
      </c>
      <c r="B12" s="8">
        <v>236</v>
      </c>
      <c r="C12" t="s">
        <v>32</v>
      </c>
      <c r="D12" s="153">
        <v>44592</v>
      </c>
      <c r="E12" s="2" t="s">
        <v>23</v>
      </c>
      <c r="F12" s="2" t="s">
        <v>24</v>
      </c>
      <c r="G12">
        <v>3</v>
      </c>
      <c r="H12" s="76" t="s">
        <v>2320</v>
      </c>
      <c r="I12" s="9"/>
      <c r="J12" s="9" t="s">
        <v>2321</v>
      </c>
      <c r="K12" s="2" t="s">
        <v>26</v>
      </c>
    </row>
    <row r="13" spans="1:14" ht="31.5" customHeight="1">
      <c r="A13" s="7">
        <v>44636</v>
      </c>
      <c r="B13" s="8">
        <v>236</v>
      </c>
      <c r="C13" t="s">
        <v>34</v>
      </c>
      <c r="D13" s="153">
        <v>44621</v>
      </c>
      <c r="E13" s="2" t="s">
        <v>23</v>
      </c>
      <c r="F13" s="2" t="s">
        <v>24</v>
      </c>
      <c r="G13">
        <v>4</v>
      </c>
      <c r="H13" s="76" t="s">
        <v>2322</v>
      </c>
      <c r="I13" s="9"/>
      <c r="J13" s="9" t="s">
        <v>2323</v>
      </c>
      <c r="K13" s="2" t="s">
        <v>26</v>
      </c>
      <c r="L13" s="267"/>
    </row>
    <row r="14" spans="1:14" ht="30">
      <c r="A14" s="153">
        <v>44715</v>
      </c>
      <c r="B14" s="8">
        <v>236</v>
      </c>
      <c r="C14" t="s">
        <v>38</v>
      </c>
      <c r="D14" s="153">
        <v>44652</v>
      </c>
      <c r="E14" s="2" t="s">
        <v>23</v>
      </c>
      <c r="F14" s="2" t="s">
        <v>24</v>
      </c>
      <c r="G14">
        <v>4</v>
      </c>
      <c r="H14" s="76" t="s">
        <v>2324</v>
      </c>
      <c r="I14" s="9"/>
      <c r="J14" s="9" t="s">
        <v>2325</v>
      </c>
      <c r="K14" s="2" t="s">
        <v>26</v>
      </c>
    </row>
    <row r="15" spans="1:14" ht="30">
      <c r="A15" s="153">
        <v>44715</v>
      </c>
      <c r="B15" s="154">
        <v>236</v>
      </c>
      <c r="C15" t="s">
        <v>41</v>
      </c>
      <c r="D15" s="153">
        <v>44681</v>
      </c>
      <c r="E15" s="2" t="s">
        <v>23</v>
      </c>
      <c r="F15" t="s">
        <v>24</v>
      </c>
      <c r="G15">
        <v>5</v>
      </c>
      <c r="H15" s="76" t="s">
        <v>2326</v>
      </c>
      <c r="I15" s="9"/>
      <c r="J15" s="9" t="s">
        <v>2327</v>
      </c>
      <c r="K15" s="2" t="s">
        <v>26</v>
      </c>
    </row>
    <row r="16" spans="1:14" ht="30">
      <c r="A16" s="153">
        <v>44715</v>
      </c>
      <c r="B16" s="154">
        <v>236</v>
      </c>
      <c r="C16" t="s">
        <v>44</v>
      </c>
      <c r="D16" s="175">
        <v>44709</v>
      </c>
      <c r="E16" s="2" t="s">
        <v>23</v>
      </c>
      <c r="F16" t="s">
        <v>24</v>
      </c>
      <c r="G16">
        <v>6</v>
      </c>
      <c r="H16" s="76" t="s">
        <v>2328</v>
      </c>
      <c r="I16" s="9"/>
      <c r="J16" s="9" t="s">
        <v>2329</v>
      </c>
      <c r="K16" s="2" t="s">
        <v>26</v>
      </c>
    </row>
    <row r="17" spans="1:18" ht="30">
      <c r="A17" s="153">
        <v>44810</v>
      </c>
      <c r="B17" s="154">
        <v>236</v>
      </c>
      <c r="C17" t="s">
        <v>57</v>
      </c>
      <c r="D17" s="153">
        <v>44740</v>
      </c>
      <c r="E17" s="2" t="s">
        <v>23</v>
      </c>
      <c r="F17" t="s">
        <v>24</v>
      </c>
      <c r="G17">
        <v>7</v>
      </c>
      <c r="H17" s="76" t="s">
        <v>2330</v>
      </c>
      <c r="I17" s="9"/>
      <c r="J17" s="9" t="s">
        <v>2331</v>
      </c>
      <c r="K17" s="2" t="s">
        <v>26</v>
      </c>
      <c r="N17" t="s">
        <v>36</v>
      </c>
    </row>
    <row r="18" spans="1:18" ht="30">
      <c r="A18" s="7">
        <v>44810</v>
      </c>
      <c r="B18" s="8">
        <v>236</v>
      </c>
      <c r="C18" s="2" t="s">
        <v>47</v>
      </c>
      <c r="D18" s="7">
        <v>44774</v>
      </c>
      <c r="E18" s="2" t="s">
        <v>23</v>
      </c>
      <c r="F18" s="2" t="s">
        <v>24</v>
      </c>
      <c r="G18" s="2">
        <v>8</v>
      </c>
      <c r="H18" s="76" t="s">
        <v>2332</v>
      </c>
      <c r="I18" s="9"/>
      <c r="J18" s="9" t="s">
        <v>2333</v>
      </c>
      <c r="K18" s="2" t="s">
        <v>26</v>
      </c>
    </row>
    <row r="19" spans="1:18" ht="30.75">
      <c r="A19" s="7" t="s">
        <v>2334</v>
      </c>
      <c r="B19" s="8">
        <v>236</v>
      </c>
      <c r="C19" t="s">
        <v>50</v>
      </c>
      <c r="D19" s="153">
        <v>44805</v>
      </c>
      <c r="E19" s="2" t="s">
        <v>23</v>
      </c>
      <c r="F19" s="2" t="s">
        <v>24</v>
      </c>
      <c r="G19">
        <v>9</v>
      </c>
      <c r="H19" s="76" t="s">
        <v>2335</v>
      </c>
      <c r="I19" s="9"/>
      <c r="J19" s="9" t="s">
        <v>2336</v>
      </c>
      <c r="K19" t="s">
        <v>26</v>
      </c>
      <c r="R19" t="s">
        <v>36</v>
      </c>
    </row>
    <row r="20" spans="1:18" ht="30.75">
      <c r="A20" t="s">
        <v>743</v>
      </c>
      <c r="B20" s="154">
        <v>236</v>
      </c>
      <c r="C20" t="s">
        <v>22</v>
      </c>
      <c r="D20" s="153">
        <v>44630</v>
      </c>
      <c r="E20" s="2" t="s">
        <v>23</v>
      </c>
      <c r="F20" t="s">
        <v>24</v>
      </c>
      <c r="G20">
        <v>10</v>
      </c>
      <c r="H20" s="76" t="s">
        <v>2337</v>
      </c>
      <c r="I20" s="9"/>
      <c r="J20" s="9" t="s">
        <v>2338</v>
      </c>
      <c r="K20" t="s">
        <v>26</v>
      </c>
    </row>
    <row r="21" spans="1:18" ht="30.75">
      <c r="A21" s="153">
        <v>44693</v>
      </c>
      <c r="B21" s="154">
        <v>236</v>
      </c>
      <c r="C21" t="s">
        <v>54</v>
      </c>
      <c r="D21" t="s">
        <v>745</v>
      </c>
      <c r="E21" s="2" t="s">
        <v>23</v>
      </c>
      <c r="F21" t="s">
        <v>24</v>
      </c>
      <c r="G21">
        <v>11</v>
      </c>
      <c r="H21" s="76" t="s">
        <v>2339</v>
      </c>
      <c r="I21" s="9"/>
      <c r="J21" s="9" t="s">
        <v>2340</v>
      </c>
      <c r="K21" t="s">
        <v>26</v>
      </c>
    </row>
    <row r="22" spans="1:18">
      <c r="B22" s="154"/>
      <c r="E22" s="2"/>
      <c r="H22" s="76"/>
      <c r="I22" s="9"/>
      <c r="J22" s="9"/>
    </row>
    <row r="23" spans="1:18">
      <c r="B23" s="154"/>
      <c r="E23" s="2"/>
      <c r="H23" s="76"/>
      <c r="I23" s="9"/>
      <c r="J23" s="9"/>
    </row>
    <row r="24" spans="1:18">
      <c r="E24" s="2"/>
      <c r="H24" s="76"/>
      <c r="I24" s="9"/>
      <c r="J24" s="9"/>
    </row>
    <row r="25" spans="1:18">
      <c r="E25" s="2"/>
      <c r="H25" s="76"/>
      <c r="I25" s="9"/>
      <c r="J25" s="9"/>
    </row>
    <row r="26" spans="1:18">
      <c r="E26" s="2"/>
      <c r="H26" s="76"/>
      <c r="I26" s="9"/>
      <c r="J26" s="9"/>
    </row>
    <row r="27" spans="1:18">
      <c r="E27" s="2"/>
      <c r="H27" s="76"/>
      <c r="I27" s="9"/>
      <c r="J27" s="9"/>
    </row>
    <row r="28" spans="1:18">
      <c r="E28" s="2"/>
      <c r="H28" s="76"/>
      <c r="I28" s="9"/>
    </row>
    <row r="29" spans="1:18">
      <c r="H29" s="76"/>
      <c r="I29" s="9"/>
    </row>
    <row r="30" spans="1:18">
      <c r="H30" s="76"/>
      <c r="I30" s="9"/>
    </row>
    <row r="31" spans="1:18">
      <c r="H31" s="76"/>
      <c r="I31" s="9"/>
    </row>
    <row r="32" spans="1:18">
      <c r="H32" s="76"/>
      <c r="I32" s="9"/>
    </row>
    <row r="435" spans="2:3">
      <c r="B435" t="s">
        <v>2286</v>
      </c>
      <c r="C435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2" xr:uid="{AB24C734-E63E-471F-B495-C4A8826974E1}">
      <formula1>"ENERO,FEBRERO,MARZO,ABRIL,MAYO,JUNIO,JULIO,AGOSTO,SEPTIEMBRE,OCTUBRE,NOVIEMBRE,DICIEMBRE"</formula1>
    </dataValidation>
    <dataValidation type="list" allowBlank="1" showInputMessage="1" showErrorMessage="1" sqref="F10:F32" xr:uid="{B6679708-81C3-4B37-BD04-C9D6412EA409}">
      <formula1>"EFECTIVO, CHEQUE, TRANSFERENCIA,DEPOSITO"</formula1>
    </dataValidation>
  </dataValidations>
  <hyperlinks>
    <hyperlink ref="F3:M3" r:id="rId1" display="contabilidad@resodunas.com" xr:uid="{FD617C72-0A45-4AF2-A08F-CFF17FB19FAE}"/>
    <hyperlink ref="B4:E4" r:id="rId2" display="rayalaroxy@gmail.com" xr:uid="{8A081C27-4CCB-4B09-B79E-1568CB44728F}"/>
  </hyperlinks>
  <pageMargins left="0.7" right="0.7" top="0.75" bottom="0.75" header="0.3" footer="0.3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043B-8195-480A-BD5A-5AEE114F370F}">
  <sheetPr>
    <tabColor rgb="FFFF0000"/>
  </sheetPr>
  <dimension ref="A1:R433"/>
  <sheetViews>
    <sheetView topLeftCell="A5" workbookViewId="0">
      <selection activeCell="A13" sqref="A13:XFD13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2341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2342</v>
      </c>
      <c r="C2" s="790"/>
      <c r="D2" s="790"/>
      <c r="E2" s="790"/>
      <c r="F2" s="790"/>
      <c r="G2" s="256"/>
      <c r="H2" s="795" t="s">
        <v>2343</v>
      </c>
      <c r="I2" s="795"/>
      <c r="J2" s="795"/>
      <c r="K2" s="795"/>
    </row>
    <row r="3" spans="1:14" ht="15.75">
      <c r="A3" s="2" t="s">
        <v>1</v>
      </c>
      <c r="B3" s="2">
        <v>20605408924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2344</v>
      </c>
      <c r="C4" s="796"/>
      <c r="D4" s="796"/>
      <c r="E4" s="796"/>
    </row>
    <row r="5" spans="1:14" ht="23.25" customHeight="1">
      <c r="A5" s="257" t="s">
        <v>4</v>
      </c>
      <c r="B5" s="786" t="s">
        <v>2345</v>
      </c>
      <c r="C5" s="787"/>
      <c r="F5" s="258"/>
      <c r="G5" s="788" t="s">
        <v>2346</v>
      </c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18</v>
      </c>
      <c r="M9" s="260"/>
      <c r="N9" s="260"/>
    </row>
    <row r="10" spans="1:14" ht="30">
      <c r="A10" s="266" t="s">
        <v>2347</v>
      </c>
      <c r="B10" s="8">
        <v>80</v>
      </c>
      <c r="C10" s="2" t="s">
        <v>27</v>
      </c>
      <c r="D10" s="153">
        <v>44530</v>
      </c>
      <c r="E10" s="2" t="s">
        <v>23</v>
      </c>
      <c r="F10" s="2" t="s">
        <v>24</v>
      </c>
      <c r="G10" s="2">
        <v>1</v>
      </c>
      <c r="H10" s="9" t="s">
        <v>2348</v>
      </c>
      <c r="I10" s="9"/>
      <c r="J10" s="9" t="s">
        <v>2349</v>
      </c>
      <c r="K10" s="2" t="s">
        <v>26</v>
      </c>
    </row>
    <row r="11" spans="1:14" ht="30">
      <c r="A11" s="7">
        <v>44611</v>
      </c>
      <c r="B11" s="8">
        <v>80</v>
      </c>
      <c r="C11" t="s">
        <v>30</v>
      </c>
      <c r="D11" s="153">
        <v>44558</v>
      </c>
      <c r="E11" s="2" t="s">
        <v>23</v>
      </c>
      <c r="F11" s="2" t="s">
        <v>24</v>
      </c>
      <c r="G11">
        <v>2</v>
      </c>
      <c r="H11" s="76" t="s">
        <v>2350</v>
      </c>
      <c r="I11" s="9"/>
      <c r="J11" s="9" t="s">
        <v>2351</v>
      </c>
      <c r="K11" s="2" t="s">
        <v>26</v>
      </c>
    </row>
    <row r="12" spans="1:14" ht="30">
      <c r="A12" s="7">
        <v>44611</v>
      </c>
      <c r="B12" s="8">
        <v>80</v>
      </c>
      <c r="C12" t="s">
        <v>32</v>
      </c>
      <c r="D12" s="153">
        <v>44592</v>
      </c>
      <c r="E12" s="2" t="s">
        <v>23</v>
      </c>
      <c r="F12" s="2" t="s">
        <v>24</v>
      </c>
      <c r="G12">
        <v>3</v>
      </c>
      <c r="H12" s="76" t="s">
        <v>2352</v>
      </c>
      <c r="I12" s="9"/>
      <c r="J12" s="9" t="s">
        <v>2353</v>
      </c>
      <c r="K12" s="2" t="s">
        <v>26</v>
      </c>
    </row>
    <row r="13" spans="1:14" ht="30">
      <c r="B13" s="154">
        <v>80</v>
      </c>
      <c r="C13" t="s">
        <v>34</v>
      </c>
      <c r="D13" s="153">
        <v>44620</v>
      </c>
      <c r="E13" s="2" t="s">
        <v>23</v>
      </c>
      <c r="F13" t="s">
        <v>24</v>
      </c>
      <c r="G13">
        <v>4</v>
      </c>
      <c r="H13" s="76" t="s">
        <v>2354</v>
      </c>
      <c r="I13" s="9"/>
      <c r="J13" s="9" t="s">
        <v>2355</v>
      </c>
      <c r="K13" s="2" t="s">
        <v>2356</v>
      </c>
    </row>
    <row r="14" spans="1:14" ht="30">
      <c r="B14" s="154">
        <v>80</v>
      </c>
      <c r="C14" t="s">
        <v>38</v>
      </c>
      <c r="D14" s="153">
        <v>44652</v>
      </c>
      <c r="E14" s="2" t="s">
        <v>23</v>
      </c>
      <c r="F14" t="s">
        <v>24</v>
      </c>
      <c r="G14">
        <v>5</v>
      </c>
      <c r="H14" s="76" t="s">
        <v>2357</v>
      </c>
      <c r="I14" s="9"/>
      <c r="J14" s="9" t="s">
        <v>2358</v>
      </c>
      <c r="K14" s="2" t="s">
        <v>2356</v>
      </c>
    </row>
    <row r="15" spans="1:14" ht="30">
      <c r="B15" s="154">
        <v>80</v>
      </c>
      <c r="C15" t="s">
        <v>41</v>
      </c>
      <c r="D15" s="153">
        <v>44681</v>
      </c>
      <c r="E15" s="2" t="s">
        <v>23</v>
      </c>
      <c r="F15" t="s">
        <v>24</v>
      </c>
      <c r="G15">
        <v>6</v>
      </c>
      <c r="H15" s="76" t="s">
        <v>2359</v>
      </c>
      <c r="I15" s="9"/>
      <c r="J15" s="9" t="s">
        <v>2360</v>
      </c>
      <c r="K15" s="2" t="s">
        <v>2356</v>
      </c>
      <c r="N15" t="s">
        <v>36</v>
      </c>
    </row>
    <row r="16" spans="1:14" ht="30">
      <c r="A16" s="7"/>
      <c r="B16" s="8">
        <v>80</v>
      </c>
      <c r="C16" s="2" t="s">
        <v>44</v>
      </c>
      <c r="D16" s="7">
        <v>44709</v>
      </c>
      <c r="E16" s="2" t="s">
        <v>23</v>
      </c>
      <c r="F16" s="2" t="s">
        <v>24</v>
      </c>
      <c r="G16" s="2">
        <v>7</v>
      </c>
      <c r="H16" s="76" t="s">
        <v>2361</v>
      </c>
      <c r="I16" s="9"/>
      <c r="J16" s="9" t="s">
        <v>2362</v>
      </c>
      <c r="K16" s="2" t="s">
        <v>2356</v>
      </c>
    </row>
    <row r="17" spans="1:18" ht="30">
      <c r="A17" s="7"/>
      <c r="B17" s="8">
        <v>80</v>
      </c>
      <c r="C17" t="s">
        <v>57</v>
      </c>
      <c r="D17" s="153">
        <v>44737</v>
      </c>
      <c r="E17" s="2" t="s">
        <v>23</v>
      </c>
      <c r="F17" s="2" t="s">
        <v>24</v>
      </c>
      <c r="G17">
        <v>8</v>
      </c>
      <c r="H17" s="76" t="s">
        <v>2361</v>
      </c>
      <c r="I17" s="9"/>
      <c r="J17" s="9" t="s">
        <v>2363</v>
      </c>
      <c r="K17" t="s">
        <v>2356</v>
      </c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3DA3415A-5193-4ECF-A518-6DF81ABFCD42}">
      <formula1>"ENERO,FEBRERO,MARZO,ABRIL,MAYO,JUNIO,JULIO,AGOSTO,SEPTIEMBRE,OCTUBRE,NOVIEMBRE,DICIEMBRE"</formula1>
    </dataValidation>
    <dataValidation type="list" allowBlank="1" showInputMessage="1" showErrorMessage="1" sqref="F10:F30" xr:uid="{5F8CD5BC-F662-4FD8-9AA3-67D8D125CC7A}">
      <formula1>"EFECTIVO, CHEQUE, TRANSFERENCIA,DEPOSITO"</formula1>
    </dataValidation>
  </dataValidations>
  <hyperlinks>
    <hyperlink ref="B4:E4" r:id="rId1" display="Jr_2080@hotmail.com" xr:uid="{21AD342F-455F-4C1C-B635-43E141715DEB}"/>
  </hyperlinks>
  <pageMargins left="0.7" right="0.7" top="0.75" bottom="0.75" header="0.3" footer="0.3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97142-FF9D-4D9A-95D7-4D21211566B9}">
  <sheetPr>
    <tabColor rgb="FFFF0000"/>
  </sheetPr>
  <dimension ref="A1:R433"/>
  <sheetViews>
    <sheetView workbookViewId="0">
      <selection activeCell="B3" sqref="B3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7" width="14" customWidth="1"/>
    <col min="8" max="10" width="9.140625" bestFit="1" customWidth="1"/>
    <col min="11" max="11" width="15.28515625" customWidth="1"/>
    <col min="12" max="12" width="10.140625" customWidth="1"/>
    <col min="13" max="13" width="13.85546875" customWidth="1"/>
  </cols>
  <sheetData>
    <row r="1" spans="1:14" ht="23.25" customHeight="1">
      <c r="A1" s="789" t="s">
        <v>2364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663" t="s">
        <v>36</v>
      </c>
      <c r="C2" s="663"/>
      <c r="D2" s="663"/>
      <c r="E2" s="663"/>
      <c r="F2" s="663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20535045829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2365</v>
      </c>
      <c r="C4" s="796"/>
      <c r="D4" s="796"/>
      <c r="E4" s="796"/>
    </row>
    <row r="5" spans="1:14" ht="23.25" customHeight="1">
      <c r="A5" s="257" t="s">
        <v>4</v>
      </c>
      <c r="B5" s="786" t="s">
        <v>2366</v>
      </c>
      <c r="C5" s="787"/>
      <c r="F5" s="258"/>
      <c r="G5" s="788" t="s">
        <v>2367</v>
      </c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283</v>
      </c>
      <c r="H9" s="259" t="s">
        <v>14</v>
      </c>
      <c r="I9" s="259" t="s">
        <v>15</v>
      </c>
      <c r="J9" s="259" t="s">
        <v>16</v>
      </c>
      <c r="K9" s="259" t="s">
        <v>18</v>
      </c>
      <c r="L9" s="265" t="s">
        <v>99</v>
      </c>
      <c r="M9" s="265" t="s">
        <v>19</v>
      </c>
      <c r="N9" s="260"/>
    </row>
    <row r="10" spans="1:14" ht="30">
      <c r="A10" s="266">
        <v>44568</v>
      </c>
      <c r="B10" s="8" t="s">
        <v>2368</v>
      </c>
      <c r="C10" s="2" t="s">
        <v>30</v>
      </c>
      <c r="D10" s="153" t="s">
        <v>2369</v>
      </c>
      <c r="E10" s="2" t="s">
        <v>23</v>
      </c>
      <c r="F10" s="2"/>
      <c r="G10" s="2" t="s">
        <v>2370</v>
      </c>
      <c r="H10" s="9" t="s">
        <v>2371</v>
      </c>
      <c r="I10" s="9"/>
      <c r="J10" s="9" t="s">
        <v>2372</v>
      </c>
      <c r="K10" s="2" t="s">
        <v>26</v>
      </c>
    </row>
    <row r="11" spans="1:14" ht="30">
      <c r="A11" s="7">
        <v>44568</v>
      </c>
      <c r="B11" s="8">
        <v>235</v>
      </c>
      <c r="C11" s="2" t="s">
        <v>30</v>
      </c>
      <c r="D11" s="153">
        <v>44534</v>
      </c>
      <c r="E11" s="2" t="s">
        <v>23</v>
      </c>
      <c r="F11" s="2"/>
      <c r="G11">
        <v>94</v>
      </c>
      <c r="H11" s="76" t="s">
        <v>2371</v>
      </c>
      <c r="I11" s="9"/>
      <c r="J11" s="9" t="s">
        <v>2373</v>
      </c>
      <c r="K11" s="2" t="s">
        <v>26</v>
      </c>
    </row>
    <row r="12" spans="1:14" ht="30">
      <c r="A12" s="7">
        <v>44568</v>
      </c>
      <c r="B12" s="8">
        <v>225</v>
      </c>
      <c r="C12" s="2" t="s">
        <v>30</v>
      </c>
      <c r="D12" s="153">
        <v>44537</v>
      </c>
      <c r="E12" s="2" t="s">
        <v>23</v>
      </c>
      <c r="F12" s="2"/>
      <c r="G12">
        <v>90</v>
      </c>
      <c r="H12" s="76" t="s">
        <v>2371</v>
      </c>
      <c r="I12" s="9"/>
      <c r="J12" s="9" t="s">
        <v>2374</v>
      </c>
      <c r="K12" s="2" t="s">
        <v>26</v>
      </c>
    </row>
    <row r="13" spans="1:14" ht="30">
      <c r="A13" s="153">
        <v>44568</v>
      </c>
      <c r="B13" s="154" t="s">
        <v>2375</v>
      </c>
      <c r="C13" s="2" t="s">
        <v>30</v>
      </c>
      <c r="D13" s="153">
        <v>44539</v>
      </c>
      <c r="E13" s="2" t="s">
        <v>23</v>
      </c>
      <c r="G13">
        <v>95</v>
      </c>
      <c r="H13" s="76" t="s">
        <v>2371</v>
      </c>
      <c r="I13" s="9"/>
      <c r="J13" s="9" t="s">
        <v>2376</v>
      </c>
      <c r="K13" s="2" t="s">
        <v>26</v>
      </c>
    </row>
    <row r="14" spans="1:14" ht="30">
      <c r="A14" s="153">
        <v>44568</v>
      </c>
      <c r="B14" s="154" t="s">
        <v>2377</v>
      </c>
      <c r="C14" s="2" t="s">
        <v>30</v>
      </c>
      <c r="D14" s="153">
        <v>44541</v>
      </c>
      <c r="E14" s="2" t="s">
        <v>23</v>
      </c>
      <c r="G14">
        <v>91</v>
      </c>
      <c r="H14" s="76" t="s">
        <v>2371</v>
      </c>
      <c r="I14" s="9"/>
      <c r="J14" s="9" t="s">
        <v>2378</v>
      </c>
      <c r="K14" s="2" t="s">
        <v>26</v>
      </c>
    </row>
    <row r="15" spans="1:14" ht="30">
      <c r="A15" s="153">
        <v>44568</v>
      </c>
      <c r="B15" s="154" t="s">
        <v>2379</v>
      </c>
      <c r="C15" s="2" t="s">
        <v>30</v>
      </c>
      <c r="D15" s="153">
        <v>44544</v>
      </c>
      <c r="E15" s="2" t="s">
        <v>23</v>
      </c>
      <c r="G15">
        <v>93</v>
      </c>
      <c r="H15" s="76" t="s">
        <v>2371</v>
      </c>
      <c r="I15" s="9"/>
      <c r="J15" s="9" t="s">
        <v>2380</v>
      </c>
      <c r="K15" s="2" t="s">
        <v>26</v>
      </c>
      <c r="N15" t="s">
        <v>36</v>
      </c>
    </row>
    <row r="16" spans="1:14" ht="31.5">
      <c r="A16" s="7">
        <v>44568</v>
      </c>
      <c r="B16" s="8" t="s">
        <v>2377</v>
      </c>
      <c r="C16" s="2" t="s">
        <v>30</v>
      </c>
      <c r="D16" s="7">
        <v>44546</v>
      </c>
      <c r="E16" s="2" t="s">
        <v>23</v>
      </c>
      <c r="F16" s="2"/>
      <c r="G16" s="2">
        <v>91</v>
      </c>
      <c r="H16" s="76" t="s">
        <v>2371</v>
      </c>
      <c r="I16" s="9"/>
      <c r="J16" s="9" t="s">
        <v>2381</v>
      </c>
      <c r="K16" s="2" t="s">
        <v>26</v>
      </c>
      <c r="L16" s="413">
        <v>365</v>
      </c>
      <c r="M16" s="413" t="s">
        <v>624</v>
      </c>
    </row>
    <row r="17" spans="1:18" ht="30">
      <c r="A17" s="7">
        <v>44568</v>
      </c>
      <c r="B17" s="8" t="s">
        <v>2382</v>
      </c>
      <c r="C17" s="2" t="s">
        <v>30</v>
      </c>
      <c r="D17" s="153">
        <v>44548</v>
      </c>
      <c r="E17" s="2" t="s">
        <v>23</v>
      </c>
      <c r="F17" s="2"/>
      <c r="G17" t="s">
        <v>2383</v>
      </c>
      <c r="H17" s="76" t="s">
        <v>2371</v>
      </c>
      <c r="I17" s="9"/>
      <c r="J17" s="9" t="s">
        <v>2384</v>
      </c>
      <c r="K17" s="2" t="s">
        <v>26</v>
      </c>
      <c r="L17" s="418">
        <v>122</v>
      </c>
      <c r="M17" s="418" t="s">
        <v>2385</v>
      </c>
      <c r="N17" t="s">
        <v>625</v>
      </c>
      <c r="R17" t="s">
        <v>36</v>
      </c>
    </row>
    <row r="18" spans="1:18" ht="30">
      <c r="A18" s="153">
        <v>44568</v>
      </c>
      <c r="B18" s="154" t="s">
        <v>2386</v>
      </c>
      <c r="C18" s="2" t="s">
        <v>30</v>
      </c>
      <c r="D18" s="153">
        <v>44551</v>
      </c>
      <c r="E18" s="2" t="s">
        <v>23</v>
      </c>
      <c r="G18" t="s">
        <v>2370</v>
      </c>
      <c r="H18" s="76" t="s">
        <v>2371</v>
      </c>
      <c r="I18" s="9"/>
      <c r="J18" s="9" t="s">
        <v>2387</v>
      </c>
      <c r="K18" s="2" t="s">
        <v>26</v>
      </c>
      <c r="L18" s="290" t="s">
        <v>2388</v>
      </c>
      <c r="M18" s="290">
        <v>243</v>
      </c>
      <c r="N18" s="290"/>
    </row>
    <row r="19" spans="1:18" ht="30">
      <c r="A19" s="153">
        <v>44568</v>
      </c>
      <c r="B19" s="154">
        <v>225</v>
      </c>
      <c r="C19" s="2" t="s">
        <v>30</v>
      </c>
      <c r="D19" s="153">
        <v>44553</v>
      </c>
      <c r="E19" s="2" t="s">
        <v>23</v>
      </c>
      <c r="G19">
        <v>90</v>
      </c>
      <c r="H19" s="76" t="s">
        <v>2371</v>
      </c>
      <c r="I19" s="9"/>
      <c r="J19" s="9" t="s">
        <v>2389</v>
      </c>
      <c r="K19" s="2" t="s">
        <v>26</v>
      </c>
    </row>
    <row r="20" spans="1:18" ht="30">
      <c r="A20" s="153">
        <v>44568</v>
      </c>
      <c r="B20" s="154" t="s">
        <v>2377</v>
      </c>
      <c r="C20" s="2" t="s">
        <v>30</v>
      </c>
      <c r="D20" s="153">
        <v>44555</v>
      </c>
      <c r="E20" s="2" t="s">
        <v>23</v>
      </c>
      <c r="G20">
        <v>91</v>
      </c>
      <c r="H20" s="76" t="s">
        <v>2371</v>
      </c>
      <c r="I20" s="9"/>
      <c r="J20" s="9" t="s">
        <v>2390</v>
      </c>
      <c r="K20" s="2" t="s">
        <v>26</v>
      </c>
    </row>
    <row r="21" spans="1:18" ht="30">
      <c r="A21" s="153">
        <v>44568</v>
      </c>
      <c r="B21" s="154">
        <v>230</v>
      </c>
      <c r="C21" s="2" t="s">
        <v>30</v>
      </c>
      <c r="D21" s="153">
        <v>44558</v>
      </c>
      <c r="E21" s="2" t="s">
        <v>23</v>
      </c>
      <c r="G21">
        <v>92</v>
      </c>
      <c r="H21" s="76" t="s">
        <v>2371</v>
      </c>
      <c r="I21" s="9"/>
      <c r="J21" s="9" t="s">
        <v>2391</v>
      </c>
      <c r="K21" s="2" t="s">
        <v>26</v>
      </c>
    </row>
    <row r="22" spans="1:18" ht="30">
      <c r="A22" s="153">
        <v>44568</v>
      </c>
      <c r="B22">
        <v>274</v>
      </c>
      <c r="C22" s="2" t="s">
        <v>30</v>
      </c>
      <c r="D22" s="153">
        <v>44560</v>
      </c>
      <c r="E22" s="2" t="s">
        <v>23</v>
      </c>
      <c r="G22" t="s">
        <v>2392</v>
      </c>
      <c r="H22" s="76" t="s">
        <v>2371</v>
      </c>
      <c r="I22" s="9"/>
      <c r="J22" s="9" t="s">
        <v>2393</v>
      </c>
      <c r="K22" s="2" t="s">
        <v>26</v>
      </c>
    </row>
    <row r="23" spans="1:18" ht="30.75">
      <c r="B23" s="260" t="s">
        <v>2394</v>
      </c>
      <c r="E23" s="2" t="s">
        <v>23</v>
      </c>
      <c r="G23" s="288" t="s">
        <v>2395</v>
      </c>
      <c r="H23" s="76"/>
      <c r="I23" s="9"/>
      <c r="J23" s="9"/>
    </row>
    <row r="24" spans="1:18" ht="30">
      <c r="A24" s="308">
        <v>44618</v>
      </c>
      <c r="B24" s="301">
        <v>260</v>
      </c>
      <c r="C24" s="301" t="s">
        <v>32</v>
      </c>
      <c r="D24" s="302">
        <v>44562</v>
      </c>
      <c r="E24" s="303" t="s">
        <v>23</v>
      </c>
      <c r="F24" s="301"/>
      <c r="G24" s="301">
        <v>104</v>
      </c>
      <c r="H24" s="304" t="s">
        <v>2396</v>
      </c>
      <c r="I24" s="305"/>
      <c r="J24" s="305" t="s">
        <v>2397</v>
      </c>
      <c r="K24" s="301" t="s">
        <v>26</v>
      </c>
    </row>
    <row r="25" spans="1:18" ht="30">
      <c r="A25" s="308">
        <v>44618</v>
      </c>
      <c r="B25" s="301" t="s">
        <v>2398</v>
      </c>
      <c r="C25" s="301" t="s">
        <v>32</v>
      </c>
      <c r="D25" s="302">
        <v>44565</v>
      </c>
      <c r="E25" s="303" t="s">
        <v>23</v>
      </c>
      <c r="F25" s="301"/>
      <c r="G25" s="301">
        <v>85</v>
      </c>
      <c r="H25" s="304" t="s">
        <v>2396</v>
      </c>
      <c r="I25" s="305"/>
      <c r="J25" s="305" t="s">
        <v>2399</v>
      </c>
      <c r="K25" s="301" t="s">
        <v>26</v>
      </c>
    </row>
    <row r="26" spans="1:18" ht="30">
      <c r="A26" s="308" t="s">
        <v>2400</v>
      </c>
      <c r="B26" s="301">
        <v>220</v>
      </c>
      <c r="C26" s="301" t="s">
        <v>32</v>
      </c>
      <c r="D26" s="302">
        <v>44567</v>
      </c>
      <c r="E26" s="303" t="s">
        <v>23</v>
      </c>
      <c r="F26" s="301"/>
      <c r="G26" s="301">
        <v>88</v>
      </c>
      <c r="H26" s="304" t="s">
        <v>2396</v>
      </c>
      <c r="I26" s="305"/>
      <c r="J26" s="301">
        <v>8978</v>
      </c>
      <c r="K26" s="301" t="s">
        <v>26</v>
      </c>
      <c r="L26" s="290">
        <v>346</v>
      </c>
      <c r="M26" s="290" t="s">
        <v>624</v>
      </c>
    </row>
    <row r="27" spans="1:18" ht="30">
      <c r="A27" s="308">
        <v>44618</v>
      </c>
      <c r="B27" s="301" t="s">
        <v>2398</v>
      </c>
      <c r="C27" s="301" t="s">
        <v>32</v>
      </c>
      <c r="D27" s="302">
        <v>44569</v>
      </c>
      <c r="E27" s="303" t="s">
        <v>23</v>
      </c>
      <c r="F27" s="301"/>
      <c r="G27" s="301">
        <v>85</v>
      </c>
      <c r="H27" s="304" t="s">
        <v>2396</v>
      </c>
      <c r="I27" s="305"/>
      <c r="J27" s="301">
        <v>8979</v>
      </c>
      <c r="K27" s="301" t="s">
        <v>26</v>
      </c>
      <c r="L27" s="418">
        <v>115</v>
      </c>
      <c r="M27" s="418" t="s">
        <v>2385</v>
      </c>
      <c r="N27" t="s">
        <v>625</v>
      </c>
    </row>
    <row r="28" spans="1:18" ht="30">
      <c r="A28" s="308">
        <v>44618</v>
      </c>
      <c r="B28" s="301" t="s">
        <v>2401</v>
      </c>
      <c r="C28" s="301" t="s">
        <v>32</v>
      </c>
      <c r="D28" s="302">
        <v>44572</v>
      </c>
      <c r="E28" s="303" t="s">
        <v>23</v>
      </c>
      <c r="F28" s="301"/>
      <c r="G28" s="301">
        <v>89</v>
      </c>
      <c r="H28" s="304" t="s">
        <v>2396</v>
      </c>
      <c r="I28" s="305"/>
      <c r="J28" s="301">
        <v>8980</v>
      </c>
      <c r="K28" s="301" t="s">
        <v>26</v>
      </c>
      <c r="L28" s="290">
        <v>231</v>
      </c>
      <c r="M28" s="290" t="s">
        <v>2402</v>
      </c>
    </row>
    <row r="29" spans="1:18" ht="30">
      <c r="A29" s="308">
        <v>44618</v>
      </c>
      <c r="B29" s="301" t="s">
        <v>2398</v>
      </c>
      <c r="C29" s="301" t="s">
        <v>32</v>
      </c>
      <c r="D29" s="302">
        <v>44574</v>
      </c>
      <c r="E29" s="303" t="s">
        <v>23</v>
      </c>
      <c r="F29" s="301"/>
      <c r="G29" s="301">
        <v>85</v>
      </c>
      <c r="H29" s="304" t="s">
        <v>2396</v>
      </c>
      <c r="I29" s="305"/>
      <c r="J29" s="301">
        <v>8981</v>
      </c>
      <c r="K29" s="301" t="s">
        <v>26</v>
      </c>
    </row>
    <row r="30" spans="1:18" ht="30">
      <c r="A30" s="308">
        <v>44618</v>
      </c>
      <c r="B30" s="301">
        <v>220</v>
      </c>
      <c r="C30" s="301" t="s">
        <v>32</v>
      </c>
      <c r="D30" s="302">
        <v>44576</v>
      </c>
      <c r="E30" s="303" t="s">
        <v>23</v>
      </c>
      <c r="F30" s="301"/>
      <c r="G30" s="301">
        <v>88</v>
      </c>
      <c r="H30" s="304" t="s">
        <v>2396</v>
      </c>
      <c r="I30" s="305"/>
      <c r="J30" s="301">
        <v>8982</v>
      </c>
      <c r="K30" s="301" t="s">
        <v>26</v>
      </c>
    </row>
    <row r="31" spans="1:18" ht="30">
      <c r="A31" s="308">
        <v>44618</v>
      </c>
      <c r="B31" s="301">
        <v>215</v>
      </c>
      <c r="C31" s="301" t="s">
        <v>32</v>
      </c>
      <c r="D31" s="302">
        <v>44579</v>
      </c>
      <c r="E31" s="303" t="s">
        <v>23</v>
      </c>
      <c r="F31" s="301"/>
      <c r="G31" s="301">
        <v>86</v>
      </c>
      <c r="H31" s="304" t="s">
        <v>2396</v>
      </c>
      <c r="I31" s="301"/>
      <c r="J31" s="301">
        <v>8983</v>
      </c>
      <c r="K31" s="301" t="s">
        <v>26</v>
      </c>
    </row>
    <row r="32" spans="1:18" ht="30">
      <c r="A32" s="308">
        <v>44618</v>
      </c>
      <c r="B32" s="301">
        <v>225</v>
      </c>
      <c r="C32" s="301" t="s">
        <v>32</v>
      </c>
      <c r="D32" s="302">
        <v>44581</v>
      </c>
      <c r="E32" s="303" t="s">
        <v>23</v>
      </c>
      <c r="F32" s="301"/>
      <c r="G32" s="301">
        <v>90</v>
      </c>
      <c r="H32" s="304" t="s">
        <v>2396</v>
      </c>
      <c r="I32" s="301"/>
      <c r="J32" s="301">
        <v>8985</v>
      </c>
      <c r="K32" s="301" t="s">
        <v>26</v>
      </c>
    </row>
    <row r="33" spans="1:14" ht="30">
      <c r="A33" s="308">
        <v>44618</v>
      </c>
      <c r="B33" s="301">
        <v>220</v>
      </c>
      <c r="C33" s="301" t="s">
        <v>32</v>
      </c>
      <c r="D33" s="302">
        <v>44583</v>
      </c>
      <c r="E33" s="303" t="s">
        <v>23</v>
      </c>
      <c r="F33" s="301"/>
      <c r="G33" s="301">
        <v>88</v>
      </c>
      <c r="H33" s="304" t="s">
        <v>2396</v>
      </c>
      <c r="I33" s="301"/>
      <c r="J33" s="301">
        <v>8986</v>
      </c>
      <c r="K33" s="301" t="s">
        <v>26</v>
      </c>
    </row>
    <row r="34" spans="1:14" ht="30">
      <c r="A34" s="308">
        <v>44618</v>
      </c>
      <c r="B34" s="301" t="s">
        <v>2403</v>
      </c>
      <c r="C34" s="301" t="s">
        <v>32</v>
      </c>
      <c r="D34" s="302">
        <v>44586</v>
      </c>
      <c r="E34" s="303" t="s">
        <v>23</v>
      </c>
      <c r="F34" s="301"/>
      <c r="G34" s="301">
        <v>87</v>
      </c>
      <c r="H34" s="304" t="s">
        <v>2396</v>
      </c>
      <c r="I34" s="301"/>
      <c r="J34" s="301">
        <v>8987</v>
      </c>
      <c r="K34" s="301" t="s">
        <v>26</v>
      </c>
    </row>
    <row r="35" spans="1:14" ht="30">
      <c r="A35" s="308">
        <v>44618</v>
      </c>
      <c r="B35" s="301" t="s">
        <v>2401</v>
      </c>
      <c r="C35" s="301" t="s">
        <v>32</v>
      </c>
      <c r="D35" s="302">
        <v>44588</v>
      </c>
      <c r="E35" s="303" t="s">
        <v>23</v>
      </c>
      <c r="F35" s="301"/>
      <c r="G35" s="301">
        <v>89</v>
      </c>
      <c r="H35" s="304" t="s">
        <v>2396</v>
      </c>
      <c r="I35" s="301"/>
      <c r="J35" s="301">
        <v>8988</v>
      </c>
      <c r="K35" s="301" t="s">
        <v>26</v>
      </c>
    </row>
    <row r="36" spans="1:14" ht="30">
      <c r="A36" s="308">
        <v>44618</v>
      </c>
      <c r="B36" s="301">
        <v>220</v>
      </c>
      <c r="C36" s="301" t="s">
        <v>32</v>
      </c>
      <c r="D36" s="302">
        <v>44590</v>
      </c>
      <c r="E36" s="303" t="s">
        <v>23</v>
      </c>
      <c r="F36" s="301"/>
      <c r="G36" s="301">
        <v>88</v>
      </c>
      <c r="H36" s="304" t="s">
        <v>2396</v>
      </c>
      <c r="I36" s="301"/>
      <c r="J36" s="301">
        <v>9001</v>
      </c>
      <c r="K36" s="301" t="s">
        <v>26</v>
      </c>
    </row>
    <row r="37" spans="1:14" ht="30">
      <c r="B37" t="s">
        <v>2404</v>
      </c>
      <c r="E37" s="303" t="s">
        <v>23</v>
      </c>
      <c r="G37" t="s">
        <v>2405</v>
      </c>
      <c r="H37" s="76"/>
    </row>
    <row r="38" spans="1:14" ht="30">
      <c r="A38" s="153">
        <v>44636</v>
      </c>
      <c r="B38">
        <v>215</v>
      </c>
      <c r="C38" t="s">
        <v>34</v>
      </c>
      <c r="D38" s="153">
        <v>44595</v>
      </c>
      <c r="E38" s="303" t="s">
        <v>23</v>
      </c>
      <c r="G38">
        <v>86</v>
      </c>
      <c r="H38" s="76" t="s">
        <v>2406</v>
      </c>
      <c r="J38">
        <v>10056</v>
      </c>
      <c r="K38" t="s">
        <v>26</v>
      </c>
    </row>
    <row r="39" spans="1:14" ht="30">
      <c r="A39" s="153">
        <v>44636</v>
      </c>
      <c r="B39" t="s">
        <v>2403</v>
      </c>
      <c r="C39" t="s">
        <v>34</v>
      </c>
      <c r="D39" s="153">
        <v>44593</v>
      </c>
      <c r="E39" s="303" t="s">
        <v>23</v>
      </c>
      <c r="G39">
        <v>87</v>
      </c>
      <c r="H39" s="76" t="s">
        <v>2406</v>
      </c>
      <c r="J39">
        <v>10055</v>
      </c>
      <c r="K39" t="s">
        <v>26</v>
      </c>
    </row>
    <row r="40" spans="1:14" ht="30">
      <c r="A40" s="153">
        <v>44636</v>
      </c>
      <c r="B40">
        <v>220</v>
      </c>
      <c r="C40" t="s">
        <v>34</v>
      </c>
      <c r="D40" s="153">
        <v>44597</v>
      </c>
      <c r="E40" s="303" t="s">
        <v>23</v>
      </c>
      <c r="G40">
        <v>88</v>
      </c>
      <c r="H40" s="76" t="s">
        <v>2406</v>
      </c>
      <c r="J40">
        <v>10057</v>
      </c>
      <c r="K40" t="s">
        <v>26</v>
      </c>
      <c r="L40" s="290">
        <v>314</v>
      </c>
      <c r="M40" s="290" t="s">
        <v>624</v>
      </c>
      <c r="N40" s="290"/>
    </row>
    <row r="41" spans="1:14" ht="30">
      <c r="A41" s="153">
        <v>44636</v>
      </c>
      <c r="B41" t="s">
        <v>2403</v>
      </c>
      <c r="C41" t="s">
        <v>34</v>
      </c>
      <c r="D41" s="153">
        <v>44600</v>
      </c>
      <c r="E41" s="303" t="s">
        <v>23</v>
      </c>
      <c r="G41">
        <v>87</v>
      </c>
      <c r="H41" s="76" t="s">
        <v>2406</v>
      </c>
      <c r="J41">
        <v>10058</v>
      </c>
      <c r="K41" t="s">
        <v>26</v>
      </c>
      <c r="L41" s="418">
        <v>105</v>
      </c>
      <c r="M41" s="418" t="s">
        <v>2385</v>
      </c>
      <c r="N41" s="290"/>
    </row>
    <row r="42" spans="1:14" ht="30">
      <c r="A42" s="153">
        <v>44636</v>
      </c>
      <c r="B42" t="s">
        <v>2401</v>
      </c>
      <c r="C42" t="s">
        <v>34</v>
      </c>
      <c r="D42" s="153">
        <v>44602</v>
      </c>
      <c r="E42" s="303" t="s">
        <v>23</v>
      </c>
      <c r="G42">
        <v>89</v>
      </c>
      <c r="H42" s="76" t="s">
        <v>2406</v>
      </c>
      <c r="J42">
        <v>10059</v>
      </c>
      <c r="K42" t="s">
        <v>26</v>
      </c>
      <c r="L42" s="290">
        <v>209</v>
      </c>
      <c r="M42" s="290" t="s">
        <v>2402</v>
      </c>
      <c r="N42" s="290"/>
    </row>
    <row r="43" spans="1:14" ht="30">
      <c r="A43" s="153">
        <v>44636</v>
      </c>
      <c r="B43">
        <v>210</v>
      </c>
      <c r="C43" t="s">
        <v>34</v>
      </c>
      <c r="D43" s="153">
        <v>44604</v>
      </c>
      <c r="E43" s="303" t="s">
        <v>23</v>
      </c>
      <c r="G43">
        <v>84</v>
      </c>
      <c r="H43" s="76" t="s">
        <v>2406</v>
      </c>
      <c r="J43">
        <v>10060</v>
      </c>
      <c r="K43" t="s">
        <v>26</v>
      </c>
    </row>
    <row r="44" spans="1:14" ht="30">
      <c r="A44" s="153">
        <v>44636</v>
      </c>
      <c r="B44" t="s">
        <v>2403</v>
      </c>
      <c r="C44" t="s">
        <v>34</v>
      </c>
      <c r="D44" s="153">
        <v>44607</v>
      </c>
      <c r="E44" s="303" t="s">
        <v>23</v>
      </c>
      <c r="G44">
        <v>87</v>
      </c>
      <c r="H44" s="76" t="s">
        <v>2406</v>
      </c>
      <c r="J44">
        <v>10061</v>
      </c>
      <c r="K44" t="s">
        <v>26</v>
      </c>
    </row>
    <row r="45" spans="1:14" ht="30">
      <c r="A45" s="153">
        <v>44636</v>
      </c>
      <c r="B45">
        <v>220</v>
      </c>
      <c r="C45" t="s">
        <v>34</v>
      </c>
      <c r="D45" s="153">
        <v>44609</v>
      </c>
      <c r="E45" s="303" t="s">
        <v>23</v>
      </c>
      <c r="G45">
        <v>88</v>
      </c>
      <c r="H45" s="76" t="s">
        <v>2406</v>
      </c>
      <c r="J45">
        <v>10062</v>
      </c>
      <c r="K45" t="s">
        <v>26</v>
      </c>
    </row>
    <row r="46" spans="1:14" ht="30">
      <c r="A46" s="153">
        <v>44636</v>
      </c>
      <c r="B46" t="s">
        <v>2403</v>
      </c>
      <c r="C46" t="s">
        <v>34</v>
      </c>
      <c r="D46" s="153">
        <v>44611</v>
      </c>
      <c r="E46" s="303" t="s">
        <v>23</v>
      </c>
      <c r="G46">
        <v>87</v>
      </c>
      <c r="H46" s="76" t="s">
        <v>2407</v>
      </c>
      <c r="J46">
        <v>10064</v>
      </c>
      <c r="K46" t="s">
        <v>26</v>
      </c>
    </row>
    <row r="47" spans="1:14" ht="30">
      <c r="A47" s="153">
        <v>44636</v>
      </c>
      <c r="B47" t="s">
        <v>2398</v>
      </c>
      <c r="C47" t="s">
        <v>34</v>
      </c>
      <c r="D47" s="153">
        <v>44614</v>
      </c>
      <c r="E47" s="303" t="s">
        <v>23</v>
      </c>
      <c r="G47">
        <v>85</v>
      </c>
      <c r="H47" s="76" t="s">
        <v>2406</v>
      </c>
      <c r="J47">
        <v>10063</v>
      </c>
      <c r="K47" t="s">
        <v>26</v>
      </c>
    </row>
    <row r="48" spans="1:14" ht="30">
      <c r="A48" s="153">
        <v>44636</v>
      </c>
      <c r="B48" t="s">
        <v>2403</v>
      </c>
      <c r="C48" t="s">
        <v>34</v>
      </c>
      <c r="D48" s="153">
        <v>44616</v>
      </c>
      <c r="E48" s="303" t="s">
        <v>23</v>
      </c>
      <c r="G48">
        <v>87</v>
      </c>
      <c r="H48" s="76" t="s">
        <v>2406</v>
      </c>
      <c r="J48">
        <v>10065</v>
      </c>
      <c r="K48" t="s">
        <v>26</v>
      </c>
    </row>
    <row r="49" spans="1:14" ht="30">
      <c r="A49" s="153">
        <v>44636</v>
      </c>
      <c r="B49" t="s">
        <v>2408</v>
      </c>
      <c r="C49" t="s">
        <v>34</v>
      </c>
      <c r="D49" s="153">
        <v>44620</v>
      </c>
      <c r="E49" s="303" t="s">
        <v>23</v>
      </c>
      <c r="G49">
        <v>92.2</v>
      </c>
      <c r="H49" s="76" t="s">
        <v>2406</v>
      </c>
      <c r="J49">
        <v>10066</v>
      </c>
      <c r="K49" t="s">
        <v>26</v>
      </c>
    </row>
    <row r="50" spans="1:14">
      <c r="B50" s="311" t="s">
        <v>2409</v>
      </c>
      <c r="C50" s="311"/>
      <c r="D50" s="311"/>
      <c r="E50" s="312"/>
      <c r="F50" s="311"/>
      <c r="G50" s="311" t="s">
        <v>2410</v>
      </c>
      <c r="H50" s="313"/>
      <c r="I50" s="311"/>
      <c r="J50" s="311"/>
    </row>
    <row r="51" spans="1:14" ht="30">
      <c r="A51" s="414">
        <v>44670</v>
      </c>
      <c r="B51" s="415"/>
      <c r="C51" s="415" t="s">
        <v>38</v>
      </c>
      <c r="D51" s="414">
        <v>44621</v>
      </c>
      <c r="E51" s="416" t="s">
        <v>23</v>
      </c>
      <c r="F51" s="415"/>
      <c r="G51" s="415">
        <v>91</v>
      </c>
      <c r="H51" s="417" t="s">
        <v>1568</v>
      </c>
      <c r="I51" s="415"/>
      <c r="J51" s="415">
        <v>10972</v>
      </c>
      <c r="K51" s="415" t="s">
        <v>26</v>
      </c>
      <c r="L51" s="415"/>
      <c r="M51" s="415"/>
    </row>
    <row r="52" spans="1:14" ht="30">
      <c r="A52" s="414">
        <v>44670</v>
      </c>
      <c r="B52" s="415"/>
      <c r="C52" s="415" t="s">
        <v>38</v>
      </c>
      <c r="D52" s="414">
        <v>44623</v>
      </c>
      <c r="E52" s="416" t="s">
        <v>23</v>
      </c>
      <c r="F52" s="415"/>
      <c r="G52" s="415">
        <v>92</v>
      </c>
      <c r="H52" s="417" t="s">
        <v>1568</v>
      </c>
      <c r="I52" s="415"/>
      <c r="J52" s="415">
        <v>10971</v>
      </c>
      <c r="K52" s="415" t="s">
        <v>26</v>
      </c>
      <c r="L52" s="415"/>
      <c r="M52" s="415"/>
    </row>
    <row r="53" spans="1:14" ht="30">
      <c r="A53" s="414">
        <v>44670</v>
      </c>
      <c r="B53" s="415"/>
      <c r="C53" s="415" t="s">
        <v>38</v>
      </c>
      <c r="D53" s="414">
        <v>44625</v>
      </c>
      <c r="E53" s="416" t="s">
        <v>23</v>
      </c>
      <c r="F53" s="415"/>
      <c r="G53" s="415">
        <v>93</v>
      </c>
      <c r="H53" s="417" t="s">
        <v>1568</v>
      </c>
      <c r="I53" s="415"/>
      <c r="J53" s="415">
        <v>10970</v>
      </c>
      <c r="K53" s="415" t="s">
        <v>26</v>
      </c>
      <c r="L53" s="415"/>
      <c r="M53" s="415"/>
    </row>
    <row r="54" spans="1:14" ht="30">
      <c r="A54" s="414">
        <v>44670</v>
      </c>
      <c r="B54" s="415"/>
      <c r="C54" s="415" t="s">
        <v>38</v>
      </c>
      <c r="D54" s="414">
        <v>44628</v>
      </c>
      <c r="E54" s="416" t="s">
        <v>23</v>
      </c>
      <c r="F54" s="415"/>
      <c r="G54" s="415">
        <v>90</v>
      </c>
      <c r="H54" s="417" t="s">
        <v>1568</v>
      </c>
      <c r="I54" s="415"/>
      <c r="J54" s="415">
        <v>10969</v>
      </c>
      <c r="K54" s="415" t="s">
        <v>26</v>
      </c>
      <c r="L54" s="415"/>
      <c r="M54" s="415"/>
    </row>
    <row r="55" spans="1:14" ht="30">
      <c r="A55" s="414">
        <v>44670</v>
      </c>
      <c r="B55" s="415"/>
      <c r="C55" s="415" t="s">
        <v>38</v>
      </c>
      <c r="D55" s="414">
        <v>44630</v>
      </c>
      <c r="E55" s="416" t="s">
        <v>23</v>
      </c>
      <c r="F55" s="415"/>
      <c r="G55" s="415">
        <v>91</v>
      </c>
      <c r="H55" s="417" t="s">
        <v>1568</v>
      </c>
      <c r="I55" s="415"/>
      <c r="J55" s="415">
        <v>10968</v>
      </c>
      <c r="K55" s="415" t="s">
        <v>26</v>
      </c>
      <c r="L55" s="415"/>
      <c r="M55" s="415"/>
    </row>
    <row r="56" spans="1:14" ht="30">
      <c r="A56" s="414">
        <v>44670</v>
      </c>
      <c r="B56" s="415"/>
      <c r="C56" s="415" t="s">
        <v>38</v>
      </c>
      <c r="D56" s="414">
        <v>44632</v>
      </c>
      <c r="E56" s="416" t="s">
        <v>23</v>
      </c>
      <c r="F56" s="415"/>
      <c r="G56" s="415">
        <v>90</v>
      </c>
      <c r="H56" s="417" t="s">
        <v>1568</v>
      </c>
      <c r="I56" s="415"/>
      <c r="J56" s="415">
        <v>10967</v>
      </c>
      <c r="K56" s="415" t="s">
        <v>26</v>
      </c>
      <c r="L56" s="290">
        <v>384</v>
      </c>
      <c r="M56" s="290" t="s">
        <v>624</v>
      </c>
    </row>
    <row r="57" spans="1:14" ht="30">
      <c r="A57" s="414">
        <v>44670</v>
      </c>
      <c r="B57" s="415"/>
      <c r="C57" s="415" t="s">
        <v>38</v>
      </c>
      <c r="D57" s="414">
        <v>44635</v>
      </c>
      <c r="E57" s="416" t="s">
        <v>23</v>
      </c>
      <c r="F57" s="415"/>
      <c r="G57" s="415">
        <v>92</v>
      </c>
      <c r="H57" s="417" t="s">
        <v>1568</v>
      </c>
      <c r="I57" s="415"/>
      <c r="J57" s="415">
        <v>10966</v>
      </c>
      <c r="K57" s="415" t="s">
        <v>26</v>
      </c>
      <c r="L57" s="418">
        <v>128</v>
      </c>
      <c r="M57" s="418" t="s">
        <v>2385</v>
      </c>
      <c r="N57" t="s">
        <v>625</v>
      </c>
    </row>
    <row r="58" spans="1:14" ht="30">
      <c r="A58" s="414">
        <v>44670</v>
      </c>
      <c r="B58" s="415"/>
      <c r="C58" s="415" t="s">
        <v>38</v>
      </c>
      <c r="D58" s="414">
        <v>44637</v>
      </c>
      <c r="E58" s="416" t="s">
        <v>23</v>
      </c>
      <c r="F58" s="415"/>
      <c r="G58" s="415">
        <v>92</v>
      </c>
      <c r="H58" s="417" t="s">
        <v>1568</v>
      </c>
      <c r="I58" s="415"/>
      <c r="J58" s="415">
        <v>10965</v>
      </c>
      <c r="K58" s="415" t="s">
        <v>26</v>
      </c>
      <c r="L58" s="290">
        <v>256</v>
      </c>
      <c r="M58" s="290" t="s">
        <v>2402</v>
      </c>
    </row>
    <row r="59" spans="1:14" ht="30">
      <c r="A59" s="414">
        <v>44670</v>
      </c>
      <c r="B59" s="415"/>
      <c r="C59" s="415" t="s">
        <v>38</v>
      </c>
      <c r="D59" s="414">
        <v>44639</v>
      </c>
      <c r="E59" s="416" t="s">
        <v>23</v>
      </c>
      <c r="F59" s="415"/>
      <c r="G59" s="415">
        <v>90</v>
      </c>
      <c r="H59" s="417" t="s">
        <v>1568</v>
      </c>
      <c r="I59" s="415"/>
      <c r="J59" s="415">
        <v>10964</v>
      </c>
      <c r="K59" s="415" t="s">
        <v>26</v>
      </c>
      <c r="L59" s="415"/>
      <c r="M59" s="415"/>
    </row>
    <row r="60" spans="1:14" ht="30">
      <c r="A60" s="414">
        <v>44670</v>
      </c>
      <c r="B60" s="415"/>
      <c r="C60" s="415" t="s">
        <v>38</v>
      </c>
      <c r="D60" s="414">
        <v>44642</v>
      </c>
      <c r="E60" s="416" t="s">
        <v>23</v>
      </c>
      <c r="F60" s="415"/>
      <c r="G60" s="415">
        <v>92</v>
      </c>
      <c r="H60" s="417" t="s">
        <v>1568</v>
      </c>
      <c r="I60" s="415"/>
      <c r="J60" s="415">
        <v>10963</v>
      </c>
      <c r="K60" s="415" t="s">
        <v>26</v>
      </c>
      <c r="L60" s="415"/>
      <c r="M60" s="415"/>
    </row>
    <row r="61" spans="1:14" ht="30">
      <c r="A61" s="414">
        <v>44670</v>
      </c>
      <c r="B61" s="415"/>
      <c r="C61" s="415" t="s">
        <v>38</v>
      </c>
      <c r="D61" s="414">
        <v>44644</v>
      </c>
      <c r="E61" s="416" t="s">
        <v>23</v>
      </c>
      <c r="F61" s="415"/>
      <c r="G61" s="415">
        <v>91</v>
      </c>
      <c r="H61" s="417" t="s">
        <v>1568</v>
      </c>
      <c r="I61" s="415"/>
      <c r="J61" s="415">
        <v>10961</v>
      </c>
      <c r="K61" s="415" t="s">
        <v>26</v>
      </c>
      <c r="L61" s="415"/>
      <c r="M61" s="415"/>
    </row>
    <row r="62" spans="1:14" ht="30">
      <c r="A62" s="414">
        <v>44670</v>
      </c>
      <c r="B62" s="415"/>
      <c r="C62" s="415" t="s">
        <v>38</v>
      </c>
      <c r="D62" s="414">
        <v>44646</v>
      </c>
      <c r="E62" s="416" t="s">
        <v>23</v>
      </c>
      <c r="F62" s="415"/>
      <c r="G62" s="415">
        <v>93</v>
      </c>
      <c r="H62" s="417" t="s">
        <v>1568</v>
      </c>
      <c r="I62" s="415"/>
      <c r="J62" s="415">
        <v>10974</v>
      </c>
      <c r="K62" s="415" t="s">
        <v>26</v>
      </c>
      <c r="L62" s="415"/>
      <c r="M62" s="415"/>
    </row>
    <row r="63" spans="1:14" ht="30">
      <c r="A63" s="414">
        <v>44670</v>
      </c>
      <c r="B63" s="415"/>
      <c r="C63" s="415" t="s">
        <v>38</v>
      </c>
      <c r="D63" s="414">
        <v>44648</v>
      </c>
      <c r="E63" s="416" t="s">
        <v>23</v>
      </c>
      <c r="F63" s="415"/>
      <c r="G63" s="415">
        <v>91</v>
      </c>
      <c r="H63" s="417" t="s">
        <v>1568</v>
      </c>
      <c r="I63" s="415"/>
      <c r="J63" s="415">
        <v>12306</v>
      </c>
      <c r="K63" s="415" t="s">
        <v>26</v>
      </c>
      <c r="L63" s="415"/>
      <c r="M63" s="415"/>
    </row>
    <row r="64" spans="1:14" ht="30">
      <c r="A64" s="414">
        <v>44670</v>
      </c>
      <c r="B64" s="415"/>
      <c r="C64" s="415" t="s">
        <v>38</v>
      </c>
      <c r="D64" s="414">
        <v>44651</v>
      </c>
      <c r="E64" s="416" t="s">
        <v>23</v>
      </c>
      <c r="F64" s="415"/>
      <c r="G64" s="415" t="s">
        <v>2411</v>
      </c>
      <c r="H64" s="417" t="s">
        <v>1568</v>
      </c>
      <c r="I64" s="415"/>
      <c r="J64" s="415">
        <v>12305</v>
      </c>
      <c r="K64" s="415" t="s">
        <v>26</v>
      </c>
      <c r="L64" s="415"/>
      <c r="M64" s="415"/>
    </row>
    <row r="65" spans="1:14" ht="52.5" customHeight="1">
      <c r="B65" s="288" t="s">
        <v>2412</v>
      </c>
      <c r="G65" s="311" t="s">
        <v>2413</v>
      </c>
      <c r="H65" s="76"/>
    </row>
    <row r="66" spans="1:14" ht="30">
      <c r="A66" s="341">
        <v>44697</v>
      </c>
      <c r="B66" s="340"/>
      <c r="C66" s="340" t="s">
        <v>41</v>
      </c>
      <c r="D66" s="341">
        <v>44681</v>
      </c>
      <c r="E66" s="342" t="s">
        <v>23</v>
      </c>
      <c r="F66" s="340" t="s">
        <v>24</v>
      </c>
      <c r="G66" s="340">
        <v>106.81</v>
      </c>
      <c r="H66" s="343" t="s">
        <v>1111</v>
      </c>
      <c r="I66" s="340"/>
      <c r="J66" s="340">
        <v>12866</v>
      </c>
      <c r="K66" s="340" t="s">
        <v>26</v>
      </c>
    </row>
    <row r="67" spans="1:14" ht="30">
      <c r="A67" s="341">
        <v>44697</v>
      </c>
      <c r="B67" s="340"/>
      <c r="C67" s="340" t="s">
        <v>41</v>
      </c>
      <c r="D67" s="341">
        <v>44679</v>
      </c>
      <c r="E67" s="342" t="s">
        <v>23</v>
      </c>
      <c r="F67" s="340" t="s">
        <v>24</v>
      </c>
      <c r="G67" s="340">
        <v>100</v>
      </c>
      <c r="H67" s="343" t="s">
        <v>1111</v>
      </c>
      <c r="I67" s="340"/>
      <c r="J67" s="340">
        <v>11959</v>
      </c>
      <c r="K67" s="340" t="s">
        <v>26</v>
      </c>
    </row>
    <row r="68" spans="1:14" ht="30">
      <c r="A68" s="341">
        <v>44697</v>
      </c>
      <c r="B68" s="340"/>
      <c r="C68" s="340" t="s">
        <v>41</v>
      </c>
      <c r="D68" s="341">
        <v>44677</v>
      </c>
      <c r="E68" s="342" t="s">
        <v>23</v>
      </c>
      <c r="F68" s="340" t="s">
        <v>24</v>
      </c>
      <c r="G68" s="340">
        <v>102</v>
      </c>
      <c r="H68" s="343" t="s">
        <v>1111</v>
      </c>
      <c r="I68" s="340"/>
      <c r="J68" s="340">
        <v>11958</v>
      </c>
      <c r="K68" s="340" t="s">
        <v>26</v>
      </c>
    </row>
    <row r="69" spans="1:14" ht="30">
      <c r="A69" s="341">
        <v>44697</v>
      </c>
      <c r="B69" s="340"/>
      <c r="C69" s="340" t="s">
        <v>41</v>
      </c>
      <c r="D69" s="341">
        <v>44674</v>
      </c>
      <c r="E69" s="342" t="s">
        <v>23</v>
      </c>
      <c r="F69" s="340" t="s">
        <v>24</v>
      </c>
      <c r="G69" s="340">
        <v>98</v>
      </c>
      <c r="H69" s="343" t="s">
        <v>1111</v>
      </c>
      <c r="I69" s="340"/>
      <c r="J69" s="340">
        <v>11957</v>
      </c>
      <c r="K69" s="340" t="s">
        <v>26</v>
      </c>
      <c r="L69" s="290" t="s">
        <v>624</v>
      </c>
      <c r="M69" s="290">
        <v>392</v>
      </c>
    </row>
    <row r="70" spans="1:14" ht="30">
      <c r="A70" s="341">
        <v>44697</v>
      </c>
      <c r="B70" s="340"/>
      <c r="C70" s="340" t="s">
        <v>41</v>
      </c>
      <c r="D70" s="341">
        <v>44672</v>
      </c>
      <c r="E70" s="342" t="s">
        <v>23</v>
      </c>
      <c r="F70" s="340" t="s">
        <v>24</v>
      </c>
      <c r="G70" s="340">
        <v>101</v>
      </c>
      <c r="H70" s="343" t="s">
        <v>2414</v>
      </c>
      <c r="I70" s="340"/>
      <c r="J70" s="340">
        <v>11956</v>
      </c>
      <c r="K70" s="340" t="s">
        <v>26</v>
      </c>
      <c r="L70" s="418" t="s">
        <v>2415</v>
      </c>
      <c r="M70" s="418">
        <v>392</v>
      </c>
      <c r="N70" t="s">
        <v>625</v>
      </c>
    </row>
    <row r="71" spans="1:14" ht="30">
      <c r="A71" s="341">
        <v>44697</v>
      </c>
      <c r="B71" s="340"/>
      <c r="C71" s="340" t="s">
        <v>41</v>
      </c>
      <c r="D71" s="341">
        <v>44670</v>
      </c>
      <c r="E71" s="342" t="s">
        <v>23</v>
      </c>
      <c r="F71" s="340" t="s">
        <v>24</v>
      </c>
      <c r="G71" s="340">
        <v>99</v>
      </c>
      <c r="H71" s="343" t="s">
        <v>1111</v>
      </c>
      <c r="I71" s="340"/>
      <c r="J71" s="340">
        <v>11955</v>
      </c>
      <c r="K71" s="340" t="s">
        <v>26</v>
      </c>
    </row>
    <row r="72" spans="1:14" ht="30">
      <c r="A72" s="341">
        <v>44697</v>
      </c>
      <c r="B72" s="340"/>
      <c r="C72" s="340" t="s">
        <v>41</v>
      </c>
      <c r="D72" s="341">
        <v>44667</v>
      </c>
      <c r="E72" s="342" t="s">
        <v>23</v>
      </c>
      <c r="F72" s="340" t="s">
        <v>24</v>
      </c>
      <c r="G72" s="340">
        <v>100</v>
      </c>
      <c r="H72" s="343" t="s">
        <v>1111</v>
      </c>
      <c r="I72" s="340"/>
      <c r="J72" s="340">
        <v>11954</v>
      </c>
      <c r="K72" s="340" t="s">
        <v>26</v>
      </c>
    </row>
    <row r="73" spans="1:14" ht="30">
      <c r="A73" s="341">
        <v>44697</v>
      </c>
      <c r="B73" s="340"/>
      <c r="C73" s="340" t="s">
        <v>41</v>
      </c>
      <c r="D73" s="341">
        <v>44665</v>
      </c>
      <c r="E73" s="342" t="s">
        <v>23</v>
      </c>
      <c r="F73" s="340" t="s">
        <v>24</v>
      </c>
      <c r="G73" s="340">
        <v>103</v>
      </c>
      <c r="H73" s="343" t="s">
        <v>1111</v>
      </c>
      <c r="I73" s="340"/>
      <c r="J73" s="340">
        <v>11953</v>
      </c>
      <c r="K73" s="340" t="s">
        <v>26</v>
      </c>
    </row>
    <row r="74" spans="1:14" ht="30">
      <c r="A74" s="341">
        <v>44697</v>
      </c>
      <c r="B74" s="340"/>
      <c r="C74" s="340" t="s">
        <v>41</v>
      </c>
      <c r="D74" s="341">
        <v>44663</v>
      </c>
      <c r="E74" s="342" t="s">
        <v>23</v>
      </c>
      <c r="F74" s="340" t="s">
        <v>24</v>
      </c>
      <c r="G74" s="340">
        <v>97</v>
      </c>
      <c r="H74" s="343" t="s">
        <v>1111</v>
      </c>
      <c r="I74" s="340"/>
      <c r="J74" s="340">
        <v>11952</v>
      </c>
      <c r="K74" s="340" t="s">
        <v>26</v>
      </c>
    </row>
    <row r="75" spans="1:14" ht="30">
      <c r="A75" s="341">
        <v>44697</v>
      </c>
      <c r="B75" s="340"/>
      <c r="C75" s="340" t="s">
        <v>41</v>
      </c>
      <c r="D75" s="341">
        <v>44660</v>
      </c>
      <c r="E75" s="342" t="s">
        <v>23</v>
      </c>
      <c r="F75" s="340" t="s">
        <v>24</v>
      </c>
      <c r="G75" s="340">
        <v>98</v>
      </c>
      <c r="H75" s="343" t="s">
        <v>1111</v>
      </c>
      <c r="I75" s="340"/>
      <c r="J75" s="340">
        <v>11951</v>
      </c>
      <c r="K75" s="340" t="s">
        <v>26</v>
      </c>
    </row>
    <row r="76" spans="1:14" ht="30">
      <c r="A76" s="341">
        <v>44697</v>
      </c>
      <c r="B76" s="340"/>
      <c r="C76" s="340" t="s">
        <v>41</v>
      </c>
      <c r="D76" s="341">
        <v>44658</v>
      </c>
      <c r="E76" s="342" t="s">
        <v>23</v>
      </c>
      <c r="F76" s="340" t="s">
        <v>24</v>
      </c>
      <c r="G76" s="340">
        <v>102</v>
      </c>
      <c r="H76" s="343" t="s">
        <v>1111</v>
      </c>
      <c r="I76" s="340"/>
      <c r="J76" s="340">
        <v>11950</v>
      </c>
      <c r="K76" s="340" t="s">
        <v>26</v>
      </c>
    </row>
    <row r="77" spans="1:14" ht="30">
      <c r="A77" s="341">
        <v>44697</v>
      </c>
      <c r="B77" s="340"/>
      <c r="C77" s="340" t="s">
        <v>41</v>
      </c>
      <c r="D77" s="341">
        <v>44656</v>
      </c>
      <c r="E77" s="342" t="s">
        <v>23</v>
      </c>
      <c r="F77" s="340" t="s">
        <v>24</v>
      </c>
      <c r="G77" s="340">
        <v>101</v>
      </c>
      <c r="H77" s="343" t="s">
        <v>1111</v>
      </c>
      <c r="I77" s="340"/>
      <c r="J77" s="340">
        <v>11949</v>
      </c>
      <c r="K77" s="340" t="s">
        <v>26</v>
      </c>
    </row>
    <row r="78" spans="1:14" ht="30">
      <c r="A78" s="341">
        <v>44697</v>
      </c>
      <c r="B78" s="340"/>
      <c r="C78" s="340" t="s">
        <v>41</v>
      </c>
      <c r="D78" s="341">
        <v>44653</v>
      </c>
      <c r="E78" s="342" t="s">
        <v>23</v>
      </c>
      <c r="F78" s="340" t="s">
        <v>24</v>
      </c>
      <c r="G78" s="340">
        <v>99</v>
      </c>
      <c r="H78" s="343" t="s">
        <v>1111</v>
      </c>
      <c r="I78" s="340"/>
      <c r="J78" s="340">
        <v>11946</v>
      </c>
      <c r="K78" s="340" t="s">
        <v>26</v>
      </c>
    </row>
    <row r="79" spans="1:14" ht="18.75">
      <c r="A79" s="260"/>
      <c r="B79" s="260" t="s">
        <v>2416</v>
      </c>
      <c r="C79" s="260"/>
      <c r="D79" s="260"/>
      <c r="E79" s="260"/>
      <c r="F79" s="260"/>
      <c r="G79" s="260">
        <f>SUM(G66:G78)</f>
        <v>1306.81</v>
      </c>
      <c r="H79" s="344"/>
      <c r="I79" s="260"/>
      <c r="J79" s="260"/>
      <c r="K79" s="260"/>
    </row>
    <row r="80" spans="1:14" ht="30">
      <c r="A80" s="153">
        <v>44747</v>
      </c>
      <c r="C80" t="s">
        <v>44</v>
      </c>
      <c r="D80" s="153">
        <v>44709</v>
      </c>
      <c r="E80" s="2" t="s">
        <v>23</v>
      </c>
      <c r="F80" t="s">
        <v>24</v>
      </c>
      <c r="G80">
        <v>91</v>
      </c>
      <c r="H80" s="76" t="s">
        <v>2417</v>
      </c>
      <c r="J80">
        <v>13908</v>
      </c>
      <c r="K80" t="s">
        <v>26</v>
      </c>
    </row>
    <row r="81" spans="1:14" ht="30">
      <c r="A81" s="153">
        <v>44747</v>
      </c>
      <c r="C81" t="s">
        <v>44</v>
      </c>
      <c r="D81" s="153">
        <v>44707</v>
      </c>
      <c r="E81" s="2" t="s">
        <v>23</v>
      </c>
      <c r="F81" t="s">
        <v>24</v>
      </c>
      <c r="G81">
        <v>92</v>
      </c>
      <c r="H81" s="76" t="s">
        <v>2417</v>
      </c>
      <c r="J81">
        <v>12862</v>
      </c>
      <c r="K81" t="s">
        <v>26</v>
      </c>
    </row>
    <row r="82" spans="1:14" ht="30">
      <c r="A82" s="153">
        <v>44747</v>
      </c>
      <c r="C82" t="s">
        <v>44</v>
      </c>
      <c r="D82" s="153">
        <v>44705</v>
      </c>
      <c r="E82" s="2" t="s">
        <v>23</v>
      </c>
      <c r="F82" t="s">
        <v>24</v>
      </c>
      <c r="G82">
        <v>93</v>
      </c>
      <c r="H82" s="76" t="s">
        <v>2417</v>
      </c>
      <c r="J82">
        <v>12861</v>
      </c>
      <c r="K82" t="s">
        <v>26</v>
      </c>
    </row>
    <row r="83" spans="1:14" ht="30">
      <c r="A83" s="153">
        <v>44747</v>
      </c>
      <c r="C83" t="s">
        <v>44</v>
      </c>
      <c r="D83" s="153">
        <v>44702</v>
      </c>
      <c r="E83" s="2" t="s">
        <v>23</v>
      </c>
      <c r="F83" t="s">
        <v>24</v>
      </c>
      <c r="G83">
        <v>92</v>
      </c>
      <c r="H83" s="76" t="s">
        <v>2417</v>
      </c>
      <c r="J83">
        <v>12860</v>
      </c>
      <c r="K83" t="s">
        <v>26</v>
      </c>
      <c r="L83">
        <v>359</v>
      </c>
      <c r="M83" t="s">
        <v>624</v>
      </c>
    </row>
    <row r="84" spans="1:14" ht="30">
      <c r="A84" s="153">
        <v>44747</v>
      </c>
      <c r="C84" t="s">
        <v>44</v>
      </c>
      <c r="D84" s="153">
        <v>44700</v>
      </c>
      <c r="E84" s="2" t="s">
        <v>23</v>
      </c>
      <c r="F84" t="s">
        <v>24</v>
      </c>
      <c r="G84">
        <v>90</v>
      </c>
      <c r="H84" s="76" t="s">
        <v>2417</v>
      </c>
      <c r="J84">
        <v>12859</v>
      </c>
      <c r="K84" t="s">
        <v>26</v>
      </c>
      <c r="L84" s="418" t="s">
        <v>2415</v>
      </c>
      <c r="M84" s="418">
        <v>359</v>
      </c>
      <c r="N84" t="s">
        <v>625</v>
      </c>
    </row>
    <row r="85" spans="1:14" ht="30">
      <c r="A85" s="153">
        <v>44747</v>
      </c>
      <c r="C85" t="s">
        <v>44</v>
      </c>
      <c r="D85" s="153">
        <v>44698</v>
      </c>
      <c r="E85" s="2" t="s">
        <v>23</v>
      </c>
      <c r="F85" t="s">
        <v>24</v>
      </c>
      <c r="G85">
        <v>94</v>
      </c>
      <c r="H85" s="76" t="s">
        <v>2417</v>
      </c>
      <c r="J85">
        <v>12858</v>
      </c>
      <c r="K85" t="s">
        <v>26</v>
      </c>
    </row>
    <row r="86" spans="1:14" ht="30">
      <c r="A86" s="153">
        <v>44747</v>
      </c>
      <c r="C86" t="s">
        <v>44</v>
      </c>
      <c r="D86" s="153">
        <v>44695</v>
      </c>
      <c r="E86" s="2" t="s">
        <v>23</v>
      </c>
      <c r="F86" t="s">
        <v>24</v>
      </c>
      <c r="G86">
        <v>92</v>
      </c>
      <c r="H86" s="76" t="s">
        <v>2417</v>
      </c>
      <c r="J86">
        <v>12857</v>
      </c>
      <c r="K86" t="s">
        <v>26</v>
      </c>
    </row>
    <row r="87" spans="1:14" ht="30">
      <c r="A87" s="153">
        <v>44747</v>
      </c>
      <c r="C87" t="s">
        <v>44</v>
      </c>
      <c r="D87" s="153">
        <v>44693</v>
      </c>
      <c r="E87" s="2" t="s">
        <v>23</v>
      </c>
      <c r="F87" t="s">
        <v>24</v>
      </c>
      <c r="G87">
        <v>92.95</v>
      </c>
      <c r="H87" s="76" t="s">
        <v>2417</v>
      </c>
      <c r="J87">
        <v>12856</v>
      </c>
      <c r="K87" t="s">
        <v>26</v>
      </c>
    </row>
    <row r="88" spans="1:14" ht="30">
      <c r="A88" s="153">
        <v>44747</v>
      </c>
      <c r="C88" t="s">
        <v>44</v>
      </c>
      <c r="D88" s="153">
        <v>44691</v>
      </c>
      <c r="E88" s="2" t="s">
        <v>23</v>
      </c>
      <c r="F88" t="s">
        <v>24</v>
      </c>
      <c r="G88">
        <v>94</v>
      </c>
      <c r="H88" s="76" t="s">
        <v>2417</v>
      </c>
      <c r="J88">
        <v>12855</v>
      </c>
      <c r="K88" t="s">
        <v>26</v>
      </c>
    </row>
    <row r="89" spans="1:14" ht="30">
      <c r="A89" s="153">
        <v>44747</v>
      </c>
      <c r="C89" t="s">
        <v>44</v>
      </c>
      <c r="D89" t="s">
        <v>2418</v>
      </c>
      <c r="E89" s="2" t="s">
        <v>23</v>
      </c>
      <c r="F89" t="s">
        <v>24</v>
      </c>
      <c r="G89">
        <v>91</v>
      </c>
      <c r="H89" s="76" t="s">
        <v>2417</v>
      </c>
      <c r="J89">
        <v>12863</v>
      </c>
      <c r="K89" t="s">
        <v>26</v>
      </c>
    </row>
    <row r="90" spans="1:14" ht="30">
      <c r="A90" s="153">
        <v>44747</v>
      </c>
      <c r="C90" t="s">
        <v>44</v>
      </c>
      <c r="D90" s="153">
        <v>44684</v>
      </c>
      <c r="E90" s="2" t="s">
        <v>23</v>
      </c>
      <c r="F90" t="s">
        <v>24</v>
      </c>
      <c r="G90">
        <v>92</v>
      </c>
      <c r="H90" s="76" t="s">
        <v>2417</v>
      </c>
      <c r="J90">
        <v>12865</v>
      </c>
      <c r="K90" t="s">
        <v>26</v>
      </c>
    </row>
    <row r="91" spans="1:14" ht="30">
      <c r="A91" t="s">
        <v>2419</v>
      </c>
      <c r="C91" t="s">
        <v>44</v>
      </c>
      <c r="D91" s="153">
        <v>44686</v>
      </c>
      <c r="E91" s="2" t="s">
        <v>23</v>
      </c>
      <c r="F91" t="s">
        <v>24</v>
      </c>
      <c r="G91">
        <v>93</v>
      </c>
      <c r="H91" s="76" t="s">
        <v>2417</v>
      </c>
      <c r="J91">
        <v>12864</v>
      </c>
      <c r="K91" t="s">
        <v>26</v>
      </c>
    </row>
    <row r="92" spans="1:14" ht="30">
      <c r="A92" s="153">
        <v>44747</v>
      </c>
      <c r="C92" t="s">
        <v>44</v>
      </c>
      <c r="D92" s="153">
        <v>44712</v>
      </c>
      <c r="E92" s="2" t="s">
        <v>23</v>
      </c>
      <c r="F92" t="s">
        <v>24</v>
      </c>
      <c r="G92">
        <v>90</v>
      </c>
      <c r="H92" s="76" t="s">
        <v>2417</v>
      </c>
      <c r="J92">
        <v>13909</v>
      </c>
      <c r="K92" t="s">
        <v>26</v>
      </c>
    </row>
    <row r="93" spans="1:14" ht="21">
      <c r="B93" s="366">
        <v>2992.37</v>
      </c>
      <c r="G93" s="364">
        <f>SUM(G80:G92)</f>
        <v>1196.95</v>
      </c>
      <c r="H93" s="365" t="s">
        <v>638</v>
      </c>
    </row>
    <row r="94" spans="1:14" ht="30">
      <c r="A94" s="380">
        <v>44755</v>
      </c>
      <c r="B94" s="379"/>
      <c r="C94" s="379" t="s">
        <v>57</v>
      </c>
      <c r="D94" s="380">
        <v>44714</v>
      </c>
      <c r="E94" s="381" t="s">
        <v>23</v>
      </c>
      <c r="F94" s="379"/>
      <c r="G94" s="379">
        <v>86.91</v>
      </c>
      <c r="H94" s="382" t="s">
        <v>2319</v>
      </c>
      <c r="I94" s="379"/>
      <c r="J94" s="379">
        <v>13910</v>
      </c>
      <c r="K94" s="379" t="s">
        <v>26</v>
      </c>
    </row>
    <row r="95" spans="1:14" ht="30">
      <c r="A95" s="380">
        <v>44755</v>
      </c>
      <c r="B95" s="379"/>
      <c r="C95" s="379" t="s">
        <v>57</v>
      </c>
      <c r="D95" s="380">
        <v>44716</v>
      </c>
      <c r="E95" s="381" t="s">
        <v>23</v>
      </c>
      <c r="F95" s="379"/>
      <c r="G95" s="379">
        <v>94</v>
      </c>
      <c r="H95" s="382" t="s">
        <v>2319</v>
      </c>
      <c r="I95" s="379"/>
      <c r="J95" s="379">
        <v>13911</v>
      </c>
      <c r="K95" s="379" t="s">
        <v>26</v>
      </c>
    </row>
    <row r="96" spans="1:14" ht="30">
      <c r="A96" s="380">
        <v>44755</v>
      </c>
      <c r="B96" s="379"/>
      <c r="C96" s="379" t="s">
        <v>57</v>
      </c>
      <c r="D96" s="380">
        <v>44719</v>
      </c>
      <c r="E96" s="381" t="s">
        <v>23</v>
      </c>
      <c r="F96" s="379"/>
      <c r="G96" s="379">
        <v>98</v>
      </c>
      <c r="H96" s="382" t="s">
        <v>2319</v>
      </c>
      <c r="I96" s="379"/>
      <c r="J96" s="379">
        <v>13912</v>
      </c>
      <c r="K96" s="379" t="s">
        <v>26</v>
      </c>
    </row>
    <row r="97" spans="1:14" ht="30">
      <c r="A97" s="380">
        <v>44755</v>
      </c>
      <c r="B97" s="379"/>
      <c r="C97" s="379" t="s">
        <v>57</v>
      </c>
      <c r="D97" s="380">
        <v>44721</v>
      </c>
      <c r="E97" s="381" t="s">
        <v>23</v>
      </c>
      <c r="F97" s="379"/>
      <c r="G97" s="379">
        <v>93</v>
      </c>
      <c r="H97" s="382" t="s">
        <v>2319</v>
      </c>
      <c r="I97" s="379"/>
      <c r="J97" s="379">
        <v>13913</v>
      </c>
      <c r="K97" s="379" t="s">
        <v>26</v>
      </c>
      <c r="L97">
        <v>368</v>
      </c>
      <c r="M97" t="s">
        <v>624</v>
      </c>
    </row>
    <row r="98" spans="1:14" ht="30">
      <c r="A98" s="380">
        <v>44755</v>
      </c>
      <c r="B98" s="379"/>
      <c r="C98" s="379" t="s">
        <v>57</v>
      </c>
      <c r="D98" s="380">
        <v>44723</v>
      </c>
      <c r="E98" s="381" t="s">
        <v>23</v>
      </c>
      <c r="F98" s="379"/>
      <c r="G98" s="379">
        <v>98</v>
      </c>
      <c r="H98" s="382" t="s">
        <v>2319</v>
      </c>
      <c r="I98" s="379"/>
      <c r="J98" s="379">
        <v>13914</v>
      </c>
      <c r="K98" s="379" t="s">
        <v>26</v>
      </c>
      <c r="L98" s="418" t="s">
        <v>2385</v>
      </c>
      <c r="M98" s="418">
        <v>368</v>
      </c>
    </row>
    <row r="99" spans="1:14" ht="30">
      <c r="A99" s="380">
        <v>44755</v>
      </c>
      <c r="B99" s="379"/>
      <c r="C99" s="379" t="s">
        <v>57</v>
      </c>
      <c r="D99" s="380">
        <v>44726</v>
      </c>
      <c r="E99" s="381" t="s">
        <v>23</v>
      </c>
      <c r="F99" s="379"/>
      <c r="G99" s="379">
        <v>94</v>
      </c>
      <c r="H99" s="382" t="s">
        <v>2319</v>
      </c>
      <c r="I99" s="379"/>
      <c r="J99" s="379">
        <v>13915</v>
      </c>
      <c r="K99" s="379" t="s">
        <v>26</v>
      </c>
    </row>
    <row r="100" spans="1:14" ht="30">
      <c r="A100" s="380">
        <v>44755</v>
      </c>
      <c r="B100" s="379"/>
      <c r="C100" s="379" t="s">
        <v>57</v>
      </c>
      <c r="D100" s="380">
        <v>44728</v>
      </c>
      <c r="E100" s="381" t="s">
        <v>23</v>
      </c>
      <c r="F100" s="379"/>
      <c r="G100" s="379">
        <v>97</v>
      </c>
      <c r="H100" s="382" t="s">
        <v>2319</v>
      </c>
      <c r="I100" s="379"/>
      <c r="J100" s="379">
        <v>13916</v>
      </c>
      <c r="K100" s="379" t="s">
        <v>26</v>
      </c>
    </row>
    <row r="101" spans="1:14" ht="30">
      <c r="A101" s="380">
        <v>44755</v>
      </c>
      <c r="B101" s="379"/>
      <c r="C101" s="379" t="s">
        <v>57</v>
      </c>
      <c r="D101" s="380">
        <v>44730</v>
      </c>
      <c r="E101" s="381" t="s">
        <v>23</v>
      </c>
      <c r="F101" s="379"/>
      <c r="G101" s="379">
        <v>96</v>
      </c>
      <c r="H101" s="382" t="s">
        <v>2319</v>
      </c>
      <c r="I101" s="379"/>
      <c r="J101" s="379">
        <v>13917</v>
      </c>
      <c r="K101" s="379" t="s">
        <v>26</v>
      </c>
    </row>
    <row r="102" spans="1:14" ht="30">
      <c r="A102" s="380">
        <v>44755</v>
      </c>
      <c r="B102" s="379"/>
      <c r="C102" s="379" t="s">
        <v>57</v>
      </c>
      <c r="D102" s="380">
        <v>44733</v>
      </c>
      <c r="E102" s="381" t="s">
        <v>23</v>
      </c>
      <c r="F102" s="379"/>
      <c r="G102" s="379">
        <v>93</v>
      </c>
      <c r="H102" s="382" t="s">
        <v>2319</v>
      </c>
      <c r="I102" s="379"/>
      <c r="J102" s="379">
        <v>13918</v>
      </c>
      <c r="K102" s="379" t="s">
        <v>26</v>
      </c>
    </row>
    <row r="103" spans="1:14" ht="30">
      <c r="A103" s="380">
        <v>44755</v>
      </c>
      <c r="B103" s="379"/>
      <c r="C103" s="379" t="s">
        <v>57</v>
      </c>
      <c r="D103" s="380">
        <v>44735</v>
      </c>
      <c r="E103" s="381" t="s">
        <v>23</v>
      </c>
      <c r="F103" s="379"/>
      <c r="G103" s="379">
        <v>94</v>
      </c>
      <c r="H103" s="382" t="s">
        <v>2319</v>
      </c>
      <c r="I103" s="379"/>
      <c r="J103" s="379">
        <v>13919</v>
      </c>
      <c r="K103" s="379" t="s">
        <v>26</v>
      </c>
    </row>
    <row r="104" spans="1:14" ht="30">
      <c r="A104" s="380">
        <v>44755</v>
      </c>
      <c r="B104" s="379"/>
      <c r="C104" s="379" t="s">
        <v>57</v>
      </c>
      <c r="D104" s="380" t="s">
        <v>2420</v>
      </c>
      <c r="E104" s="381" t="s">
        <v>23</v>
      </c>
      <c r="F104" s="379"/>
      <c r="G104" s="379">
        <v>92</v>
      </c>
      <c r="H104" s="382" t="s">
        <v>2319</v>
      </c>
      <c r="I104" s="379"/>
      <c r="J104" s="379">
        <v>14645</v>
      </c>
      <c r="K104" s="379" t="s">
        <v>26</v>
      </c>
    </row>
    <row r="105" spans="1:14" ht="30">
      <c r="A105" s="380">
        <v>44755</v>
      </c>
      <c r="B105" s="379"/>
      <c r="C105" s="379" t="s">
        <v>57</v>
      </c>
      <c r="D105" s="380">
        <v>44740</v>
      </c>
      <c r="E105" s="381" t="s">
        <v>23</v>
      </c>
      <c r="F105" s="379"/>
      <c r="G105" s="379">
        <v>96</v>
      </c>
      <c r="H105" s="382" t="s">
        <v>2319</v>
      </c>
      <c r="I105" s="379"/>
      <c r="J105" s="379">
        <v>14647</v>
      </c>
      <c r="K105" s="379" t="s">
        <v>26</v>
      </c>
    </row>
    <row r="106" spans="1:14" ht="30">
      <c r="A106" s="380">
        <v>44755</v>
      </c>
      <c r="B106" s="379"/>
      <c r="C106" s="379" t="s">
        <v>57</v>
      </c>
      <c r="D106" s="380">
        <v>44742</v>
      </c>
      <c r="E106" s="381" t="s">
        <v>23</v>
      </c>
      <c r="F106" s="379"/>
      <c r="G106" s="379">
        <v>94</v>
      </c>
      <c r="H106" s="382" t="s">
        <v>2319</v>
      </c>
      <c r="I106" s="379"/>
      <c r="J106" s="379">
        <v>14646</v>
      </c>
      <c r="K106" s="379" t="s">
        <v>26</v>
      </c>
    </row>
    <row r="107" spans="1:14" ht="18.75">
      <c r="A107" s="379"/>
      <c r="B107" s="383" t="s">
        <v>2421</v>
      </c>
      <c r="C107" s="379"/>
      <c r="D107" s="380" t="s">
        <v>36</v>
      </c>
      <c r="E107" s="384" t="s">
        <v>707</v>
      </c>
      <c r="F107" s="385"/>
      <c r="G107" s="385" t="s">
        <v>2422</v>
      </c>
      <c r="H107" s="382" t="s">
        <v>36</v>
      </c>
      <c r="I107" s="379"/>
      <c r="J107" s="379" t="s">
        <v>36</v>
      </c>
      <c r="K107" s="379" t="s">
        <v>36</v>
      </c>
    </row>
    <row r="108" spans="1:14" ht="30">
      <c r="A108" s="400">
        <v>44784</v>
      </c>
      <c r="B108" s="401"/>
      <c r="C108" s="401" t="s">
        <v>47</v>
      </c>
      <c r="D108" s="400">
        <v>44769</v>
      </c>
      <c r="E108" s="402" t="s">
        <v>23</v>
      </c>
      <c r="F108" s="401"/>
      <c r="G108" s="401">
        <v>137</v>
      </c>
      <c r="H108" s="403" t="s">
        <v>2423</v>
      </c>
      <c r="I108" s="401"/>
      <c r="J108" s="401">
        <v>14817</v>
      </c>
      <c r="K108" s="401" t="s">
        <v>26</v>
      </c>
    </row>
    <row r="109" spans="1:14" ht="30">
      <c r="A109" s="400">
        <v>44784</v>
      </c>
      <c r="B109" s="401"/>
      <c r="C109" s="401" t="s">
        <v>47</v>
      </c>
      <c r="D109" s="400">
        <v>44765</v>
      </c>
      <c r="E109" s="402" t="s">
        <v>23</v>
      </c>
      <c r="F109" s="401"/>
      <c r="G109" s="401">
        <v>138</v>
      </c>
      <c r="H109" s="403" t="s">
        <v>2423</v>
      </c>
      <c r="I109" s="401"/>
      <c r="J109" s="401">
        <v>14815</v>
      </c>
      <c r="K109" s="401" t="s">
        <v>26</v>
      </c>
    </row>
    <row r="110" spans="1:14" ht="30">
      <c r="A110" s="400">
        <v>44784</v>
      </c>
      <c r="B110" s="401"/>
      <c r="C110" s="401" t="s">
        <v>47</v>
      </c>
      <c r="D110" s="400">
        <v>44763</v>
      </c>
      <c r="E110" s="402" t="s">
        <v>23</v>
      </c>
      <c r="F110" s="401"/>
      <c r="G110" s="401">
        <v>137</v>
      </c>
      <c r="H110" s="403" t="s">
        <v>2423</v>
      </c>
      <c r="I110" s="401"/>
      <c r="J110" s="401">
        <v>14814</v>
      </c>
      <c r="K110" s="401" t="s">
        <v>26</v>
      </c>
      <c r="L110">
        <v>454</v>
      </c>
      <c r="M110" t="s">
        <v>624</v>
      </c>
    </row>
    <row r="111" spans="1:14" ht="30">
      <c r="A111" s="400">
        <v>44784</v>
      </c>
      <c r="B111" s="401"/>
      <c r="C111" s="401" t="s">
        <v>47</v>
      </c>
      <c r="D111" s="400">
        <v>44761</v>
      </c>
      <c r="E111" s="402" t="s">
        <v>23</v>
      </c>
      <c r="F111" s="401"/>
      <c r="G111" s="401">
        <v>137</v>
      </c>
      <c r="H111" s="403" t="s">
        <v>2423</v>
      </c>
      <c r="I111" s="401"/>
      <c r="J111" s="401">
        <v>14813</v>
      </c>
      <c r="K111" s="401" t="s">
        <v>26</v>
      </c>
      <c r="L111" s="418" t="s">
        <v>2385</v>
      </c>
      <c r="M111" s="418">
        <v>454</v>
      </c>
      <c r="N111" t="s">
        <v>625</v>
      </c>
    </row>
    <row r="112" spans="1:14" ht="30">
      <c r="A112" s="400">
        <v>44784</v>
      </c>
      <c r="B112" s="401"/>
      <c r="C112" s="401" t="s">
        <v>47</v>
      </c>
      <c r="D112" s="400">
        <v>44758</v>
      </c>
      <c r="E112" s="402" t="s">
        <v>23</v>
      </c>
      <c r="F112" s="401"/>
      <c r="G112" s="401">
        <v>138</v>
      </c>
      <c r="H112" s="403" t="s">
        <v>2423</v>
      </c>
      <c r="I112" s="401"/>
      <c r="J112" s="401">
        <v>14812</v>
      </c>
      <c r="K112" s="401" t="s">
        <v>26</v>
      </c>
    </row>
    <row r="113" spans="1:11" ht="30">
      <c r="A113" s="400">
        <v>44784</v>
      </c>
      <c r="B113" s="401"/>
      <c r="C113" s="401" t="s">
        <v>47</v>
      </c>
      <c r="D113" s="400">
        <v>44756</v>
      </c>
      <c r="E113" s="402" t="s">
        <v>23</v>
      </c>
      <c r="F113" s="401"/>
      <c r="G113" s="401">
        <v>137</v>
      </c>
      <c r="H113" s="403" t="s">
        <v>2423</v>
      </c>
      <c r="I113" s="401"/>
      <c r="J113" s="401">
        <v>14811</v>
      </c>
      <c r="K113" s="401" t="s">
        <v>26</v>
      </c>
    </row>
    <row r="114" spans="1:11" ht="30">
      <c r="A114" s="400">
        <v>44784</v>
      </c>
      <c r="B114" s="401"/>
      <c r="C114" s="401" t="s">
        <v>47</v>
      </c>
      <c r="D114" s="400">
        <v>44754</v>
      </c>
      <c r="E114" s="402" t="s">
        <v>23</v>
      </c>
      <c r="F114" s="401"/>
      <c r="G114" s="401">
        <v>139</v>
      </c>
      <c r="H114" s="403" t="s">
        <v>2423</v>
      </c>
      <c r="I114" s="401"/>
      <c r="J114" s="401">
        <v>14810</v>
      </c>
      <c r="K114" s="401" t="s">
        <v>26</v>
      </c>
    </row>
    <row r="115" spans="1:11" ht="30">
      <c r="A115" s="400">
        <v>44784</v>
      </c>
      <c r="B115" s="401"/>
      <c r="C115" s="401" t="s">
        <v>47</v>
      </c>
      <c r="D115" s="400">
        <v>44751</v>
      </c>
      <c r="E115" s="402" t="s">
        <v>23</v>
      </c>
      <c r="F115" s="401"/>
      <c r="G115" s="401">
        <v>137</v>
      </c>
      <c r="H115" s="403" t="s">
        <v>2423</v>
      </c>
      <c r="I115" s="401"/>
      <c r="J115" s="401">
        <v>14809</v>
      </c>
      <c r="K115" s="401" t="s">
        <v>26</v>
      </c>
    </row>
    <row r="116" spans="1:11" ht="30">
      <c r="A116" s="400">
        <v>44784</v>
      </c>
      <c r="B116" s="401"/>
      <c r="C116" s="401" t="s">
        <v>47</v>
      </c>
      <c r="D116" s="400">
        <v>44749</v>
      </c>
      <c r="E116" s="402" t="s">
        <v>23</v>
      </c>
      <c r="F116" s="401"/>
      <c r="G116" s="401">
        <v>137</v>
      </c>
      <c r="H116" s="403" t="s">
        <v>2423</v>
      </c>
      <c r="I116" s="401"/>
      <c r="J116" s="401">
        <v>14808</v>
      </c>
      <c r="K116" s="401" t="s">
        <v>26</v>
      </c>
    </row>
    <row r="117" spans="1:11" ht="30">
      <c r="A117" s="400">
        <v>44784</v>
      </c>
      <c r="B117" s="401"/>
      <c r="C117" s="401" t="s">
        <v>47</v>
      </c>
      <c r="D117" s="400">
        <v>44747</v>
      </c>
      <c r="E117" s="402" t="s">
        <v>23</v>
      </c>
      <c r="F117" s="401"/>
      <c r="G117" s="401">
        <v>138</v>
      </c>
      <c r="H117" s="403" t="s">
        <v>2423</v>
      </c>
      <c r="I117" s="401"/>
      <c r="J117" s="401">
        <v>14807</v>
      </c>
      <c r="K117" s="401" t="s">
        <v>26</v>
      </c>
    </row>
    <row r="118" spans="1:11" ht="30">
      <c r="A118" s="400">
        <v>44784</v>
      </c>
      <c r="B118" s="401"/>
      <c r="C118" s="401" t="s">
        <v>47</v>
      </c>
      <c r="D118" s="400">
        <v>44744</v>
      </c>
      <c r="E118" s="402" t="s">
        <v>23</v>
      </c>
      <c r="F118" s="401"/>
      <c r="G118" s="401">
        <v>137</v>
      </c>
      <c r="H118" s="403" t="s">
        <v>2423</v>
      </c>
      <c r="I118" s="401"/>
      <c r="J118" s="401">
        <v>14806</v>
      </c>
      <c r="K118" s="401" t="s">
        <v>26</v>
      </c>
    </row>
    <row r="119" spans="1:11" ht="30.75">
      <c r="A119" s="380"/>
      <c r="B119" s="405" t="s">
        <v>2424</v>
      </c>
      <c r="C119" s="379"/>
      <c r="D119" s="380"/>
      <c r="E119" s="381" t="s">
        <v>23</v>
      </c>
      <c r="F119" s="379"/>
      <c r="G119" s="383">
        <f>SUM(G108:G118)</f>
        <v>1512</v>
      </c>
      <c r="H119" s="404" t="s">
        <v>708</v>
      </c>
      <c r="I119" s="379"/>
      <c r="J119" s="379"/>
      <c r="K119" s="379"/>
    </row>
    <row r="120" spans="1:11" ht="30">
      <c r="A120" s="380"/>
      <c r="B120" s="379"/>
      <c r="C120" s="379"/>
      <c r="D120" s="380"/>
      <c r="E120" s="381" t="s">
        <v>23</v>
      </c>
      <c r="F120" s="379"/>
      <c r="G120" s="379"/>
      <c r="H120" s="382"/>
      <c r="I120" s="379"/>
      <c r="J120" s="379"/>
      <c r="K120" s="379"/>
    </row>
    <row r="121" spans="1:11" ht="30">
      <c r="A121" s="380"/>
      <c r="B121" s="379"/>
      <c r="C121" s="379"/>
      <c r="D121" s="380"/>
      <c r="E121" s="381" t="s">
        <v>23</v>
      </c>
      <c r="F121" s="379"/>
      <c r="G121" s="379"/>
      <c r="H121" s="382"/>
      <c r="I121" s="379"/>
      <c r="J121" s="379"/>
      <c r="K121" s="379"/>
    </row>
    <row r="122" spans="1:11" ht="30">
      <c r="A122" s="380"/>
      <c r="B122" s="379"/>
      <c r="C122" s="379"/>
      <c r="D122" s="380"/>
      <c r="E122" s="381" t="s">
        <v>23</v>
      </c>
      <c r="F122" s="379"/>
      <c r="G122" s="379"/>
      <c r="H122" s="382"/>
      <c r="I122" s="379"/>
      <c r="J122" s="379"/>
      <c r="K122" s="379"/>
    </row>
    <row r="123" spans="1:11" ht="30">
      <c r="A123" s="380"/>
      <c r="B123" s="379"/>
      <c r="C123" s="379"/>
      <c r="D123" s="380"/>
      <c r="E123" s="381" t="s">
        <v>23</v>
      </c>
      <c r="F123" s="379"/>
      <c r="G123" s="379"/>
      <c r="H123" s="382"/>
      <c r="I123" s="379"/>
      <c r="J123" s="379"/>
      <c r="K123" s="379"/>
    </row>
    <row r="124" spans="1:11" ht="30">
      <c r="A124" s="380"/>
      <c r="B124" s="379"/>
      <c r="C124" s="379"/>
      <c r="D124" s="380"/>
      <c r="E124" s="381" t="s">
        <v>23</v>
      </c>
      <c r="F124" s="379"/>
      <c r="G124" s="379"/>
      <c r="H124" s="382"/>
      <c r="I124" s="379"/>
      <c r="J124" s="379"/>
      <c r="K124" s="379"/>
    </row>
    <row r="125" spans="1:11" ht="30">
      <c r="A125" s="380"/>
      <c r="B125" s="379"/>
      <c r="C125" s="379"/>
      <c r="D125" s="380"/>
      <c r="E125" s="381" t="s">
        <v>23</v>
      </c>
      <c r="F125" s="379"/>
      <c r="G125" s="379"/>
      <c r="H125" s="382"/>
      <c r="I125" s="379"/>
      <c r="J125" s="379"/>
      <c r="K125" s="379"/>
    </row>
    <row r="126" spans="1:11" ht="30">
      <c r="A126" s="380"/>
      <c r="B126" s="379"/>
      <c r="C126" s="379"/>
      <c r="D126" s="380"/>
      <c r="E126" s="381" t="s">
        <v>23</v>
      </c>
      <c r="F126" s="379"/>
      <c r="G126" s="379"/>
      <c r="H126" s="382"/>
      <c r="I126" s="379"/>
      <c r="J126" s="379"/>
      <c r="K126" s="379"/>
    </row>
    <row r="127" spans="1:11" ht="30">
      <c r="A127" s="380"/>
      <c r="B127" s="379"/>
      <c r="C127" s="379"/>
      <c r="D127" s="380"/>
      <c r="E127" s="381" t="s">
        <v>23</v>
      </c>
      <c r="F127" s="379"/>
      <c r="G127" s="379"/>
      <c r="H127" s="382"/>
      <c r="I127" s="379"/>
      <c r="J127" s="379"/>
      <c r="K127" s="379"/>
    </row>
    <row r="128" spans="1:11" ht="30">
      <c r="A128" s="380"/>
      <c r="B128" s="379"/>
      <c r="C128" s="379"/>
      <c r="D128" s="380"/>
      <c r="E128" s="381" t="s">
        <v>23</v>
      </c>
      <c r="F128" s="379"/>
      <c r="G128" s="379"/>
      <c r="H128" s="382"/>
      <c r="I128" s="379"/>
      <c r="J128" s="379"/>
      <c r="K128" s="379"/>
    </row>
    <row r="129" spans="1:11" ht="30">
      <c r="A129" s="380"/>
      <c r="B129" s="379"/>
      <c r="C129" s="379"/>
      <c r="D129" s="380"/>
      <c r="E129" s="381" t="s">
        <v>23</v>
      </c>
      <c r="F129" s="379"/>
      <c r="G129" s="379"/>
      <c r="H129" s="382"/>
      <c r="I129" s="379"/>
      <c r="J129" s="379"/>
      <c r="K129" s="379"/>
    </row>
    <row r="130" spans="1:11" ht="30">
      <c r="A130" s="380"/>
      <c r="B130" s="379"/>
      <c r="C130" s="379"/>
      <c r="D130" s="380"/>
      <c r="E130" s="381" t="s">
        <v>23</v>
      </c>
      <c r="F130" s="379"/>
      <c r="G130" s="379"/>
      <c r="H130" s="382"/>
      <c r="I130" s="379"/>
      <c r="J130" s="379"/>
      <c r="K130" s="379"/>
    </row>
    <row r="131" spans="1:11" ht="30">
      <c r="A131" s="380"/>
      <c r="B131" s="379"/>
      <c r="C131" s="379"/>
      <c r="D131" s="380"/>
      <c r="E131" s="381" t="s">
        <v>23</v>
      </c>
      <c r="F131" s="379"/>
      <c r="G131" s="379"/>
      <c r="H131" s="382"/>
      <c r="I131" s="379"/>
      <c r="J131" s="379"/>
      <c r="K131" s="37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131" xr:uid="{D268C44D-DA23-4E93-AEB0-5A77C357E476}">
      <formula1>"ENERO,FEBRERO,MARZO,ABRIL,MAYO,JUNIO,JULIO,AGOSTO,SEPTIEMBRE,OCTUBRE,NOVIEMBRE,DICIEMBRE"</formula1>
    </dataValidation>
    <dataValidation type="list" allowBlank="1" showInputMessage="1" showErrorMessage="1" sqref="F10:F131" xr:uid="{0AC7CEAC-2F85-4E55-A1DF-43666E9948CF}">
      <formula1>"EFECTIVO, CHEQUE, TRANSFERENCIA,DEPOSITO"</formula1>
    </dataValidation>
  </dataValidations>
  <hyperlinks>
    <hyperlink ref="B2:F2" r:id="rId1" display="xarorenalcare@outlook.es/ daizaq@hotmail.com" xr:uid="{E25347D8-DFB3-43AE-A4DB-5488D83A555B}"/>
    <hyperlink ref="B4:E4" r:id="rId2" display="xarorenalcare@outlook.es/ daizaq@hotmail.com" xr:uid="{E7AC6A73-D296-4F78-824A-790445BB5CAD}"/>
  </hyperlinks>
  <pageMargins left="0.7" right="0.7" top="0.75" bottom="0.75" header="0.3" footer="0.3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AF17-AFE0-46FF-8ED4-B6D021C7A7B9}">
  <sheetPr>
    <tabColor rgb="FFFF0000"/>
  </sheetPr>
  <dimension ref="A1:R433"/>
  <sheetViews>
    <sheetView workbookViewId="0"/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2425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36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23.25">
      <c r="A3" s="2" t="s">
        <v>1</v>
      </c>
      <c r="B3" s="2">
        <v>20534979771</v>
      </c>
      <c r="F3" s="690" t="s">
        <v>2426</v>
      </c>
      <c r="G3" s="690"/>
      <c r="H3" s="690"/>
      <c r="I3" s="690"/>
      <c r="J3" s="690"/>
      <c r="K3" s="690"/>
      <c r="L3" s="690"/>
      <c r="M3" s="690"/>
    </row>
    <row r="4" spans="1:14" ht="15" customHeight="1">
      <c r="A4" s="2" t="s">
        <v>2277</v>
      </c>
      <c r="B4" s="796" t="s">
        <v>2427</v>
      </c>
      <c r="C4" s="796"/>
      <c r="D4" s="796"/>
      <c r="E4" s="796"/>
    </row>
    <row r="5" spans="1:14" ht="23.25" customHeight="1">
      <c r="A5" s="257" t="s">
        <v>4</v>
      </c>
      <c r="B5" s="786" t="s">
        <v>2428</v>
      </c>
      <c r="C5" s="787"/>
      <c r="F5" s="258"/>
      <c r="G5" s="788" t="s">
        <v>2429</v>
      </c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18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 t="s">
        <v>36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36</v>
      </c>
      <c r="K10" s="2" t="s">
        <v>36</v>
      </c>
    </row>
    <row r="11" spans="1:14" ht="30">
      <c r="A11" s="7"/>
      <c r="B11" s="8"/>
      <c r="E11" s="2" t="s">
        <v>23</v>
      </c>
      <c r="F11" s="2"/>
      <c r="H11" s="76"/>
      <c r="I11" s="9"/>
      <c r="J11" s="9"/>
      <c r="K11" s="2"/>
    </row>
    <row r="12" spans="1:14" ht="30">
      <c r="A12" s="7"/>
      <c r="B12" s="8"/>
      <c r="E12" s="2" t="s">
        <v>23</v>
      </c>
      <c r="F12" s="2"/>
      <c r="H12" s="76"/>
      <c r="I12" s="9"/>
      <c r="J12" s="9"/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796D71D5-CA62-4F09-A5D2-0EFDF27AD4E5}">
      <formula1>"ENERO,FEBRERO,MARZO,ABRIL,MAYO,JUNIO,JULIO,AGOSTO,SEPTIEMBRE,OCTUBRE,NOVIEMBRE,DICIEMBRE"</formula1>
    </dataValidation>
    <dataValidation type="list" allowBlank="1" showInputMessage="1" showErrorMessage="1" sqref="F10:F30" xr:uid="{D0FA7F7C-C275-48B3-9EB1-93F1605179F9}">
      <formula1>"EFECTIVO, CHEQUE, TRANSFERENCIA,DEPOSITO"</formula1>
    </dataValidation>
  </dataValidations>
  <hyperlinks>
    <hyperlink ref="B4:E4" r:id="rId1" display="JOEL.1981@GMAIL.COM" xr:uid="{2C723A50-A7A5-4936-8D29-35D610EAE985}"/>
  </hyperlinks>
  <pageMargins left="0.7" right="0.7" top="0.75" bottom="0.75" header="0.3" footer="0.3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B235-9307-4F23-B8B2-A064B366EBA4}">
  <sheetPr>
    <tabColor rgb="FFFF0000"/>
  </sheetPr>
  <dimension ref="A1:R433"/>
  <sheetViews>
    <sheetView workbookViewId="0">
      <selection activeCell="F3" sqref="F3:M3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2430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36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21">
      <c r="A3" s="2" t="s">
        <v>1</v>
      </c>
      <c r="B3" s="280">
        <v>20600339771</v>
      </c>
      <c r="F3" s="686" t="s">
        <v>2431</v>
      </c>
      <c r="G3" s="686"/>
      <c r="H3" s="686"/>
      <c r="I3" s="686"/>
      <c r="J3" s="686"/>
      <c r="K3" s="686"/>
      <c r="L3" s="686"/>
      <c r="M3" s="686"/>
    </row>
    <row r="4" spans="1:14" ht="15" customHeight="1">
      <c r="A4" s="2" t="s">
        <v>2277</v>
      </c>
      <c r="B4" s="796" t="s">
        <v>2432</v>
      </c>
      <c r="C4" s="796"/>
      <c r="D4" s="796"/>
      <c r="E4" s="796"/>
    </row>
    <row r="5" spans="1:14" ht="23.25" customHeight="1">
      <c r="A5" s="257" t="s">
        <v>4</v>
      </c>
      <c r="B5" s="786">
        <v>44517</v>
      </c>
      <c r="C5" s="787"/>
      <c r="F5" s="258"/>
      <c r="G5" s="788" t="s">
        <v>2433</v>
      </c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18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 t="s">
        <v>36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36</v>
      </c>
      <c r="K10" s="2" t="s">
        <v>36</v>
      </c>
    </row>
    <row r="11" spans="1:14" ht="30">
      <c r="A11" s="7"/>
      <c r="B11" s="8"/>
      <c r="E11" s="2" t="s">
        <v>23</v>
      </c>
      <c r="F11" s="2"/>
      <c r="H11" s="76"/>
      <c r="I11" s="9"/>
      <c r="J11" s="9"/>
      <c r="K11" s="2"/>
    </row>
    <row r="12" spans="1:14" ht="30">
      <c r="A12" s="7"/>
      <c r="B12" s="8"/>
      <c r="E12" s="2" t="s">
        <v>23</v>
      </c>
      <c r="F12" s="2"/>
      <c r="H12" s="76"/>
      <c r="I12" s="9"/>
      <c r="J12" s="9"/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B496E212-6628-48F9-AB1C-446655BF1BBB}">
      <formula1>"ENERO,FEBRERO,MARZO,ABRIL,MAYO,JUNIO,JULIO,AGOSTO,SEPTIEMBRE,OCTUBRE,NOVIEMBRE,DICIEMBRE"</formula1>
    </dataValidation>
    <dataValidation type="list" allowBlank="1" showInputMessage="1" showErrorMessage="1" sqref="F10:F30" xr:uid="{0EACEF64-2C59-4499-9E52-236202EDFDA3}">
      <formula1>"EFECTIVO, CHEQUE, TRANSFERENCIA,DEPOSITO"</formula1>
    </dataValidation>
  </dataValidations>
  <hyperlinks>
    <hyperlink ref="B4:E4" r:id="rId1" display="pathy9@gmail.com" xr:uid="{D56266CC-0F31-4700-9021-9BFA2DCF6C9B}"/>
  </hyperlinks>
  <pageMargins left="0.7" right="0.7" top="0.75" bottom="0.75" header="0.3" footer="0.3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F02B-AF46-47CA-A472-86245C68F899}">
  <sheetPr>
    <tabColor rgb="FFFF0000"/>
  </sheetPr>
  <dimension ref="A1:R433"/>
  <sheetViews>
    <sheetView workbookViewId="0">
      <selection activeCell="B3" sqref="B3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0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2434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2435</v>
      </c>
      <c r="C2" s="790"/>
      <c r="D2" s="790"/>
      <c r="E2" s="790"/>
      <c r="F2" s="790"/>
      <c r="G2" s="256"/>
      <c r="H2" s="797" t="s">
        <v>26</v>
      </c>
      <c r="I2" s="797"/>
      <c r="J2" s="797"/>
      <c r="K2" s="797"/>
    </row>
    <row r="3" spans="1:14" ht="15.75">
      <c r="A3" s="2" t="s">
        <v>1</v>
      </c>
      <c r="B3" s="2">
        <v>10727205271</v>
      </c>
      <c r="F3" s="794" t="s">
        <v>224</v>
      </c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8" t="s">
        <v>2436</v>
      </c>
      <c r="C4" s="798"/>
      <c r="D4" s="798"/>
      <c r="E4" s="798"/>
    </row>
    <row r="5" spans="1:14" ht="23.25" customHeight="1">
      <c r="A5" s="257" t="s">
        <v>4</v>
      </c>
      <c r="B5" s="786">
        <v>44530</v>
      </c>
      <c r="C5" s="787"/>
      <c r="F5" s="258"/>
      <c r="G5" s="788" t="s">
        <v>2429</v>
      </c>
      <c r="H5" s="788"/>
      <c r="I5" s="788"/>
      <c r="J5" s="788"/>
      <c r="K5" s="788"/>
      <c r="L5" s="788"/>
      <c r="M5" s="788"/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18</v>
      </c>
      <c r="L9" s="265" t="s">
        <v>99</v>
      </c>
      <c r="M9" s="260"/>
      <c r="N9" s="260"/>
    </row>
    <row r="10" spans="1:14" ht="30.75">
      <c r="A10" s="266" t="s">
        <v>2366</v>
      </c>
      <c r="B10" s="8">
        <v>118</v>
      </c>
      <c r="C10" s="2"/>
      <c r="D10" s="153" t="s">
        <v>36</v>
      </c>
      <c r="E10" s="2" t="s">
        <v>23</v>
      </c>
      <c r="F10" s="2" t="s">
        <v>24</v>
      </c>
      <c r="G10" s="2">
        <v>1</v>
      </c>
      <c r="H10" s="9" t="s">
        <v>2437</v>
      </c>
      <c r="I10" s="9"/>
      <c r="J10" s="9"/>
      <c r="K10" s="2" t="s">
        <v>26</v>
      </c>
    </row>
    <row r="11" spans="1:14" ht="30">
      <c r="A11" s="7">
        <v>44650</v>
      </c>
      <c r="B11" s="8">
        <v>118</v>
      </c>
      <c r="C11" t="s">
        <v>38</v>
      </c>
      <c r="D11" s="153">
        <v>44650</v>
      </c>
      <c r="E11" s="2" t="s">
        <v>23</v>
      </c>
      <c r="F11" s="2" t="s">
        <v>28</v>
      </c>
      <c r="G11">
        <v>2</v>
      </c>
      <c r="H11" s="76" t="s">
        <v>2438</v>
      </c>
      <c r="I11" s="9"/>
      <c r="J11" s="9"/>
      <c r="K11" s="2" t="s">
        <v>26</v>
      </c>
    </row>
    <row r="12" spans="1:14" ht="30">
      <c r="A12" s="7">
        <v>44711</v>
      </c>
      <c r="B12" s="8">
        <v>118</v>
      </c>
      <c r="C12" t="s">
        <v>44</v>
      </c>
      <c r="D12" s="153">
        <v>44711</v>
      </c>
      <c r="E12" s="2" t="s">
        <v>23</v>
      </c>
      <c r="F12" s="2" t="s">
        <v>28</v>
      </c>
      <c r="G12">
        <v>3</v>
      </c>
      <c r="H12" s="76" t="s">
        <v>2439</v>
      </c>
      <c r="I12" s="9"/>
      <c r="J12" s="9" t="s">
        <v>2440</v>
      </c>
      <c r="K12" s="2" t="s">
        <v>26</v>
      </c>
    </row>
    <row r="13" spans="1:14" ht="30">
      <c r="A13" s="153">
        <v>44761</v>
      </c>
      <c r="B13" s="154">
        <v>118</v>
      </c>
      <c r="C13" t="s">
        <v>57</v>
      </c>
      <c r="D13" s="153">
        <v>44749</v>
      </c>
      <c r="E13" s="2" t="s">
        <v>23</v>
      </c>
      <c r="F13" t="s">
        <v>28</v>
      </c>
      <c r="G13">
        <v>4</v>
      </c>
      <c r="H13" s="76" t="s">
        <v>2441</v>
      </c>
      <c r="I13" s="9"/>
      <c r="J13" s="9" t="s">
        <v>2442</v>
      </c>
      <c r="K13" s="2" t="s">
        <v>26</v>
      </c>
    </row>
    <row r="14" spans="1:14" ht="30">
      <c r="A14" s="153">
        <v>44818</v>
      </c>
      <c r="B14" s="154">
        <v>118</v>
      </c>
      <c r="C14" t="s">
        <v>22</v>
      </c>
      <c r="D14" s="153">
        <v>44818</v>
      </c>
      <c r="E14" s="2" t="s">
        <v>23</v>
      </c>
      <c r="F14" t="s">
        <v>28</v>
      </c>
      <c r="G14">
        <v>5</v>
      </c>
      <c r="H14" s="76" t="s">
        <v>2443</v>
      </c>
      <c r="I14" s="9"/>
      <c r="J14" s="9" t="s">
        <v>2444</v>
      </c>
      <c r="K14" s="2" t="s">
        <v>26</v>
      </c>
    </row>
    <row r="15" spans="1:14" ht="30.75">
      <c r="A15" s="153">
        <v>44959</v>
      </c>
      <c r="B15" s="154">
        <v>118</v>
      </c>
      <c r="C15" t="s">
        <v>30</v>
      </c>
      <c r="D15" t="s">
        <v>331</v>
      </c>
      <c r="E15" s="2" t="s">
        <v>23</v>
      </c>
      <c r="F15" t="s">
        <v>24</v>
      </c>
      <c r="G15">
        <v>6</v>
      </c>
      <c r="H15" s="76" t="s">
        <v>2445</v>
      </c>
      <c r="I15" s="9"/>
      <c r="J15" s="9" t="s">
        <v>2446</v>
      </c>
      <c r="K15" s="2" t="s">
        <v>26</v>
      </c>
      <c r="L15" t="s">
        <v>72</v>
      </c>
      <c r="N15" t="s">
        <v>36</v>
      </c>
    </row>
    <row r="16" spans="1:14" ht="30.75">
      <c r="A16" s="7" t="s">
        <v>305</v>
      </c>
      <c r="B16" s="8">
        <v>1180</v>
      </c>
      <c r="C16" s="2" t="s">
        <v>32</v>
      </c>
      <c r="D16" s="2" t="s">
        <v>189</v>
      </c>
      <c r="E16" s="2" t="s">
        <v>23</v>
      </c>
      <c r="F16" s="2" t="s">
        <v>28</v>
      </c>
      <c r="G16" s="2">
        <v>7</v>
      </c>
      <c r="H16" s="76" t="s">
        <v>2447</v>
      </c>
      <c r="I16" s="9"/>
      <c r="J16" s="9" t="s">
        <v>2448</v>
      </c>
      <c r="K16" s="2" t="s">
        <v>26</v>
      </c>
    </row>
    <row r="17" spans="1:18" ht="30.75">
      <c r="A17" s="7" t="s">
        <v>2449</v>
      </c>
      <c r="B17" s="8">
        <v>118</v>
      </c>
      <c r="C17" t="s">
        <v>34</v>
      </c>
      <c r="D17" t="s">
        <v>66</v>
      </c>
      <c r="E17" s="2" t="s">
        <v>23</v>
      </c>
      <c r="F17" s="2" t="s">
        <v>24</v>
      </c>
      <c r="G17">
        <v>9</v>
      </c>
      <c r="H17" s="76" t="s">
        <v>2450</v>
      </c>
      <c r="I17" s="9"/>
      <c r="J17" s="9" t="s">
        <v>2451</v>
      </c>
      <c r="K17" t="s">
        <v>26</v>
      </c>
      <c r="L17" t="s">
        <v>72</v>
      </c>
      <c r="R17" t="s">
        <v>36</v>
      </c>
    </row>
    <row r="18" spans="1:18" ht="30.75">
      <c r="A18" t="s">
        <v>2449</v>
      </c>
      <c r="B18" s="154">
        <v>118</v>
      </c>
      <c r="C18" t="s">
        <v>38</v>
      </c>
      <c r="D18" t="s">
        <v>68</v>
      </c>
      <c r="E18" s="2" t="s">
        <v>23</v>
      </c>
      <c r="F18" t="s">
        <v>24</v>
      </c>
      <c r="G18">
        <v>10</v>
      </c>
      <c r="H18" s="76" t="s">
        <v>2450</v>
      </c>
      <c r="I18" s="9"/>
      <c r="J18" s="9" t="s">
        <v>2452</v>
      </c>
      <c r="K18" t="s">
        <v>26</v>
      </c>
      <c r="L18" t="s">
        <v>72</v>
      </c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B409703D-A0CB-4B80-A6C6-5E2E478A465F}">
      <formula1>"ENERO,FEBRERO,MARZO,ABRIL,MAYO,JUNIO,JULIO,AGOSTO,SEPTIEMBRE,OCTUBRE,NOVIEMBRE,DICIEMBRE"</formula1>
    </dataValidation>
    <dataValidation type="list" allowBlank="1" showInputMessage="1" showErrorMessage="1" sqref="F10:F30" xr:uid="{2D7CD8D7-F540-4E9A-93EA-F9D415F50BB7}">
      <formula1>"EFECTIVO, CHEQUE, TRANSFERENCIA,DEPOSITO"</formula1>
    </dataValidation>
  </dataValidations>
  <hyperlinks>
    <hyperlink ref="B4:E4" r:id="rId1" display="Segurapardolauraraquel@gmail.com" xr:uid="{376590CF-C035-4367-8A6D-9A3C9FB32DF4}"/>
  </hyperlinks>
  <pageMargins left="0.7" right="0.7" top="0.75" bottom="0.75" header="0.3" footer="0.3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257F-6D53-47F3-8F40-26A7D2EB880C}">
  <sheetPr>
    <tabColor rgb="FFFFC000"/>
  </sheetPr>
  <dimension ref="A1:R433"/>
  <sheetViews>
    <sheetView topLeftCell="A2" workbookViewId="0">
      <selection activeCell="B3" sqref="B3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2453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2454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 t="s">
        <v>2455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2456</v>
      </c>
      <c r="K10" s="2">
        <v>9174</v>
      </c>
    </row>
    <row r="11" spans="1:14" ht="30">
      <c r="A11" s="7"/>
      <c r="B11" s="8"/>
      <c r="D11" s="153">
        <v>44550</v>
      </c>
      <c r="E11" s="2" t="s">
        <v>23</v>
      </c>
      <c r="F11" s="2"/>
      <c r="H11" s="76"/>
      <c r="I11" s="9"/>
      <c r="J11" s="9" t="s">
        <v>2457</v>
      </c>
      <c r="K11" s="2">
        <v>8977</v>
      </c>
    </row>
    <row r="12" spans="1:14" ht="30">
      <c r="A12" s="7"/>
      <c r="B12" s="8"/>
      <c r="D12" s="153">
        <v>44541</v>
      </c>
      <c r="E12" s="2" t="s">
        <v>23</v>
      </c>
      <c r="F12" s="2"/>
      <c r="H12" s="76"/>
      <c r="I12" s="9"/>
      <c r="J12" s="9" t="s">
        <v>2458</v>
      </c>
      <c r="K12" s="2">
        <v>8584</v>
      </c>
    </row>
    <row r="13" spans="1:14" ht="30">
      <c r="B13" s="154"/>
      <c r="D13" s="153">
        <v>44546</v>
      </c>
      <c r="E13" s="2" t="s">
        <v>23</v>
      </c>
      <c r="H13" s="76"/>
      <c r="I13" s="9"/>
      <c r="J13" s="9" t="s">
        <v>2459</v>
      </c>
      <c r="K13" s="2">
        <v>8882</v>
      </c>
    </row>
    <row r="14" spans="1:14" ht="30">
      <c r="B14" s="154"/>
      <c r="D14" s="153">
        <v>44548</v>
      </c>
      <c r="E14" s="2" t="s">
        <v>23</v>
      </c>
      <c r="H14" s="76"/>
      <c r="I14" s="9"/>
      <c r="J14" s="9" t="s">
        <v>2459</v>
      </c>
      <c r="K14" s="2">
        <v>8934</v>
      </c>
    </row>
    <row r="15" spans="1:14" ht="30">
      <c r="B15" s="154"/>
      <c r="D15" s="153">
        <v>44552</v>
      </c>
      <c r="E15" s="2" t="s">
        <v>23</v>
      </c>
      <c r="H15" s="76"/>
      <c r="I15" s="9"/>
      <c r="J15" s="9" t="s">
        <v>2460</v>
      </c>
      <c r="K15" s="2">
        <v>9042</v>
      </c>
      <c r="N15" t="s">
        <v>36</v>
      </c>
    </row>
    <row r="16" spans="1:14" ht="30">
      <c r="A16" s="7"/>
      <c r="B16" s="8"/>
      <c r="C16" s="2"/>
      <c r="D16" s="7">
        <v>44554</v>
      </c>
      <c r="E16" s="2" t="s">
        <v>23</v>
      </c>
      <c r="F16" s="2"/>
      <c r="G16" s="2"/>
      <c r="H16" s="76"/>
      <c r="I16" s="9"/>
      <c r="J16" s="9" t="s">
        <v>2461</v>
      </c>
      <c r="K16" s="2">
        <v>9168</v>
      </c>
    </row>
    <row r="17" spans="1:18" ht="30">
      <c r="A17" s="7"/>
      <c r="B17" s="8"/>
      <c r="D17" s="153">
        <v>44560</v>
      </c>
      <c r="E17" s="2" t="s">
        <v>23</v>
      </c>
      <c r="F17" s="2"/>
      <c r="H17" s="76"/>
      <c r="I17" s="9"/>
      <c r="J17" s="9" t="s">
        <v>2462</v>
      </c>
      <c r="K17">
        <v>9287</v>
      </c>
      <c r="R17" t="s">
        <v>36</v>
      </c>
    </row>
    <row r="18" spans="1:18" ht="30">
      <c r="B18" s="154"/>
      <c r="D18" s="153">
        <v>44586</v>
      </c>
      <c r="E18" s="2" t="s">
        <v>23</v>
      </c>
      <c r="H18" s="76"/>
      <c r="I18" s="9"/>
      <c r="J18" s="9" t="s">
        <v>2463</v>
      </c>
      <c r="K18">
        <v>10065</v>
      </c>
    </row>
    <row r="19" spans="1:18" ht="30">
      <c r="B19" s="154"/>
      <c r="D19" s="153">
        <v>44584</v>
      </c>
      <c r="E19" s="2" t="s">
        <v>23</v>
      </c>
      <c r="H19" s="76"/>
      <c r="I19" s="9"/>
      <c r="J19" s="9" t="s">
        <v>2464</v>
      </c>
      <c r="K19">
        <v>10063</v>
      </c>
    </row>
    <row r="20" spans="1:18" ht="30">
      <c r="B20" s="154"/>
      <c r="D20" s="153">
        <v>44588</v>
      </c>
      <c r="E20" s="2" t="s">
        <v>23</v>
      </c>
      <c r="H20" s="76"/>
      <c r="I20" s="9"/>
      <c r="J20" s="9" t="s">
        <v>2465</v>
      </c>
      <c r="K20">
        <v>10159</v>
      </c>
    </row>
    <row r="21" spans="1:18" ht="30">
      <c r="B21" s="154"/>
      <c r="D21" s="153">
        <v>44592</v>
      </c>
      <c r="E21" s="2" t="s">
        <v>23</v>
      </c>
      <c r="H21" s="76"/>
      <c r="I21" s="9"/>
      <c r="J21" s="9" t="s">
        <v>2466</v>
      </c>
      <c r="K21" t="s">
        <v>2467</v>
      </c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4913D8A1-9572-4695-995D-94583940C4C9}">
      <formula1>"ENERO,FEBRERO,MARZO,ABRIL,MAYO,JUNIO,JULIO,AGOSTO,SEPTIEMBRE,OCTUBRE,NOVIEMBRE,DICIEMBRE"</formula1>
    </dataValidation>
    <dataValidation type="list" allowBlank="1" showInputMessage="1" showErrorMessage="1" sqref="F10:F30" xr:uid="{9CAEFCA1-EB0D-4A41-BD05-8A3540D2AD78}">
      <formula1>"EFECTIVO, CHEQUE, TRANSFERENCIA,DEPOSITO"</formula1>
    </dataValidation>
  </dataValidations>
  <hyperlinks>
    <hyperlink ref="B4:E4" r:id="rId1" display="Jr_2080@hotmail.com" xr:uid="{424A9537-A3B6-4C43-95C3-2524332388CC}"/>
  </hyperlinks>
  <pageMargins left="0.7" right="0.7" top="0.75" bottom="0.75" header="0.3" footer="0.3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4A3F-790B-4D85-A8E5-7B889EA840D4}">
  <sheetPr>
    <tabColor rgb="FFFFC000"/>
  </sheetPr>
  <dimension ref="A1:R433"/>
  <sheetViews>
    <sheetView workbookViewId="0"/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2468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6" spans="1:14">
      <c r="D6" s="36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2454</v>
      </c>
      <c r="L9" s="265" t="s">
        <v>99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 t="s">
        <v>2469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2470</v>
      </c>
      <c r="K10" s="2">
        <v>8583</v>
      </c>
    </row>
    <row r="11" spans="1:14" ht="30">
      <c r="A11" s="7"/>
      <c r="B11" s="8"/>
      <c r="D11" s="153" t="s">
        <v>2471</v>
      </c>
      <c r="E11" s="2" t="s">
        <v>23</v>
      </c>
      <c r="F11" s="2"/>
      <c r="H11" s="76"/>
      <c r="I11" s="9"/>
      <c r="J11" s="9" t="s">
        <v>2472</v>
      </c>
      <c r="K11" s="2">
        <v>8869</v>
      </c>
    </row>
    <row r="12" spans="1:14" ht="30">
      <c r="A12" s="7"/>
      <c r="B12" s="8"/>
      <c r="D12" s="153">
        <v>44548</v>
      </c>
      <c r="E12" s="2" t="s">
        <v>23</v>
      </c>
      <c r="F12" s="2"/>
      <c r="H12" s="76"/>
      <c r="I12" s="9"/>
      <c r="J12" s="9" t="s">
        <v>2473</v>
      </c>
      <c r="K12" s="2">
        <v>8855</v>
      </c>
    </row>
    <row r="13" spans="1:14" ht="30">
      <c r="B13" s="154"/>
      <c r="D13" s="153">
        <v>44550</v>
      </c>
      <c r="E13" s="2" t="s">
        <v>23</v>
      </c>
      <c r="H13" s="76"/>
      <c r="I13" s="9"/>
      <c r="J13" s="9" t="s">
        <v>2474</v>
      </c>
      <c r="K13" s="2">
        <v>8976</v>
      </c>
    </row>
    <row r="14" spans="1:14" ht="30">
      <c r="B14" s="154"/>
      <c r="D14" s="153">
        <v>44552</v>
      </c>
      <c r="E14" s="2" t="s">
        <v>23</v>
      </c>
      <c r="H14" s="76"/>
      <c r="I14" s="9"/>
      <c r="J14" s="9" t="s">
        <v>2475</v>
      </c>
      <c r="K14" s="2">
        <v>9041</v>
      </c>
    </row>
    <row r="15" spans="1:14" ht="30">
      <c r="B15" s="154"/>
      <c r="D15" s="153">
        <v>44554</v>
      </c>
      <c r="E15" s="2" t="s">
        <v>23</v>
      </c>
      <c r="H15" s="76"/>
      <c r="I15" s="9"/>
      <c r="J15" s="9" t="s">
        <v>2476</v>
      </c>
      <c r="K15" s="2">
        <v>9167</v>
      </c>
      <c r="N15" t="s">
        <v>36</v>
      </c>
    </row>
    <row r="16" spans="1:14">
      <c r="B16" s="154"/>
      <c r="D16" s="153">
        <v>44560</v>
      </c>
      <c r="E16" s="2"/>
      <c r="H16" s="76"/>
      <c r="I16" s="9"/>
      <c r="J16" s="9" t="s">
        <v>2477</v>
      </c>
      <c r="K16" s="2">
        <v>9284</v>
      </c>
    </row>
    <row r="17" spans="1:18" ht="30">
      <c r="A17" s="7"/>
      <c r="B17" s="8"/>
      <c r="C17" s="2"/>
      <c r="D17" s="7">
        <v>44561</v>
      </c>
      <c r="E17" s="2" t="s">
        <v>23</v>
      </c>
      <c r="F17" s="2"/>
      <c r="G17" s="2"/>
      <c r="H17" s="76"/>
      <c r="I17" s="9"/>
      <c r="J17" s="9" t="s">
        <v>2478</v>
      </c>
      <c r="K17" s="2">
        <v>9598</v>
      </c>
    </row>
    <row r="18" spans="1:18" ht="30">
      <c r="A18" s="7"/>
      <c r="B18" s="8"/>
      <c r="D18" s="153">
        <v>44578</v>
      </c>
      <c r="E18" s="2" t="s">
        <v>23</v>
      </c>
      <c r="F18" s="2"/>
      <c r="H18" s="76"/>
      <c r="I18" s="9"/>
      <c r="J18" s="9" t="s">
        <v>1577</v>
      </c>
      <c r="K18">
        <v>9754</v>
      </c>
      <c r="L18" t="s">
        <v>2479</v>
      </c>
      <c r="R18" t="s">
        <v>36</v>
      </c>
    </row>
    <row r="19" spans="1:18" ht="30">
      <c r="B19" s="154"/>
      <c r="D19" s="153">
        <v>44581</v>
      </c>
      <c r="E19" s="2" t="s">
        <v>23</v>
      </c>
      <c r="H19" s="76"/>
      <c r="I19" s="9"/>
      <c r="J19" s="9" t="s">
        <v>2480</v>
      </c>
      <c r="K19">
        <v>9912</v>
      </c>
      <c r="L19" t="s">
        <v>2481</v>
      </c>
    </row>
    <row r="20" spans="1:18" ht="30">
      <c r="B20" s="154"/>
      <c r="D20" s="153">
        <v>44580</v>
      </c>
      <c r="E20" s="2" t="s">
        <v>23</v>
      </c>
      <c r="H20" s="76"/>
      <c r="I20" s="9"/>
      <c r="J20" s="9" t="s">
        <v>2482</v>
      </c>
      <c r="K20">
        <v>9867</v>
      </c>
    </row>
    <row r="21" spans="1:18" ht="30">
      <c r="B21" s="154"/>
      <c r="D21" s="153" t="s">
        <v>2483</v>
      </c>
      <c r="E21" s="2" t="s">
        <v>23</v>
      </c>
      <c r="H21" s="76"/>
      <c r="I21" s="9"/>
      <c r="J21" s="9" t="s">
        <v>2484</v>
      </c>
      <c r="K21">
        <v>10067</v>
      </c>
    </row>
    <row r="22" spans="1:18" ht="30">
      <c r="D22" s="153">
        <v>44584</v>
      </c>
      <c r="E22" s="2" t="s">
        <v>23</v>
      </c>
      <c r="H22" s="76"/>
      <c r="I22" s="9"/>
      <c r="J22" s="9" t="s">
        <v>2485</v>
      </c>
      <c r="K22">
        <v>10064</v>
      </c>
    </row>
    <row r="23" spans="1:18" ht="30">
      <c r="D23" s="153">
        <v>44588</v>
      </c>
      <c r="E23" s="2" t="s">
        <v>23</v>
      </c>
      <c r="H23" s="76"/>
      <c r="I23" s="9"/>
      <c r="J23" s="9" t="s">
        <v>2486</v>
      </c>
      <c r="K23">
        <v>10158</v>
      </c>
    </row>
    <row r="24" spans="1:18" ht="30">
      <c r="D24" s="153">
        <v>44592</v>
      </c>
      <c r="E24" s="2" t="s">
        <v>23</v>
      </c>
      <c r="H24" s="76"/>
      <c r="I24" s="9"/>
      <c r="J24" s="9" t="s">
        <v>2487</v>
      </c>
      <c r="K24">
        <v>10388</v>
      </c>
    </row>
    <row r="25" spans="1:18" ht="30">
      <c r="E25" s="2" t="s">
        <v>23</v>
      </c>
      <c r="H25" s="76"/>
      <c r="I25" s="9"/>
      <c r="J25" s="9"/>
      <c r="Q25" t="s">
        <v>36</v>
      </c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DD2C2F89-6271-46F2-81DA-C2D4895A8A19}">
      <formula1>"ENERO,FEBRERO,MARZO,ABRIL,MAYO,JUNIO,JULIO,AGOSTO,SEPTIEMBRE,OCTUBRE,NOVIEMBRE,DICIEMBRE"</formula1>
    </dataValidation>
    <dataValidation type="list" allowBlank="1" showInputMessage="1" showErrorMessage="1" sqref="F10:F30" xr:uid="{9CA2A3B0-AA29-447F-BC87-1A1D26658DC9}">
      <formula1>"EFECTIVO, CHEQUE, TRANSFERENCIA,DEPOSITO"</formula1>
    </dataValidation>
  </dataValidations>
  <hyperlinks>
    <hyperlink ref="B4:E4" r:id="rId1" display="Jr_2080@hotmail.com" xr:uid="{2F421C5F-29C1-4A47-9307-CDD55C85A0F8}"/>
  </hyperlinks>
  <pageMargins left="0.7" right="0.7" top="0.75" bottom="0.75" header="0.3" footer="0.3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F537-9E66-44D0-8AF7-87B41FF20877}">
  <sheetPr>
    <tabColor rgb="FFFFC000"/>
  </sheetPr>
  <dimension ref="A1:R433"/>
  <sheetViews>
    <sheetView workbookViewId="0"/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2488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 t="s">
        <v>2471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2490</v>
      </c>
      <c r="K10" s="2">
        <v>8879</v>
      </c>
    </row>
    <row r="11" spans="1:14" ht="30">
      <c r="A11" s="7"/>
      <c r="B11" s="8"/>
      <c r="D11" s="153" t="s">
        <v>36</v>
      </c>
      <c r="E11" s="2" t="s">
        <v>23</v>
      </c>
      <c r="F11" s="2"/>
      <c r="H11" s="76"/>
      <c r="I11" s="9"/>
      <c r="J11" s="9" t="s">
        <v>36</v>
      </c>
      <c r="K11" s="2"/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ACE68E1D-178A-4F13-8360-C93ACAD254FB}">
      <formula1>"ENERO,FEBRERO,MARZO,ABRIL,MAYO,JUNIO,JULIO,AGOSTO,SEPTIEMBRE,OCTUBRE,NOVIEMBRE,DICIEMBRE"</formula1>
    </dataValidation>
    <dataValidation type="list" allowBlank="1" showInputMessage="1" showErrorMessage="1" sqref="F10:F30" xr:uid="{79EA94FD-B41C-4CBB-B84C-E4DCBB657F74}">
      <formula1>"EFECTIVO, CHEQUE, TRANSFERENCIA,DEPOSITO"</formula1>
    </dataValidation>
  </dataValidations>
  <hyperlinks>
    <hyperlink ref="B4:E4" r:id="rId1" display="Jr_2080@hotmail.com" xr:uid="{193ACAFA-1C06-4F05-BB36-B9964F7AAD0B}"/>
  </hyperlinks>
  <pageMargins left="0.7" right="0.7" top="0.75" bottom="0.75" header="0.3" footer="0.3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BEFF2-656A-4FB2-AAA2-17D0B8540B15}">
  <sheetPr>
    <tabColor rgb="FFFFC000"/>
  </sheetPr>
  <dimension ref="A1:R433"/>
  <sheetViews>
    <sheetView workbookViewId="0">
      <selection activeCell="B3" sqref="B3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2491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 t="s">
        <v>2471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2492</v>
      </c>
      <c r="K10" s="2">
        <v>8877</v>
      </c>
    </row>
    <row r="11" spans="1:14" ht="30">
      <c r="A11" s="7"/>
      <c r="B11" s="8"/>
      <c r="D11" s="153" t="s">
        <v>36</v>
      </c>
      <c r="E11" s="2" t="s">
        <v>23</v>
      </c>
      <c r="F11" s="2"/>
      <c r="H11" s="76"/>
      <c r="I11" s="9"/>
      <c r="J11" s="9" t="s">
        <v>36</v>
      </c>
      <c r="K11" s="2"/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CAD16A6E-D10E-4BE8-88F1-47543E54DC27}">
      <formula1>"ENERO,FEBRERO,MARZO,ABRIL,MAYO,JUNIO,JULIO,AGOSTO,SEPTIEMBRE,OCTUBRE,NOVIEMBRE,DICIEMBRE"</formula1>
    </dataValidation>
    <dataValidation type="list" allowBlank="1" showInputMessage="1" showErrorMessage="1" sqref="F10:F30" xr:uid="{28939814-911F-4464-B6B8-1B42A28A8FE9}">
      <formula1>"EFECTIVO, CHEQUE, TRANSFERENCIA,DEPOSITO"</formula1>
    </dataValidation>
  </dataValidations>
  <hyperlinks>
    <hyperlink ref="B4:E4" r:id="rId1" display="Jr_2080@hotmail.com" xr:uid="{DC1BF375-8CF8-4BC1-A95F-D2F77413CC8B}"/>
  </hyperlinks>
  <pageMargins left="0.7" right="0.7" top="0.75" bottom="0.75" header="0.3" footer="0.3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6347-4B93-42B1-A6E9-1A319F6B1DAD}">
  <sheetPr>
    <tabColor rgb="FFFFC000"/>
  </sheetPr>
  <dimension ref="A1:R433"/>
  <sheetViews>
    <sheetView workbookViewId="0">
      <selection activeCell="K19" sqref="K19"/>
    </sheetView>
  </sheetViews>
  <sheetFormatPr defaultColWidth="9.140625" defaultRowHeight="15"/>
  <cols>
    <col min="1" max="1" width="16.7109375" customWidth="1"/>
    <col min="2" max="2" width="20.42578125" customWidth="1"/>
    <col min="3" max="4" width="13.710937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2493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56.2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>
        <v>44546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2494</v>
      </c>
      <c r="K10" s="2">
        <v>8878</v>
      </c>
    </row>
    <row r="11" spans="1:14" ht="30">
      <c r="A11" s="7"/>
      <c r="B11" s="8"/>
      <c r="D11" s="153" t="s">
        <v>36</v>
      </c>
      <c r="E11" s="2" t="s">
        <v>23</v>
      </c>
      <c r="F11" s="2"/>
      <c r="H11" s="76"/>
      <c r="I11" s="9"/>
      <c r="J11" s="9" t="s">
        <v>36</v>
      </c>
      <c r="K11" s="2"/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AE8EEC1C-3547-4959-B4C7-996C63DBFD8D}">
      <formula1>"ENERO,FEBRERO,MARZO,ABRIL,MAYO,JUNIO,JULIO,AGOSTO,SEPTIEMBRE,OCTUBRE,NOVIEMBRE,DICIEMBRE"</formula1>
    </dataValidation>
    <dataValidation type="list" allowBlank="1" showInputMessage="1" showErrorMessage="1" sqref="F10:F30" xr:uid="{AF932CF1-B708-47C1-9542-E3F226F5DBFC}">
      <formula1>"EFECTIVO, CHEQUE, TRANSFERENCIA,DEPOSITO"</formula1>
    </dataValidation>
  </dataValidations>
  <hyperlinks>
    <hyperlink ref="B4:E4" r:id="rId1" display="Jr_2080@hotmail.com" xr:uid="{FE289AA0-99D7-454A-B62A-46444FCB04FB}"/>
  </hyperlinks>
  <pageMargins left="0.7" right="0.7" top="0.75" bottom="0.75" header="0.3" footer="0.3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037C-C7EA-4D2F-B7FF-D1875D2C523A}">
  <sheetPr>
    <tabColor rgb="FFFFC000"/>
  </sheetPr>
  <dimension ref="A1:R433"/>
  <sheetViews>
    <sheetView workbookViewId="0">
      <selection activeCell="G17" sqref="G17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2495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 t="s">
        <v>2471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2496</v>
      </c>
      <c r="K10" s="2">
        <v>8876</v>
      </c>
    </row>
    <row r="11" spans="1:14" ht="30">
      <c r="A11" s="7"/>
      <c r="B11" s="8"/>
      <c r="D11" s="153" t="s">
        <v>2497</v>
      </c>
      <c r="E11" s="2" t="s">
        <v>23</v>
      </c>
      <c r="F11" s="2"/>
      <c r="H11" s="76"/>
      <c r="I11" s="9"/>
      <c r="J11" s="9" t="s">
        <v>2498</v>
      </c>
      <c r="K11" s="2">
        <v>9283</v>
      </c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4277A67D-A021-4A62-BAC6-7F7DD70F49DF}">
      <formula1>"ENERO,FEBRERO,MARZO,ABRIL,MAYO,JUNIO,JULIO,AGOSTO,SEPTIEMBRE,OCTUBRE,NOVIEMBRE,DICIEMBRE"</formula1>
    </dataValidation>
    <dataValidation type="list" allowBlank="1" showInputMessage="1" showErrorMessage="1" sqref="F10:F30" xr:uid="{12F6B7B6-F190-4DA5-9CE0-E10645B6BB9C}">
      <formula1>"EFECTIVO, CHEQUE, TRANSFERENCIA,DEPOSITO"</formula1>
    </dataValidation>
  </dataValidations>
  <hyperlinks>
    <hyperlink ref="B4:E4" r:id="rId1" display="Jr_2080@hotmail.com" xr:uid="{17FB5EE1-A1ED-4194-AC0D-F63BACA933A0}"/>
  </hyperlinks>
  <pageMargins left="0.7" right="0.7" top="0.75" bottom="0.75" header="0.3" footer="0.3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5442-EC0B-46CF-ABD3-C7B41C66846B}">
  <sheetPr>
    <tabColor rgb="FFFFC000"/>
  </sheetPr>
  <dimension ref="A1:R433"/>
  <sheetViews>
    <sheetView topLeftCell="A5" workbookViewId="0">
      <selection activeCell="N17" sqref="N17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2499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>
        <v>44548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2500</v>
      </c>
      <c r="K10" s="2">
        <v>8938</v>
      </c>
    </row>
    <row r="11" spans="1:14" ht="30">
      <c r="A11" s="7"/>
      <c r="B11" s="8"/>
      <c r="D11" s="153" t="s">
        <v>2497</v>
      </c>
      <c r="E11" s="2" t="s">
        <v>23</v>
      </c>
      <c r="F11" s="2"/>
      <c r="H11" s="76"/>
      <c r="I11" s="9"/>
      <c r="J11" s="9" t="s">
        <v>2501</v>
      </c>
      <c r="K11" s="2">
        <v>9286</v>
      </c>
    </row>
    <row r="12" spans="1:14" ht="30">
      <c r="A12" s="7"/>
      <c r="B12" s="8"/>
      <c r="D12" s="153">
        <v>44227</v>
      </c>
      <c r="E12" s="2" t="s">
        <v>23</v>
      </c>
      <c r="F12" s="2"/>
      <c r="H12" s="76"/>
      <c r="I12" s="9"/>
      <c r="J12" s="9" t="s">
        <v>2502</v>
      </c>
      <c r="K12" s="2" t="s">
        <v>2503</v>
      </c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7C2883D1-0F33-4214-95D8-16046E3F6073}">
      <formula1>"ENERO,FEBRERO,MARZO,ABRIL,MAYO,JUNIO,JULIO,AGOSTO,SEPTIEMBRE,OCTUBRE,NOVIEMBRE,DICIEMBRE"</formula1>
    </dataValidation>
    <dataValidation type="list" allowBlank="1" showInputMessage="1" showErrorMessage="1" sqref="F10:F30" xr:uid="{DEADA349-9139-4014-A419-328491E930B0}">
      <formula1>"EFECTIVO, CHEQUE, TRANSFERENCIA,DEPOSITO"</formula1>
    </dataValidation>
  </dataValidations>
  <hyperlinks>
    <hyperlink ref="B4:E4" r:id="rId1" display="Jr_2080@hotmail.com" xr:uid="{AC96B392-1D03-4585-83FE-85177CDC31D4}"/>
  </hyperlinks>
  <pageMargins left="0.7" right="0.7" top="0.75" bottom="0.75" header="0.3" footer="0.3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1E6B-A5C4-4A13-A53E-538A74A0E059}">
  <sheetPr>
    <tabColor rgb="FFFFC000"/>
  </sheetPr>
  <dimension ref="A1:R433"/>
  <sheetViews>
    <sheetView workbookViewId="0">
      <selection activeCell="A12" sqref="A12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2504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 t="s">
        <v>2505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2506</v>
      </c>
      <c r="K10" s="2">
        <v>8935</v>
      </c>
    </row>
    <row r="11" spans="1:14" ht="30">
      <c r="A11" s="7"/>
      <c r="B11" s="8"/>
      <c r="D11" s="153">
        <v>44588</v>
      </c>
      <c r="E11" s="2" t="s">
        <v>23</v>
      </c>
      <c r="F11" s="2"/>
      <c r="H11" s="76"/>
      <c r="I11" s="9"/>
      <c r="J11" s="9" t="s">
        <v>2507</v>
      </c>
      <c r="K11" s="2" t="s">
        <v>2508</v>
      </c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E6D66992-B56D-4EE9-826A-D08736CC6F30}">
      <formula1>"ENERO,FEBRERO,MARZO,ABRIL,MAYO,JUNIO,JULIO,AGOSTO,SEPTIEMBRE,OCTUBRE,NOVIEMBRE,DICIEMBRE"</formula1>
    </dataValidation>
    <dataValidation type="list" allowBlank="1" showInputMessage="1" showErrorMessage="1" sqref="F10:F30" xr:uid="{EDE849F2-6030-428C-B1B3-137505B2E903}">
      <formula1>"EFECTIVO, CHEQUE, TRANSFERENCIA,DEPOSITO"</formula1>
    </dataValidation>
  </dataValidations>
  <hyperlinks>
    <hyperlink ref="B4:E4" r:id="rId1" display="Jr_2080@hotmail.com" xr:uid="{11422513-4040-4463-90B2-6C5808EBF533}"/>
  </hyperlinks>
  <pageMargins left="0.7" right="0.7" top="0.75" bottom="0.75" header="0.3" footer="0.3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99CF4-8B1E-495B-8AC4-1622A4010238}">
  <sheetPr>
    <tabColor rgb="FFFFC000"/>
  </sheetPr>
  <dimension ref="A1:R433"/>
  <sheetViews>
    <sheetView workbookViewId="0">
      <selection activeCell="J18" sqref="J18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2509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>
        <v>44550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2510</v>
      </c>
      <c r="K10" s="2">
        <v>8974</v>
      </c>
    </row>
    <row r="11" spans="1:14" ht="30">
      <c r="A11" s="7"/>
      <c r="B11" s="8"/>
      <c r="D11" s="153">
        <v>44588</v>
      </c>
      <c r="E11" s="2" t="s">
        <v>23</v>
      </c>
      <c r="F11" s="2"/>
      <c r="H11" s="76"/>
      <c r="I11" s="9"/>
      <c r="J11" s="9" t="s">
        <v>2511</v>
      </c>
      <c r="K11" s="2" t="s">
        <v>2512</v>
      </c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E9471BB9-93A4-4291-BD75-C48B2FB8454F}">
      <formula1>"ENERO,FEBRERO,MARZO,ABRIL,MAYO,JUNIO,JULIO,AGOSTO,SEPTIEMBRE,OCTUBRE,NOVIEMBRE,DICIEMBRE"</formula1>
    </dataValidation>
    <dataValidation type="list" allowBlank="1" showInputMessage="1" showErrorMessage="1" sqref="F10:F30" xr:uid="{473308EE-2C2B-4150-B17A-6DD49046C85B}">
      <formula1>"EFECTIVO, CHEQUE, TRANSFERENCIA,DEPOSITO"</formula1>
    </dataValidation>
  </dataValidations>
  <hyperlinks>
    <hyperlink ref="B4:E4" r:id="rId1" display="Jr_2080@hotmail.com" xr:uid="{ED95584F-91CC-4A5C-9E44-AADA80DD6269}"/>
  </hyperlinks>
  <pageMargins left="0.7" right="0.7" top="0.75" bottom="0.75" header="0.3" footer="0.3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E250-0EFB-4D8A-96D0-8AE491BF254C}">
  <sheetPr>
    <tabColor rgb="FFFFC000"/>
  </sheetPr>
  <dimension ref="A1:R433"/>
  <sheetViews>
    <sheetView workbookViewId="0">
      <selection activeCell="E14" sqref="E14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2513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>
        <v>44550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2514</v>
      </c>
      <c r="K10" s="2">
        <v>8972</v>
      </c>
    </row>
    <row r="11" spans="1:14" ht="30">
      <c r="A11" s="7"/>
      <c r="B11" s="8"/>
      <c r="D11" s="153">
        <v>44588</v>
      </c>
      <c r="E11" s="2" t="s">
        <v>23</v>
      </c>
      <c r="F11" s="2"/>
      <c r="H11" s="76"/>
      <c r="I11" s="9"/>
      <c r="J11" s="9" t="s">
        <v>2515</v>
      </c>
      <c r="K11" s="2" t="s">
        <v>2512</v>
      </c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A10D06C8-6D0E-4A92-9BFC-36F666720018}">
      <formula1>"ENERO,FEBRERO,MARZO,ABRIL,MAYO,JUNIO,JULIO,AGOSTO,SEPTIEMBRE,OCTUBRE,NOVIEMBRE,DICIEMBRE"</formula1>
    </dataValidation>
    <dataValidation type="list" allowBlank="1" showInputMessage="1" showErrorMessage="1" sqref="F10:F30" xr:uid="{2E842E91-B670-4BC3-94E7-421AE2C61D76}">
      <formula1>"EFECTIVO, CHEQUE, TRANSFERENCIA,DEPOSITO"</formula1>
    </dataValidation>
  </dataValidations>
  <hyperlinks>
    <hyperlink ref="B4:E4" r:id="rId1" display="Jr_2080@hotmail.com" xr:uid="{6051D4DB-25C0-49F0-8744-FB4FB73D77D8}"/>
  </hyperlinks>
  <pageMargins left="0.7" right="0.7" top="0.75" bottom="0.75" header="0.3" footer="0.3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6EA8-69E7-4F49-898D-0398E6DC972E}">
  <sheetPr>
    <tabColor rgb="FFFFC000"/>
  </sheetPr>
  <dimension ref="A1:R433"/>
  <sheetViews>
    <sheetView workbookViewId="0">
      <selection activeCell="D13" sqref="D13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2516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>
        <v>44550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2517</v>
      </c>
      <c r="K10" s="2">
        <v>8973</v>
      </c>
    </row>
    <row r="11" spans="1:14" ht="30">
      <c r="A11" s="7"/>
      <c r="B11" s="8"/>
      <c r="D11" s="153" t="s">
        <v>2497</v>
      </c>
      <c r="E11" s="2" t="s">
        <v>23</v>
      </c>
      <c r="F11" s="2"/>
      <c r="H11" s="76"/>
      <c r="I11" s="9"/>
      <c r="J11" s="9" t="s">
        <v>2518</v>
      </c>
      <c r="K11" s="2">
        <v>9282</v>
      </c>
    </row>
    <row r="12" spans="1:14" ht="30">
      <c r="A12" s="7"/>
      <c r="B12" s="8"/>
      <c r="D12" s="153">
        <v>44588</v>
      </c>
      <c r="E12" s="2" t="s">
        <v>23</v>
      </c>
      <c r="F12" s="2"/>
      <c r="H12" s="76"/>
      <c r="I12" s="9"/>
      <c r="J12" s="9" t="s">
        <v>2519</v>
      </c>
      <c r="K12" s="2" t="s">
        <v>2520</v>
      </c>
    </row>
    <row r="13" spans="1:14" ht="30">
      <c r="B13" s="154"/>
      <c r="D13" s="153" t="s">
        <v>36</v>
      </c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608D3E24-3C5C-490F-B42D-781B63B5C884}">
      <formula1>"ENERO,FEBRERO,MARZO,ABRIL,MAYO,JUNIO,JULIO,AGOSTO,SEPTIEMBRE,OCTUBRE,NOVIEMBRE,DICIEMBRE"</formula1>
    </dataValidation>
    <dataValidation type="list" allowBlank="1" showInputMessage="1" showErrorMessage="1" sqref="F10:F30" xr:uid="{9DABC75E-1FF7-44F6-A514-39CEAF6D8C88}">
      <formula1>"EFECTIVO, CHEQUE, TRANSFERENCIA,DEPOSITO"</formula1>
    </dataValidation>
  </dataValidations>
  <hyperlinks>
    <hyperlink ref="B4:E4" r:id="rId1" display="Jr_2080@hotmail.com" xr:uid="{D88EA1EE-D672-4AB0-9BB6-A33974ED17D4}"/>
  </hyperlinks>
  <pageMargins left="0.7" right="0.7" top="0.75" bottom="0.75" header="0.3" footer="0.3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BA22-A453-4702-99EB-E062F3F16006}">
  <sheetPr>
    <tabColor rgb="FFFFC000"/>
  </sheetPr>
  <dimension ref="A1:R433"/>
  <sheetViews>
    <sheetView workbookViewId="0">
      <selection activeCell="K11" sqref="K11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2521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>
        <v>44552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2522</v>
      </c>
      <c r="K10" s="2">
        <v>9045</v>
      </c>
    </row>
    <row r="11" spans="1:14" ht="30">
      <c r="A11" s="7"/>
      <c r="B11" s="8"/>
      <c r="D11" s="153" t="s">
        <v>2523</v>
      </c>
      <c r="E11" s="2" t="s">
        <v>23</v>
      </c>
      <c r="F11" s="2"/>
      <c r="H11" s="76"/>
      <c r="I11" s="9"/>
      <c r="J11" s="9" t="s">
        <v>2524</v>
      </c>
      <c r="K11" s="2" t="s">
        <v>2467</v>
      </c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9E713E7E-FE3A-4AE7-A199-ECFBC68622DE}">
      <formula1>"ENERO,FEBRERO,MARZO,ABRIL,MAYO,JUNIO,JULIO,AGOSTO,SEPTIEMBRE,OCTUBRE,NOVIEMBRE,DICIEMBRE"</formula1>
    </dataValidation>
    <dataValidation type="list" allowBlank="1" showInputMessage="1" showErrorMessage="1" sqref="F10:F30" xr:uid="{4BC0FFDF-50E1-4BFB-B02B-61D5121445A5}">
      <formula1>"EFECTIVO, CHEQUE, TRANSFERENCIA,DEPOSITO"</formula1>
    </dataValidation>
  </dataValidations>
  <hyperlinks>
    <hyperlink ref="B4:E4" r:id="rId1" display="Jr_2080@hotmail.com" xr:uid="{5AFA4050-1738-4231-AA53-0154D74615F2}"/>
  </hyperlinks>
  <pageMargins left="0.7" right="0.7" top="0.75" bottom="0.75" header="0.3" footer="0.3"/>
  <tableParts count="1"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F90D-CA0A-4613-BAE1-443011F24593}">
  <sheetPr>
    <tabColor rgb="FFFFC000"/>
  </sheetPr>
  <dimension ref="A1:R433"/>
  <sheetViews>
    <sheetView workbookViewId="0">
      <selection activeCell="J16" sqref="J16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2525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>
        <v>44552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2526</v>
      </c>
      <c r="K10" s="2">
        <v>9043</v>
      </c>
    </row>
    <row r="11" spans="1:14" ht="30">
      <c r="A11" s="7"/>
      <c r="B11" s="8"/>
      <c r="D11" s="153" t="s">
        <v>2523</v>
      </c>
      <c r="E11" s="2" t="s">
        <v>23</v>
      </c>
      <c r="F11" s="2"/>
      <c r="H11" s="76"/>
      <c r="I11" s="9"/>
      <c r="J11" s="9" t="s">
        <v>2527</v>
      </c>
      <c r="K11" s="2" t="s">
        <v>2528</v>
      </c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7A41FADB-406D-4F88-ADAD-FAC8C1E9283C}">
      <formula1>"ENERO,FEBRERO,MARZO,ABRIL,MAYO,JUNIO,JULIO,AGOSTO,SEPTIEMBRE,OCTUBRE,NOVIEMBRE,DICIEMBRE"</formula1>
    </dataValidation>
    <dataValidation type="list" allowBlank="1" showInputMessage="1" showErrorMessage="1" sqref="F10:F30" xr:uid="{EF720D34-2D3B-40C6-B977-9C51EF049326}">
      <formula1>"EFECTIVO, CHEQUE, TRANSFERENCIA,DEPOSITO"</formula1>
    </dataValidation>
  </dataValidations>
  <hyperlinks>
    <hyperlink ref="B4:E4" r:id="rId1" display="Jr_2080@hotmail.com" xr:uid="{C2444A19-D5F7-43DD-BEAB-E3ECE739450F}"/>
  </hyperlinks>
  <pageMargins left="0.7" right="0.7" top="0.75" bottom="0.75" header="0.3" footer="0.3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0844-8B5F-46EB-AB1A-09BF3DF9DA0C}">
  <sheetPr>
    <tabColor rgb="FFFFC000"/>
  </sheetPr>
  <dimension ref="A1:R433"/>
  <sheetViews>
    <sheetView workbookViewId="0">
      <selection activeCell="A12" sqref="A12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2529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 t="s">
        <v>2530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2531</v>
      </c>
      <c r="K10" s="2">
        <v>9046</v>
      </c>
    </row>
    <row r="11" spans="1:14" ht="30">
      <c r="A11" s="7"/>
      <c r="B11" s="8"/>
      <c r="D11" s="153" t="s">
        <v>2523</v>
      </c>
      <c r="E11" s="2" t="s">
        <v>23</v>
      </c>
      <c r="F11" s="2"/>
      <c r="H11" s="76"/>
      <c r="I11" s="9"/>
      <c r="J11" s="9" t="s">
        <v>2532</v>
      </c>
      <c r="K11" s="2" t="s">
        <v>2528</v>
      </c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04799B9B-E434-4A3B-B8B6-A52A294A5395}">
      <formula1>"ENERO,FEBRERO,MARZO,ABRIL,MAYO,JUNIO,JULIO,AGOSTO,SEPTIEMBRE,OCTUBRE,NOVIEMBRE,DICIEMBRE"</formula1>
    </dataValidation>
    <dataValidation type="list" allowBlank="1" showInputMessage="1" showErrorMessage="1" sqref="F10:F30" xr:uid="{FA5CF256-848A-429E-A8E7-30FC6653CAD7}">
      <formula1>"EFECTIVO, CHEQUE, TRANSFERENCIA,DEPOSITO"</formula1>
    </dataValidation>
  </dataValidations>
  <hyperlinks>
    <hyperlink ref="B4:E4" r:id="rId1" display="Jr_2080@hotmail.com" xr:uid="{F895F847-4DC1-428D-9457-FCD78634C3EF}"/>
  </hyperlinks>
  <pageMargins left="0.7" right="0.7" top="0.75" bottom="0.75" header="0.3" footer="0.3"/>
  <tableParts count="1"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B4AE-B62F-4835-A47F-CEBD5189C7C5}">
  <sheetPr>
    <tabColor rgb="FFFFC000"/>
  </sheetPr>
  <dimension ref="A1:R433"/>
  <sheetViews>
    <sheetView workbookViewId="0">
      <selection activeCell="C13" sqref="C13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2533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 t="s">
        <v>2530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2534</v>
      </c>
      <c r="K10" s="2">
        <v>9044</v>
      </c>
    </row>
    <row r="11" spans="1:14" ht="30">
      <c r="A11" s="7"/>
      <c r="B11" s="8"/>
      <c r="D11" s="153">
        <v>44592</v>
      </c>
      <c r="E11" s="2" t="s">
        <v>23</v>
      </c>
      <c r="F11" s="2"/>
      <c r="H11" s="76"/>
      <c r="I11" s="9"/>
      <c r="J11" s="9" t="s">
        <v>2535</v>
      </c>
      <c r="K11" s="2" t="s">
        <v>2536</v>
      </c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F61C1860-B0F4-4E25-9419-56E0EA7FD804}">
      <formula1>"ENERO,FEBRERO,MARZO,ABRIL,MAYO,JUNIO,JULIO,AGOSTO,SEPTIEMBRE,OCTUBRE,NOVIEMBRE,DICIEMBRE"</formula1>
    </dataValidation>
    <dataValidation type="list" allowBlank="1" showInputMessage="1" showErrorMessage="1" sqref="F10:F30" xr:uid="{B77ED393-9295-49C5-8A31-223BF92D9ED6}">
      <formula1>"EFECTIVO, CHEQUE, TRANSFERENCIA,DEPOSITO"</formula1>
    </dataValidation>
  </dataValidations>
  <hyperlinks>
    <hyperlink ref="B4:E4" r:id="rId1" display="Jr_2080@hotmail.com" xr:uid="{1E45EE98-6480-4FA8-BE89-BCB6A41EBC44}"/>
  </hyperlinks>
  <pageMargins left="0.7" right="0.7" top="0.75" bottom="0.75" header="0.3" footer="0.3"/>
  <tableParts count="1">
    <tablePart r:id="rId2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F688-083E-40B1-A6D2-7115B81414AF}">
  <sheetPr>
    <tabColor rgb="FFFFC000"/>
  </sheetPr>
  <dimension ref="A1:R433"/>
  <sheetViews>
    <sheetView workbookViewId="0">
      <selection activeCell="I16" sqref="I16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2537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>
        <v>44554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2538</v>
      </c>
      <c r="K10" s="2">
        <v>9169</v>
      </c>
    </row>
    <row r="11" spans="1:14" ht="30">
      <c r="A11" s="7"/>
      <c r="B11" s="8"/>
      <c r="D11" s="153">
        <v>44588</v>
      </c>
      <c r="E11" s="2"/>
      <c r="F11" s="2"/>
      <c r="H11" s="76"/>
      <c r="I11" s="9"/>
      <c r="J11" s="9" t="s">
        <v>2539</v>
      </c>
      <c r="K11" s="2" t="s">
        <v>2520</v>
      </c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883B9498-8D67-4494-B689-DD7F2AD9B6F7}">
      <formula1>"ENERO,FEBRERO,MARZO,ABRIL,MAYO,JUNIO,JULIO,AGOSTO,SEPTIEMBRE,OCTUBRE,NOVIEMBRE,DICIEMBRE"</formula1>
    </dataValidation>
    <dataValidation type="list" allowBlank="1" showInputMessage="1" showErrorMessage="1" sqref="F10:F30" xr:uid="{EA5DF784-B7E8-4931-A66E-6F55381E874C}">
      <formula1>"EFECTIVO, CHEQUE, TRANSFERENCIA,DEPOSITO"</formula1>
    </dataValidation>
  </dataValidations>
  <hyperlinks>
    <hyperlink ref="B4:E4" r:id="rId1" display="Jr_2080@hotmail.com" xr:uid="{99995BE5-1E64-41A1-9E1F-0C034D778A45}"/>
  </hyperlinks>
  <pageMargins left="0.7" right="0.7" top="0.75" bottom="0.75" header="0.3" footer="0.3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3381-5109-4092-AB8E-02AE89D70848}">
  <sheetPr>
    <tabColor rgb="FFFFC000"/>
  </sheetPr>
  <dimension ref="A1:R433"/>
  <sheetViews>
    <sheetView workbookViewId="0"/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2540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99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>
        <v>44588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1156</v>
      </c>
      <c r="K10" s="2" t="s">
        <v>2541</v>
      </c>
      <c r="L10" t="s">
        <v>36</v>
      </c>
    </row>
    <row r="11" spans="1:14" ht="30">
      <c r="A11" s="7"/>
      <c r="B11" s="8" t="s">
        <v>36</v>
      </c>
      <c r="D11" s="153" t="s">
        <v>36</v>
      </c>
      <c r="E11" s="2" t="s">
        <v>23</v>
      </c>
      <c r="F11" s="2"/>
      <c r="H11" s="76"/>
      <c r="I11" s="9" t="s">
        <v>36</v>
      </c>
      <c r="J11" s="9" t="s">
        <v>36</v>
      </c>
      <c r="K11" s="2" t="s">
        <v>36</v>
      </c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 t="s">
        <v>36</v>
      </c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F10:F30" xr:uid="{49C88308-0845-4829-A59F-99281BC12540}">
      <formula1>"EFECTIVO, CHEQUE, TRANSFERENCIA,DEPOSITO"</formula1>
    </dataValidation>
    <dataValidation type="list" allowBlank="1" showInputMessage="1" showErrorMessage="1" sqref="C10:C30" xr:uid="{B98BD7AB-9686-4DF9-9C75-6CAE383869B9}">
      <formula1>"ENERO,FEBRERO,MARZO,ABRIL,MAYO,JUNIO,JULIO,AGOSTO,SEPTIEMBRE,OCTUBRE,NOVIEMBRE,DICIEMBRE"</formula1>
    </dataValidation>
  </dataValidations>
  <hyperlinks>
    <hyperlink ref="B4:E4" r:id="rId1" display="Jr_2080@hotmail.com" xr:uid="{3FD2D57A-88B3-4BA0-AD0E-9E461A8A9BD8}"/>
  </hyperlinks>
  <pageMargins left="0.7" right="0.7" top="0.75" bottom="0.75" header="0.3" footer="0.3"/>
  <tableParts count="1"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2A93-C74A-48B5-81A7-164789637FD3}">
  <sheetPr>
    <tabColor rgb="FFFFC000"/>
  </sheetPr>
  <dimension ref="A1:R433"/>
  <sheetViews>
    <sheetView workbookViewId="0">
      <selection activeCell="I12" sqref="I12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2542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 t="s">
        <v>2543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2544</v>
      </c>
      <c r="K10" s="2" t="s">
        <v>2503</v>
      </c>
    </row>
    <row r="11" spans="1:14" ht="30">
      <c r="A11" s="7"/>
      <c r="B11" s="8"/>
      <c r="D11" s="153"/>
      <c r="E11" s="2" t="s">
        <v>23</v>
      </c>
      <c r="F11" s="2"/>
      <c r="H11" s="76"/>
      <c r="I11" s="9"/>
      <c r="J11" s="9" t="s">
        <v>36</v>
      </c>
      <c r="K11" s="2" t="s">
        <v>36</v>
      </c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F10:F30" xr:uid="{B8F089B1-A49F-432F-B4CF-A5386ADD7F08}">
      <formula1>"EFECTIVO, CHEQUE, TRANSFERENCIA,DEPOSITO"</formula1>
    </dataValidation>
    <dataValidation type="list" allowBlank="1" showInputMessage="1" showErrorMessage="1" sqref="C10:C30" xr:uid="{E2F98435-7151-4529-8976-6FE2D1B789CD}">
      <formula1>"ENERO,FEBRERO,MARZO,ABRIL,MAYO,JUNIO,JULIO,AGOSTO,SEPTIEMBRE,OCTUBRE,NOVIEMBRE,DICIEMBRE"</formula1>
    </dataValidation>
  </dataValidations>
  <hyperlinks>
    <hyperlink ref="B4:E4" r:id="rId1" display="Jr_2080@hotmail.com" xr:uid="{ACACAFBB-268C-408F-9036-0B43518BFB8F}"/>
  </hyperlinks>
  <pageMargins left="0.7" right="0.7" top="0.75" bottom="0.75" header="0.3" footer="0.3"/>
  <tableParts count="1">
    <tablePart r:id="rId2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C001-A89D-4F4C-A2B1-F8AA7D3D0D40}">
  <sheetPr>
    <tabColor rgb="FFFFC000"/>
  </sheetPr>
  <dimension ref="A1:R433"/>
  <sheetViews>
    <sheetView workbookViewId="0">
      <selection activeCell="J17" sqref="J17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2545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20410275768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/>
      <c r="D10" s="153" t="s">
        <v>2546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2547</v>
      </c>
      <c r="K10" s="2">
        <v>9170</v>
      </c>
    </row>
    <row r="11" spans="1:14" ht="30">
      <c r="A11" s="7"/>
      <c r="B11" s="8"/>
      <c r="D11" s="153" t="s">
        <v>2497</v>
      </c>
      <c r="E11" s="2" t="s">
        <v>23</v>
      </c>
      <c r="F11" s="2"/>
      <c r="H11" s="76"/>
      <c r="I11" s="9"/>
      <c r="J11" s="9" t="s">
        <v>2548</v>
      </c>
      <c r="K11" s="2">
        <v>9288</v>
      </c>
    </row>
    <row r="12" spans="1:14" ht="30">
      <c r="A12" s="7"/>
      <c r="B12" s="8"/>
      <c r="D12" s="153">
        <v>44588</v>
      </c>
      <c r="E12" s="2" t="s">
        <v>23</v>
      </c>
      <c r="F12" s="2"/>
      <c r="H12" s="76"/>
      <c r="I12" s="9"/>
      <c r="J12" s="9" t="s">
        <v>2549</v>
      </c>
      <c r="K12" s="2" t="s">
        <v>2512</v>
      </c>
    </row>
    <row r="13" spans="1:14" ht="30">
      <c r="B13" s="154"/>
      <c r="D13" s="153" t="s">
        <v>36</v>
      </c>
      <c r="E13" s="2" t="s">
        <v>23</v>
      </c>
      <c r="H13" s="76"/>
      <c r="I13" s="9"/>
      <c r="J13" s="9" t="s">
        <v>36</v>
      </c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1B6F1048-BE02-4FF2-B5BC-A52A687A02B7}">
      <formula1>"ENERO,FEBRERO,MARZO,ABRIL,MAYO,JUNIO,JULIO,AGOSTO,SEPTIEMBRE,OCTUBRE,NOVIEMBRE,DICIEMBRE"</formula1>
    </dataValidation>
    <dataValidation type="list" allowBlank="1" showInputMessage="1" showErrorMessage="1" sqref="F10:F30" xr:uid="{5149BF2D-E5BD-4B13-BEE0-B0111B5CFDD9}">
      <formula1>"EFECTIVO, CHEQUE, TRANSFERENCIA,DEPOSITO"</formula1>
    </dataValidation>
  </dataValidations>
  <hyperlinks>
    <hyperlink ref="B4:E4" r:id="rId1" display="Jr_2080@hotmail.com" xr:uid="{3229B543-A8EE-4498-9B90-967D918C069C}"/>
  </hyperlinks>
  <pageMargins left="0.7" right="0.7" top="0.75" bottom="0.75" header="0.3" footer="0.3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FA10-D5B3-463F-A8A1-EED20C460FA3}">
  <sheetPr>
    <tabColor rgb="FFFF0000"/>
  </sheetPr>
  <dimension ref="A1:R432"/>
  <sheetViews>
    <sheetView topLeftCell="A20" workbookViewId="0">
      <selection activeCell="F39" sqref="F39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14.42578125" customWidth="1"/>
    <col min="6" max="6" width="15.4257812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2550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>
      <c r="A3" s="2" t="s">
        <v>1</v>
      </c>
      <c r="B3" s="2">
        <v>20310637280</v>
      </c>
      <c r="F3" s="639" t="s">
        <v>2551</v>
      </c>
      <c r="G3" s="639"/>
      <c r="H3" s="639"/>
      <c r="I3" s="639"/>
      <c r="J3" s="639"/>
      <c r="K3" s="639"/>
      <c r="L3" s="639"/>
      <c r="M3" s="639"/>
    </row>
    <row r="4" spans="1:14" ht="46.5" customHeight="1">
      <c r="A4" s="2" t="s">
        <v>2277</v>
      </c>
      <c r="B4" s="796" t="s">
        <v>2552</v>
      </c>
      <c r="C4" s="796"/>
      <c r="D4" s="796"/>
      <c r="E4" s="796"/>
    </row>
    <row r="5" spans="1:14" ht="23.25" customHeight="1">
      <c r="A5" s="257" t="s">
        <v>4</v>
      </c>
      <c r="B5" s="786" t="s">
        <v>2553</v>
      </c>
      <c r="C5" s="787"/>
      <c r="F5" s="258"/>
      <c r="G5" s="788" t="s">
        <v>2554</v>
      </c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283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2555</v>
      </c>
      <c r="B10" s="8" t="s">
        <v>2556</v>
      </c>
      <c r="C10" s="2" t="s">
        <v>32</v>
      </c>
      <c r="D10" s="153">
        <v>44567</v>
      </c>
      <c r="E10" s="2" t="s">
        <v>23</v>
      </c>
      <c r="F10" s="2" t="s">
        <v>24</v>
      </c>
      <c r="G10" s="2">
        <v>1</v>
      </c>
      <c r="H10" s="9" t="s">
        <v>2557</v>
      </c>
      <c r="I10" s="9" t="s">
        <v>2558</v>
      </c>
      <c r="J10" s="9" t="s">
        <v>2559</v>
      </c>
      <c r="K10" s="2" t="s">
        <v>26</v>
      </c>
    </row>
    <row r="11" spans="1:14" ht="30">
      <c r="A11" s="7">
        <v>44641</v>
      </c>
      <c r="B11" s="8" t="s">
        <v>2560</v>
      </c>
      <c r="C11" s="2" t="s">
        <v>32</v>
      </c>
      <c r="D11" s="153">
        <v>44572</v>
      </c>
      <c r="E11" s="2" t="s">
        <v>23</v>
      </c>
      <c r="F11" s="2" t="s">
        <v>24</v>
      </c>
      <c r="G11" s="2">
        <v>2</v>
      </c>
      <c r="H11" s="76" t="s">
        <v>2557</v>
      </c>
      <c r="I11" s="9" t="s">
        <v>2561</v>
      </c>
      <c r="J11" s="9" t="s">
        <v>2562</v>
      </c>
      <c r="K11" s="2" t="s">
        <v>26</v>
      </c>
    </row>
    <row r="12" spans="1:14" ht="30">
      <c r="A12" s="7">
        <v>44641</v>
      </c>
      <c r="B12" s="8" t="s">
        <v>2563</v>
      </c>
      <c r="C12" s="2" t="s">
        <v>32</v>
      </c>
      <c r="D12" s="175">
        <v>44579</v>
      </c>
      <c r="E12" s="2" t="s">
        <v>23</v>
      </c>
      <c r="F12" s="2" t="s">
        <v>24</v>
      </c>
      <c r="G12" s="2">
        <v>3</v>
      </c>
      <c r="H12" s="76" t="s">
        <v>2557</v>
      </c>
      <c r="I12" s="9" t="s">
        <v>2564</v>
      </c>
      <c r="J12" s="310">
        <v>10465</v>
      </c>
      <c r="K12" s="2" t="s">
        <v>26</v>
      </c>
    </row>
    <row r="13" spans="1:14" ht="30">
      <c r="A13" s="153">
        <v>44641</v>
      </c>
      <c r="B13" s="154" t="s">
        <v>2565</v>
      </c>
      <c r="C13" s="2" t="s">
        <v>32</v>
      </c>
      <c r="D13" s="175">
        <v>44585</v>
      </c>
      <c r="E13" s="2" t="s">
        <v>23</v>
      </c>
      <c r="F13" s="2" t="s">
        <v>24</v>
      </c>
      <c r="G13" s="2">
        <v>4</v>
      </c>
      <c r="H13" s="76" t="s">
        <v>2557</v>
      </c>
      <c r="I13" s="9" t="s">
        <v>2566</v>
      </c>
      <c r="J13" s="9" t="s">
        <v>2567</v>
      </c>
      <c r="K13" s="2" t="s">
        <v>26</v>
      </c>
    </row>
    <row r="14" spans="1:14" ht="30">
      <c r="A14" s="153">
        <v>44641</v>
      </c>
      <c r="B14" s="154" t="s">
        <v>2568</v>
      </c>
      <c r="C14" s="2" t="s">
        <v>32</v>
      </c>
      <c r="D14" s="175">
        <v>44565</v>
      </c>
      <c r="E14" s="2" t="s">
        <v>23</v>
      </c>
      <c r="F14" s="2" t="s">
        <v>24</v>
      </c>
      <c r="G14" s="2">
        <v>5</v>
      </c>
      <c r="H14" s="76" t="s">
        <v>2557</v>
      </c>
      <c r="I14" s="9" t="s">
        <v>2569</v>
      </c>
      <c r="J14" s="9" t="s">
        <v>2570</v>
      </c>
      <c r="K14" s="2" t="s">
        <v>26</v>
      </c>
    </row>
    <row r="15" spans="1:14" ht="47.25">
      <c r="B15" s="306" t="s">
        <v>2571</v>
      </c>
      <c r="C15" s="93"/>
      <c r="D15" s="288"/>
      <c r="E15" s="93" t="s">
        <v>23</v>
      </c>
      <c r="F15" s="93" t="s">
        <v>24</v>
      </c>
      <c r="G15" s="288"/>
      <c r="H15" s="307"/>
      <c r="I15" s="94" t="s">
        <v>2572</v>
      </c>
      <c r="J15" s="9"/>
      <c r="K15" s="2"/>
      <c r="N15" t="s">
        <v>36</v>
      </c>
    </row>
    <row r="16" spans="1:14" ht="30">
      <c r="A16" s="314">
        <v>44641</v>
      </c>
      <c r="B16" s="315" t="s">
        <v>2573</v>
      </c>
      <c r="C16" s="316" t="s">
        <v>34</v>
      </c>
      <c r="D16" s="314">
        <v>44593</v>
      </c>
      <c r="E16" s="316" t="s">
        <v>23</v>
      </c>
      <c r="F16" s="316" t="s">
        <v>24</v>
      </c>
      <c r="G16" s="316">
        <v>1</v>
      </c>
      <c r="H16" s="317" t="s">
        <v>2574</v>
      </c>
      <c r="I16" s="318" t="s">
        <v>2575</v>
      </c>
      <c r="J16" s="318" t="s">
        <v>2335</v>
      </c>
      <c r="K16" s="316" t="s">
        <v>26</v>
      </c>
    </row>
    <row r="17" spans="1:18" ht="30">
      <c r="A17" s="314">
        <v>44641</v>
      </c>
      <c r="B17" s="315" t="s">
        <v>2576</v>
      </c>
      <c r="C17" s="319" t="s">
        <v>34</v>
      </c>
      <c r="D17" s="320">
        <v>44607</v>
      </c>
      <c r="E17" s="316" t="s">
        <v>23</v>
      </c>
      <c r="F17" s="316" t="s">
        <v>24</v>
      </c>
      <c r="G17" s="319">
        <v>2</v>
      </c>
      <c r="H17" s="317" t="s">
        <v>2574</v>
      </c>
      <c r="I17" s="318" t="s">
        <v>2577</v>
      </c>
      <c r="J17" s="318" t="s">
        <v>2578</v>
      </c>
      <c r="K17" s="316" t="s">
        <v>26</v>
      </c>
      <c r="R17" t="s">
        <v>36</v>
      </c>
    </row>
    <row r="18" spans="1:18" ht="30">
      <c r="A18" s="319"/>
      <c r="B18" s="321" t="s">
        <v>2579</v>
      </c>
      <c r="C18" s="322"/>
      <c r="D18" s="322"/>
      <c r="E18" s="323" t="s">
        <v>23</v>
      </c>
      <c r="F18" s="322"/>
      <c r="G18" s="322"/>
      <c r="H18" s="324"/>
      <c r="I18" s="325" t="s">
        <v>2580</v>
      </c>
      <c r="J18" s="325"/>
      <c r="K18" s="322"/>
    </row>
    <row r="19" spans="1:18" ht="30">
      <c r="A19" s="153">
        <v>44700</v>
      </c>
      <c r="B19" s="154" t="s">
        <v>2581</v>
      </c>
      <c r="C19" t="s">
        <v>38</v>
      </c>
      <c r="D19" s="153">
        <v>44637</v>
      </c>
      <c r="E19" s="2" t="s">
        <v>23</v>
      </c>
      <c r="F19" t="s">
        <v>24</v>
      </c>
      <c r="G19">
        <v>1</v>
      </c>
      <c r="H19" s="76" t="s">
        <v>2582</v>
      </c>
      <c r="I19" s="9" t="s">
        <v>2583</v>
      </c>
      <c r="J19" s="9" t="s">
        <v>2584</v>
      </c>
      <c r="K19" t="s">
        <v>26</v>
      </c>
    </row>
    <row r="20" spans="1:18" ht="30">
      <c r="A20" s="153">
        <v>44700</v>
      </c>
      <c r="B20" s="154" t="s">
        <v>2585</v>
      </c>
      <c r="C20" t="s">
        <v>38</v>
      </c>
      <c r="D20" s="153">
        <v>44621</v>
      </c>
      <c r="E20" s="2" t="s">
        <v>23</v>
      </c>
      <c r="F20" t="s">
        <v>24</v>
      </c>
      <c r="G20">
        <v>2</v>
      </c>
      <c r="H20" s="76" t="s">
        <v>2582</v>
      </c>
      <c r="I20" s="9" t="s">
        <v>2586</v>
      </c>
      <c r="J20" s="9" t="s">
        <v>2587</v>
      </c>
      <c r="K20" t="s">
        <v>26</v>
      </c>
    </row>
    <row r="21" spans="1:18" ht="30">
      <c r="B21" s="328" t="s">
        <v>2588</v>
      </c>
      <c r="E21" s="2" t="s">
        <v>23</v>
      </c>
      <c r="H21" s="76"/>
      <c r="I21" s="330" t="s">
        <v>2589</v>
      </c>
      <c r="J21" s="9"/>
    </row>
    <row r="22" spans="1:18" ht="30">
      <c r="A22" s="320">
        <v>44700</v>
      </c>
      <c r="B22" s="399">
        <v>572.66</v>
      </c>
      <c r="C22" s="319" t="s">
        <v>41</v>
      </c>
      <c r="D22" s="320">
        <v>44652</v>
      </c>
      <c r="E22" s="316" t="s">
        <v>23</v>
      </c>
      <c r="F22" s="319" t="s">
        <v>24</v>
      </c>
      <c r="G22" s="319">
        <v>1</v>
      </c>
      <c r="H22" s="317" t="s">
        <v>1099</v>
      </c>
      <c r="I22" s="318" t="s">
        <v>2590</v>
      </c>
      <c r="J22" s="318" t="s">
        <v>1409</v>
      </c>
      <c r="K22" s="319" t="s">
        <v>26</v>
      </c>
    </row>
    <row r="23" spans="1:18" ht="30">
      <c r="A23" s="355">
        <v>44720</v>
      </c>
      <c r="B23" s="354"/>
      <c r="C23" s="354" t="s">
        <v>44</v>
      </c>
      <c r="D23" s="355">
        <v>44684</v>
      </c>
      <c r="E23" s="356" t="s">
        <v>23</v>
      </c>
      <c r="F23" s="354" t="s">
        <v>24</v>
      </c>
      <c r="G23" s="354">
        <v>1</v>
      </c>
      <c r="H23" s="357" t="s">
        <v>2591</v>
      </c>
      <c r="I23" s="358" t="s">
        <v>2592</v>
      </c>
      <c r="J23" s="358" t="s">
        <v>2593</v>
      </c>
      <c r="K23" s="354" t="s">
        <v>26</v>
      </c>
    </row>
    <row r="24" spans="1:18" ht="30">
      <c r="A24" s="355">
        <v>44720</v>
      </c>
      <c r="B24" s="354"/>
      <c r="C24" s="354" t="s">
        <v>44</v>
      </c>
      <c r="D24" s="355">
        <v>44712</v>
      </c>
      <c r="E24" s="356" t="s">
        <v>23</v>
      </c>
      <c r="F24" s="354" t="s">
        <v>24</v>
      </c>
      <c r="G24" s="354">
        <v>2</v>
      </c>
      <c r="H24" s="357" t="s">
        <v>2591</v>
      </c>
      <c r="I24" s="358" t="s">
        <v>2594</v>
      </c>
      <c r="J24" s="358" t="s">
        <v>2595</v>
      </c>
      <c r="K24" s="354" t="s">
        <v>26</v>
      </c>
    </row>
    <row r="25" spans="1:18">
      <c r="B25" t="s">
        <v>2596</v>
      </c>
      <c r="E25" s="2" t="s">
        <v>2597</v>
      </c>
      <c r="H25" s="76"/>
      <c r="I25" s="9" t="s">
        <v>2598</v>
      </c>
      <c r="K25" t="s">
        <v>44</v>
      </c>
    </row>
    <row r="26" spans="1:18" ht="30">
      <c r="A26" s="376">
        <v>44769</v>
      </c>
      <c r="B26" s="397">
        <v>574.28</v>
      </c>
      <c r="C26" s="375" t="s">
        <v>57</v>
      </c>
      <c r="D26" s="376">
        <v>44740</v>
      </c>
      <c r="E26" s="390" t="s">
        <v>23</v>
      </c>
      <c r="F26" s="375" t="s">
        <v>24</v>
      </c>
      <c r="G26" s="375">
        <v>3</v>
      </c>
      <c r="H26" s="377" t="s">
        <v>2599</v>
      </c>
      <c r="I26" s="378" t="s">
        <v>2600</v>
      </c>
      <c r="J26" s="375">
        <v>11020</v>
      </c>
      <c r="K26" s="375" t="s">
        <v>26</v>
      </c>
    </row>
    <row r="27" spans="1:18" ht="30">
      <c r="A27" s="394">
        <v>44797</v>
      </c>
      <c r="B27" s="398">
        <v>371.28</v>
      </c>
      <c r="C27" s="393" t="s">
        <v>47</v>
      </c>
      <c r="D27" s="394">
        <v>44757</v>
      </c>
      <c r="E27" s="361" t="s">
        <v>23</v>
      </c>
      <c r="F27" s="393" t="s">
        <v>24</v>
      </c>
      <c r="G27" s="393">
        <v>4</v>
      </c>
      <c r="H27" s="395" t="s">
        <v>2601</v>
      </c>
      <c r="I27" s="396" t="s">
        <v>2602</v>
      </c>
      <c r="J27" s="393">
        <v>11022</v>
      </c>
      <c r="K27" s="393" t="s">
        <v>26</v>
      </c>
    </row>
    <row r="28" spans="1:18" ht="30.75">
      <c r="A28" t="s">
        <v>748</v>
      </c>
      <c r="B28" s="434">
        <v>552.09</v>
      </c>
      <c r="C28" t="s">
        <v>50</v>
      </c>
      <c r="D28" s="153">
        <v>44785</v>
      </c>
      <c r="E28" s="361" t="s">
        <v>23</v>
      </c>
      <c r="F28" t="s">
        <v>24</v>
      </c>
      <c r="G28">
        <v>5</v>
      </c>
      <c r="H28" s="76" t="s">
        <v>2603</v>
      </c>
      <c r="I28" s="9" t="s">
        <v>2604</v>
      </c>
      <c r="K28" t="s">
        <v>26</v>
      </c>
    </row>
    <row r="29" spans="1:18" ht="30.75">
      <c r="A29" s="153">
        <v>44753</v>
      </c>
      <c r="B29" s="434">
        <v>995.33</v>
      </c>
      <c r="C29" t="s">
        <v>54</v>
      </c>
      <c r="D29" s="153">
        <v>44839</v>
      </c>
      <c r="E29" s="361" t="s">
        <v>23</v>
      </c>
      <c r="F29" t="s">
        <v>24</v>
      </c>
      <c r="G29">
        <v>6</v>
      </c>
      <c r="H29" s="76" t="s">
        <v>2605</v>
      </c>
      <c r="I29" s="9" t="s">
        <v>2606</v>
      </c>
      <c r="J29">
        <v>17950</v>
      </c>
      <c r="K29" t="s">
        <v>26</v>
      </c>
    </row>
    <row r="30" spans="1:18" ht="30.75">
      <c r="A30" s="439"/>
      <c r="B30" s="439">
        <v>1094.45</v>
      </c>
      <c r="C30" s="439" t="s">
        <v>27</v>
      </c>
      <c r="D30" s="439" t="s">
        <v>61</v>
      </c>
      <c r="E30" s="440" t="s">
        <v>23</v>
      </c>
      <c r="F30" s="439" t="s">
        <v>24</v>
      </c>
      <c r="G30" s="439">
        <v>7</v>
      </c>
      <c r="H30" s="441" t="s">
        <v>2607</v>
      </c>
      <c r="I30" s="439">
        <v>132.5</v>
      </c>
      <c r="J30" s="439">
        <v>19645</v>
      </c>
      <c r="K30" s="439" t="s">
        <v>1590</v>
      </c>
      <c r="M30" t="s">
        <v>2608</v>
      </c>
    </row>
    <row r="31" spans="1:18" ht="30.75">
      <c r="E31" s="361" t="s">
        <v>23</v>
      </c>
      <c r="H31" s="76"/>
    </row>
    <row r="432" spans="2:3">
      <c r="B432" t="s">
        <v>2286</v>
      </c>
      <c r="C432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1" xr:uid="{7C7DBCAA-5F60-4CCA-A7ED-2737AC370AD8}">
      <formula1>"ENERO,FEBRERO,MARZO,ABRIL,MAYO,JUNIO,JULIO,AGOSTO,SEPTIEMBRE,OCTUBRE,NOVIEMBRE,DICIEMBRE"</formula1>
    </dataValidation>
    <dataValidation type="list" allowBlank="1" showInputMessage="1" showErrorMessage="1" sqref="F10:F31" xr:uid="{0A5EC8AC-A5A6-4230-949C-CDC728BA7433}">
      <formula1>"EFECTIVO, CHEQUE, TRANSFERENCIA,DEPOSITO"</formula1>
    </dataValidation>
  </dataValidations>
  <hyperlinks>
    <hyperlink ref="B4:E4" r:id="rId1" display="clivirosa@speedy.com.pe" xr:uid="{4C0031E8-4598-4E39-80F0-A6EC52712023}"/>
    <hyperlink ref="F3:M3" r:id="rId2" display="clinicavrica@gmail.com" xr:uid="{D1B4208F-9E11-4097-8585-E69CA0A436DF}"/>
  </hyperlinks>
  <pageMargins left="0.7" right="0.7" top="0.75" bottom="0.75" header="0.3" footer="0.3"/>
  <tableParts count="1">
    <tablePart r:id="rId3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5428-A67C-4E78-8EF6-96E74F529E85}">
  <sheetPr>
    <tabColor rgb="FFFF0000"/>
  </sheetPr>
  <dimension ref="A1:R433"/>
  <sheetViews>
    <sheetView topLeftCell="A11" workbookViewId="0">
      <selection activeCell="S23" sqref="S23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5" ht="23.25" customHeight="1">
      <c r="A1" s="789" t="s">
        <v>2609</v>
      </c>
      <c r="B1" s="788"/>
      <c r="C1" s="788"/>
      <c r="D1" s="788"/>
      <c r="E1" s="788"/>
      <c r="F1" s="788"/>
    </row>
    <row r="2" spans="1:15" ht="18.75" customHeight="1">
      <c r="A2" s="2" t="s">
        <v>1729</v>
      </c>
      <c r="B2" s="790" t="s">
        <v>2610</v>
      </c>
      <c r="C2" s="790"/>
      <c r="D2" s="790"/>
      <c r="E2" s="790"/>
      <c r="F2" s="790"/>
      <c r="G2" s="256"/>
      <c r="H2" s="799" t="s">
        <v>2343</v>
      </c>
      <c r="I2" s="799"/>
      <c r="J2" s="799"/>
      <c r="K2" s="799"/>
    </row>
    <row r="3" spans="1:15" ht="15.75">
      <c r="A3" s="2" t="s">
        <v>1</v>
      </c>
      <c r="B3" s="2">
        <v>10428294063</v>
      </c>
      <c r="F3" s="794" t="s">
        <v>2611</v>
      </c>
      <c r="G3" s="794"/>
      <c r="H3" s="794"/>
      <c r="I3" s="794"/>
      <c r="J3" s="794"/>
      <c r="K3" s="794"/>
      <c r="L3" s="794"/>
      <c r="M3" s="794"/>
    </row>
    <row r="4" spans="1:15" ht="15" customHeight="1">
      <c r="A4" s="2" t="s">
        <v>2277</v>
      </c>
      <c r="B4" s="796" t="s">
        <v>2612</v>
      </c>
      <c r="C4" s="796"/>
      <c r="D4" s="796"/>
      <c r="E4" s="796"/>
    </row>
    <row r="5" spans="1:15" ht="23.25" customHeight="1">
      <c r="A5" s="257" t="s">
        <v>4</v>
      </c>
      <c r="B5" s="786" t="s">
        <v>2613</v>
      </c>
      <c r="C5" s="787"/>
      <c r="F5" s="258"/>
      <c r="G5" s="788" t="s">
        <v>2614</v>
      </c>
      <c r="H5" s="788"/>
      <c r="I5" s="788"/>
      <c r="J5" s="788"/>
      <c r="K5" s="788"/>
      <c r="L5" s="788"/>
      <c r="M5" s="788"/>
    </row>
    <row r="9" spans="1:15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99</v>
      </c>
      <c r="M9" s="260"/>
      <c r="N9" s="260"/>
    </row>
    <row r="10" spans="1:15" ht="30">
      <c r="A10" s="266">
        <v>44887</v>
      </c>
      <c r="B10" s="8">
        <v>100</v>
      </c>
      <c r="C10" s="2" t="s">
        <v>38</v>
      </c>
      <c r="D10" s="153">
        <v>44650</v>
      </c>
      <c r="E10" s="2" t="s">
        <v>23</v>
      </c>
      <c r="F10" s="2" t="s">
        <v>24</v>
      </c>
      <c r="G10" s="2">
        <v>1</v>
      </c>
      <c r="H10" s="9" t="s">
        <v>2615</v>
      </c>
      <c r="I10" s="9"/>
      <c r="J10" s="2">
        <v>12204</v>
      </c>
      <c r="K10" s="2"/>
      <c r="L10" t="s">
        <v>26</v>
      </c>
    </row>
    <row r="11" spans="1:15" ht="30">
      <c r="A11" s="7">
        <v>44712</v>
      </c>
      <c r="B11" s="8">
        <v>100</v>
      </c>
      <c r="C11" t="s">
        <v>44</v>
      </c>
      <c r="D11" s="153">
        <v>44712</v>
      </c>
      <c r="E11" s="2" t="s">
        <v>23</v>
      </c>
      <c r="F11" s="2" t="s">
        <v>28</v>
      </c>
      <c r="G11">
        <v>2</v>
      </c>
      <c r="H11" s="76" t="s">
        <v>2615</v>
      </c>
      <c r="I11" s="9"/>
      <c r="J11" s="2">
        <v>13997</v>
      </c>
      <c r="K11" s="2"/>
      <c r="L11" t="s">
        <v>26</v>
      </c>
    </row>
    <row r="12" spans="1:15" ht="30">
      <c r="A12" s="7">
        <v>44772</v>
      </c>
      <c r="B12" s="8">
        <v>100</v>
      </c>
      <c r="C12" t="s">
        <v>47</v>
      </c>
      <c r="D12" s="153">
        <v>44772</v>
      </c>
      <c r="E12" s="2" t="s">
        <v>23</v>
      </c>
      <c r="F12" s="2" t="s">
        <v>28</v>
      </c>
      <c r="G12">
        <v>3</v>
      </c>
      <c r="H12" s="76" t="s">
        <v>2616</v>
      </c>
      <c r="I12" s="9"/>
      <c r="J12" s="9" t="s">
        <v>2617</v>
      </c>
      <c r="K12" s="2"/>
      <c r="L12" t="s">
        <v>26</v>
      </c>
    </row>
    <row r="13" spans="1:15" ht="30">
      <c r="A13" s="153">
        <v>44806</v>
      </c>
      <c r="B13" s="154">
        <v>100</v>
      </c>
      <c r="C13" t="s">
        <v>50</v>
      </c>
      <c r="D13" s="153">
        <v>44806</v>
      </c>
      <c r="E13" s="2" t="s">
        <v>23</v>
      </c>
      <c r="F13" t="s">
        <v>28</v>
      </c>
      <c r="G13">
        <v>4</v>
      </c>
      <c r="H13" s="76" t="s">
        <v>2618</v>
      </c>
      <c r="I13" s="9"/>
      <c r="J13" s="9" t="s">
        <v>2619</v>
      </c>
      <c r="K13" s="2"/>
      <c r="L13" t="s">
        <v>26</v>
      </c>
      <c r="O13" t="s">
        <v>2620</v>
      </c>
    </row>
    <row r="14" spans="1:15" ht="30">
      <c r="A14" t="s">
        <v>58</v>
      </c>
      <c r="B14" s="154">
        <v>100</v>
      </c>
      <c r="C14" t="s">
        <v>22</v>
      </c>
      <c r="D14" s="153">
        <v>44834</v>
      </c>
      <c r="E14" s="2" t="s">
        <v>23</v>
      </c>
      <c r="F14" t="s">
        <v>28</v>
      </c>
      <c r="G14">
        <v>5</v>
      </c>
      <c r="H14" s="76" t="s">
        <v>2621</v>
      </c>
      <c r="I14" s="9"/>
      <c r="J14" s="9" t="s">
        <v>2622</v>
      </c>
      <c r="K14" s="2"/>
      <c r="L14" t="s">
        <v>26</v>
      </c>
    </row>
    <row r="15" spans="1:15" ht="30.75">
      <c r="A15" t="s">
        <v>61</v>
      </c>
      <c r="B15" s="154">
        <v>100</v>
      </c>
      <c r="C15" t="s">
        <v>27</v>
      </c>
      <c r="D15" t="s">
        <v>61</v>
      </c>
      <c r="E15" s="2" t="s">
        <v>23</v>
      </c>
      <c r="F15" t="s">
        <v>28</v>
      </c>
      <c r="G15">
        <v>6</v>
      </c>
      <c r="H15" s="76" t="s">
        <v>2623</v>
      </c>
      <c r="I15" s="9"/>
      <c r="J15" s="9" t="s">
        <v>2624</v>
      </c>
      <c r="K15" s="2"/>
      <c r="L15" t="s">
        <v>26</v>
      </c>
      <c r="N15" t="s">
        <v>36</v>
      </c>
    </row>
    <row r="16" spans="1:15" ht="30.75">
      <c r="A16" s="7" t="s">
        <v>305</v>
      </c>
      <c r="B16" s="8">
        <v>100</v>
      </c>
      <c r="C16" s="2" t="s">
        <v>32</v>
      </c>
      <c r="D16" s="2" t="s">
        <v>189</v>
      </c>
      <c r="E16" s="2" t="s">
        <v>23</v>
      </c>
      <c r="F16" s="2" t="s">
        <v>24</v>
      </c>
      <c r="G16" s="2">
        <v>7</v>
      </c>
      <c r="H16" s="76" t="s">
        <v>2625</v>
      </c>
      <c r="I16" s="9"/>
      <c r="J16" s="9" t="s">
        <v>2626</v>
      </c>
      <c r="K16" s="2"/>
      <c r="L16" t="s">
        <v>26</v>
      </c>
    </row>
    <row r="17" spans="1:18" ht="30.75">
      <c r="A17" s="7" t="s">
        <v>2627</v>
      </c>
      <c r="B17" s="8">
        <v>100</v>
      </c>
      <c r="C17" t="s">
        <v>34</v>
      </c>
      <c r="D17" t="s">
        <v>66</v>
      </c>
      <c r="E17" s="2" t="s">
        <v>23</v>
      </c>
      <c r="F17" s="2" t="s">
        <v>24</v>
      </c>
      <c r="G17">
        <v>8</v>
      </c>
      <c r="H17" s="76" t="s">
        <v>2628</v>
      </c>
      <c r="I17" s="9"/>
      <c r="J17" s="9" t="s">
        <v>2629</v>
      </c>
      <c r="L17" t="s">
        <v>26</v>
      </c>
      <c r="R17" t="s">
        <v>36</v>
      </c>
    </row>
    <row r="18" spans="1:18" ht="30.75">
      <c r="A18" t="s">
        <v>67</v>
      </c>
      <c r="B18" s="154">
        <v>100</v>
      </c>
      <c r="C18" t="s">
        <v>38</v>
      </c>
      <c r="D18" t="s">
        <v>68</v>
      </c>
      <c r="E18" s="2" t="s">
        <v>23</v>
      </c>
      <c r="F18" t="s">
        <v>28</v>
      </c>
      <c r="G18">
        <v>9</v>
      </c>
      <c r="H18" s="76" t="s">
        <v>2630</v>
      </c>
      <c r="I18" s="9"/>
      <c r="J18" s="9" t="s">
        <v>2631</v>
      </c>
      <c r="L18" t="s">
        <v>26</v>
      </c>
    </row>
    <row r="19" spans="1:18" ht="30.75">
      <c r="B19" s="154">
        <v>100</v>
      </c>
      <c r="C19" t="s">
        <v>41</v>
      </c>
      <c r="D19" t="s">
        <v>242</v>
      </c>
      <c r="E19" s="2" t="s">
        <v>23</v>
      </c>
      <c r="F19" t="s">
        <v>24</v>
      </c>
      <c r="G19">
        <v>10</v>
      </c>
      <c r="H19" s="76" t="s">
        <v>2632</v>
      </c>
      <c r="I19" s="9"/>
      <c r="J19" s="9" t="s">
        <v>2633</v>
      </c>
      <c r="L19" t="s">
        <v>1805</v>
      </c>
    </row>
    <row r="20" spans="1:18" ht="30.75">
      <c r="B20" s="154"/>
      <c r="E20" s="2" t="s">
        <v>23</v>
      </c>
      <c r="H20" s="76"/>
      <c r="I20" s="9"/>
      <c r="J20" s="9"/>
    </row>
    <row r="21" spans="1:18" ht="30.75">
      <c r="B21" s="154"/>
      <c r="E21" s="2" t="s">
        <v>23</v>
      </c>
      <c r="H21" s="76"/>
      <c r="I21" s="9"/>
      <c r="J21" s="9"/>
    </row>
    <row r="22" spans="1:18">
      <c r="E22" s="2"/>
      <c r="H22" s="76"/>
      <c r="I22" s="9"/>
      <c r="J22" s="9"/>
    </row>
    <row r="23" spans="1:18">
      <c r="E23" s="2"/>
      <c r="H23" s="76"/>
      <c r="I23" s="9"/>
      <c r="J23" s="9"/>
    </row>
    <row r="24" spans="1:18">
      <c r="E24" s="2"/>
      <c r="H24" s="76"/>
      <c r="I24" s="9"/>
      <c r="J24" s="9"/>
    </row>
    <row r="25" spans="1:18">
      <c r="E25" s="2"/>
      <c r="H25" s="76"/>
      <c r="I25" s="9"/>
      <c r="J25" s="9"/>
    </row>
    <row r="26" spans="1:18">
      <c r="E26" s="2"/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C06987A9-A110-4261-9E72-658FC087375E}">
      <formula1>"ENERO,FEBRERO,MARZO,ABRIL,MAYO,JUNIO,JULIO,AGOSTO,SEPTIEMBRE,OCTUBRE,NOVIEMBRE,DICIEMBRE"</formula1>
    </dataValidation>
    <dataValidation type="list" allowBlank="1" showInputMessage="1" showErrorMessage="1" sqref="F10:F30" xr:uid="{32FDE2E5-F926-4323-9EF1-B93A749B0DC2}">
      <formula1>"EFECTIVO, CHEQUE, TRANSFERENCIA,DEPOSITO"</formula1>
    </dataValidation>
  </dataValidations>
  <hyperlinks>
    <hyperlink ref="B4:E4" r:id="rId1" display="juanaccolccamitma@gmail.com" xr:uid="{765F4BFD-D1B5-414B-B159-DF93C9EE35D4}"/>
  </hyperlinks>
  <pageMargins left="0.7" right="0.7" top="0.75" bottom="0.75" header="0.3" footer="0.3"/>
  <tableParts count="1"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17A7-EBF1-4714-A009-EF612F6F3555}">
  <dimension ref="A1:S434"/>
  <sheetViews>
    <sheetView topLeftCell="A50" workbookViewId="0">
      <selection activeCell="Q62" sqref="Q62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16.7109375" customWidth="1"/>
    <col min="6" max="6" width="10.7109375" customWidth="1"/>
    <col min="7" max="10" width="9.140625" bestFit="1" customWidth="1"/>
    <col min="11" max="11" width="9.140625" customWidth="1"/>
    <col min="12" max="12" width="15.28515625" customWidth="1"/>
    <col min="14" max="14" width="17.5703125" bestFit="1" customWidth="1"/>
  </cols>
  <sheetData>
    <row r="1" spans="1:15" ht="45.75" customHeight="1">
      <c r="A1" s="789" t="s">
        <v>2634</v>
      </c>
      <c r="B1" s="788"/>
      <c r="C1" s="788"/>
      <c r="D1" s="788"/>
      <c r="E1" s="788"/>
      <c r="F1" s="788"/>
    </row>
    <row r="2" spans="1:15" ht="18.75" customHeight="1">
      <c r="A2" s="2" t="s">
        <v>1729</v>
      </c>
      <c r="B2" s="790" t="s">
        <v>2635</v>
      </c>
      <c r="C2" s="790"/>
      <c r="D2" s="790"/>
      <c r="E2" s="790"/>
      <c r="F2" s="790"/>
      <c r="G2" s="256"/>
      <c r="H2" s="799" t="s">
        <v>341</v>
      </c>
      <c r="I2" s="799"/>
      <c r="J2" s="799"/>
      <c r="K2" s="799"/>
      <c r="L2" s="799"/>
    </row>
    <row r="3" spans="1:15" ht="15.75">
      <c r="A3" s="2" t="s">
        <v>1</v>
      </c>
      <c r="B3" s="2">
        <v>20609032180</v>
      </c>
      <c r="F3" s="794"/>
      <c r="G3" s="794"/>
      <c r="H3" s="794"/>
      <c r="I3" s="794"/>
      <c r="J3" s="794"/>
      <c r="K3" s="794"/>
      <c r="L3" s="794"/>
      <c r="M3" s="794"/>
      <c r="N3" s="794"/>
    </row>
    <row r="4" spans="1:15" ht="15" customHeight="1">
      <c r="A4" s="2" t="s">
        <v>2277</v>
      </c>
      <c r="B4" s="798" t="s">
        <v>2636</v>
      </c>
      <c r="C4" s="798"/>
      <c r="D4" s="798"/>
      <c r="E4" s="798"/>
    </row>
    <row r="5" spans="1:15" ht="23.25" customHeight="1">
      <c r="A5" s="257" t="s">
        <v>4</v>
      </c>
      <c r="B5" s="786">
        <v>45699</v>
      </c>
      <c r="C5" s="787"/>
      <c r="F5" s="258"/>
      <c r="G5" s="788" t="s">
        <v>2637</v>
      </c>
      <c r="H5" s="788"/>
      <c r="I5" s="788"/>
      <c r="J5" s="788"/>
      <c r="K5" s="788"/>
      <c r="L5" s="788"/>
      <c r="M5" s="788"/>
      <c r="N5" s="788"/>
    </row>
    <row r="9" spans="1:15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19</v>
      </c>
      <c r="L9" s="259" t="s">
        <v>2489</v>
      </c>
      <c r="M9" s="265" t="s">
        <v>99</v>
      </c>
      <c r="N9" s="550" t="s">
        <v>1672</v>
      </c>
      <c r="O9" s="260"/>
    </row>
    <row r="10" spans="1:15" ht="30.75">
      <c r="A10" s="266">
        <v>44664</v>
      </c>
      <c r="B10" s="8">
        <v>150</v>
      </c>
      <c r="C10" s="2" t="s">
        <v>41</v>
      </c>
      <c r="D10" s="153">
        <v>44681</v>
      </c>
      <c r="E10" s="2" t="s">
        <v>23</v>
      </c>
      <c r="F10" s="2" t="s">
        <v>24</v>
      </c>
      <c r="G10" s="2">
        <v>1</v>
      </c>
      <c r="H10" s="9" t="s">
        <v>2638</v>
      </c>
      <c r="I10" s="9"/>
      <c r="J10" s="515" t="s">
        <v>2639</v>
      </c>
      <c r="K10" s="9"/>
      <c r="L10" s="2" t="s">
        <v>26</v>
      </c>
      <c r="N10" s="526"/>
    </row>
    <row r="11" spans="1:15" ht="30.75">
      <c r="A11" s="510">
        <v>44684</v>
      </c>
      <c r="B11" s="8">
        <v>150</v>
      </c>
      <c r="C11" t="s">
        <v>44</v>
      </c>
      <c r="D11" s="153">
        <v>44709</v>
      </c>
      <c r="E11" s="2" t="s">
        <v>23</v>
      </c>
      <c r="F11" s="2" t="s">
        <v>24</v>
      </c>
      <c r="G11">
        <v>2</v>
      </c>
      <c r="H11" s="76" t="s">
        <v>2640</v>
      </c>
      <c r="I11" s="9"/>
      <c r="J11" s="513" t="s">
        <v>2641</v>
      </c>
      <c r="K11" s="9"/>
      <c r="L11" s="2" t="s">
        <v>26</v>
      </c>
      <c r="N11" s="526"/>
    </row>
    <row r="12" spans="1:15" ht="30.75">
      <c r="A12" s="510">
        <v>44714</v>
      </c>
      <c r="B12" s="8">
        <v>150</v>
      </c>
      <c r="C12" t="s">
        <v>57</v>
      </c>
      <c r="D12" s="153">
        <v>44737</v>
      </c>
      <c r="E12" s="2" t="s">
        <v>23</v>
      </c>
      <c r="F12" s="2" t="s">
        <v>24</v>
      </c>
      <c r="G12">
        <v>3</v>
      </c>
      <c r="H12" s="76" t="s">
        <v>2642</v>
      </c>
      <c r="I12" s="9"/>
      <c r="J12" s="513" t="s">
        <v>2643</v>
      </c>
      <c r="K12" s="9"/>
      <c r="L12" s="2" t="s">
        <v>26</v>
      </c>
      <c r="N12" s="526"/>
    </row>
    <row r="13" spans="1:15" ht="30.75">
      <c r="A13" s="511">
        <v>44757</v>
      </c>
      <c r="B13" s="154">
        <v>150</v>
      </c>
      <c r="C13" t="s">
        <v>47</v>
      </c>
      <c r="D13" s="153">
        <v>44772</v>
      </c>
      <c r="E13" s="2" t="s">
        <v>23</v>
      </c>
      <c r="F13" t="s">
        <v>24</v>
      </c>
      <c r="G13">
        <v>4</v>
      </c>
      <c r="H13" s="76" t="s">
        <v>2644</v>
      </c>
      <c r="I13" s="9"/>
      <c r="J13" s="513" t="s">
        <v>2645</v>
      </c>
      <c r="K13" s="9"/>
      <c r="L13" s="2" t="s">
        <v>26</v>
      </c>
      <c r="N13" s="526"/>
    </row>
    <row r="14" spans="1:15" ht="30.75">
      <c r="A14" s="511">
        <v>44793</v>
      </c>
      <c r="B14" s="154">
        <v>150</v>
      </c>
      <c r="C14" t="s">
        <v>50</v>
      </c>
      <c r="D14" s="153">
        <v>44802</v>
      </c>
      <c r="E14" s="2" t="s">
        <v>23</v>
      </c>
      <c r="F14" t="s">
        <v>24</v>
      </c>
      <c r="G14">
        <v>5</v>
      </c>
      <c r="H14" s="76" t="s">
        <v>2646</v>
      </c>
      <c r="I14" s="9"/>
      <c r="J14" s="513" t="s">
        <v>2647</v>
      </c>
      <c r="K14" s="9"/>
      <c r="L14" s="2" t="s">
        <v>26</v>
      </c>
      <c r="N14" s="526"/>
    </row>
    <row r="15" spans="1:15" ht="30.75">
      <c r="A15" s="511">
        <v>44823</v>
      </c>
      <c r="B15" s="154">
        <v>150</v>
      </c>
      <c r="C15" t="s">
        <v>22</v>
      </c>
      <c r="D15" s="153">
        <v>44837</v>
      </c>
      <c r="E15" s="2" t="s">
        <v>23</v>
      </c>
      <c r="F15" t="s">
        <v>24</v>
      </c>
      <c r="G15">
        <v>6</v>
      </c>
      <c r="H15" s="76" t="s">
        <v>2648</v>
      </c>
      <c r="I15" s="9"/>
      <c r="J15" s="513" t="s">
        <v>2649</v>
      </c>
      <c r="K15" s="9"/>
      <c r="L15" s="2" t="s">
        <v>26</v>
      </c>
      <c r="N15" s="526"/>
      <c r="O15" t="s">
        <v>36</v>
      </c>
    </row>
    <row r="16" spans="1:15" ht="30.75">
      <c r="A16" s="510" t="s">
        <v>739</v>
      </c>
      <c r="B16" s="8">
        <v>150</v>
      </c>
      <c r="C16" s="2" t="s">
        <v>54</v>
      </c>
      <c r="D16" s="2" t="s">
        <v>60</v>
      </c>
      <c r="E16" s="2" t="s">
        <v>23</v>
      </c>
      <c r="F16" s="2" t="s">
        <v>24</v>
      </c>
      <c r="G16" s="2">
        <v>7</v>
      </c>
      <c r="H16" s="76" t="s">
        <v>2650</v>
      </c>
      <c r="I16" s="9"/>
      <c r="J16" s="513" t="s">
        <v>2651</v>
      </c>
      <c r="K16" s="9"/>
      <c r="L16" s="2" t="s">
        <v>26</v>
      </c>
      <c r="N16" s="526"/>
    </row>
    <row r="17" spans="1:19" ht="30.75">
      <c r="A17" s="510" t="s">
        <v>180</v>
      </c>
      <c r="B17" s="8">
        <v>150</v>
      </c>
      <c r="C17" t="s">
        <v>27</v>
      </c>
      <c r="D17" t="s">
        <v>61</v>
      </c>
      <c r="E17" s="2" t="s">
        <v>23</v>
      </c>
      <c r="F17" s="2" t="s">
        <v>24</v>
      </c>
      <c r="G17">
        <v>8</v>
      </c>
      <c r="H17" s="76" t="s">
        <v>2652</v>
      </c>
      <c r="I17" s="9"/>
      <c r="J17" s="513" t="s">
        <v>2653</v>
      </c>
      <c r="K17" s="9"/>
      <c r="L17" t="s">
        <v>26</v>
      </c>
      <c r="N17" s="526"/>
      <c r="S17" t="s">
        <v>36</v>
      </c>
    </row>
    <row r="18" spans="1:19" ht="30.75">
      <c r="A18" s="512" t="s">
        <v>758</v>
      </c>
      <c r="B18" s="154">
        <v>150</v>
      </c>
      <c r="C18" t="s">
        <v>30</v>
      </c>
      <c r="D18" t="s">
        <v>2654</v>
      </c>
      <c r="E18" s="2" t="s">
        <v>23</v>
      </c>
      <c r="F18" t="s">
        <v>24</v>
      </c>
      <c r="G18">
        <v>9</v>
      </c>
      <c r="H18" s="76" t="s">
        <v>2655</v>
      </c>
      <c r="I18" s="9"/>
      <c r="J18" s="513" t="s">
        <v>2656</v>
      </c>
      <c r="K18" s="9"/>
      <c r="L18" t="s">
        <v>26</v>
      </c>
      <c r="N18" s="526"/>
    </row>
    <row r="19" spans="1:19" ht="30.75">
      <c r="A19" s="512" t="s">
        <v>305</v>
      </c>
      <c r="B19" s="154">
        <v>150</v>
      </c>
      <c r="C19" t="s">
        <v>32</v>
      </c>
      <c r="D19" s="153">
        <v>45201</v>
      </c>
      <c r="E19" s="2" t="s">
        <v>23</v>
      </c>
      <c r="F19" t="s">
        <v>24</v>
      </c>
      <c r="G19">
        <v>10</v>
      </c>
      <c r="H19" s="76" t="s">
        <v>2657</v>
      </c>
      <c r="I19" s="9"/>
      <c r="J19" s="513" t="s">
        <v>2658</v>
      </c>
      <c r="K19" s="9"/>
      <c r="L19" t="s">
        <v>26</v>
      </c>
      <c r="N19" s="526"/>
    </row>
    <row r="20" spans="1:19" ht="30.75">
      <c r="A20" s="512" t="s">
        <v>1179</v>
      </c>
      <c r="B20" s="154">
        <v>150</v>
      </c>
      <c r="C20" t="s">
        <v>38</v>
      </c>
      <c r="D20" t="s">
        <v>1179</v>
      </c>
      <c r="E20" s="2" t="s">
        <v>23</v>
      </c>
      <c r="F20" t="s">
        <v>28</v>
      </c>
      <c r="G20">
        <v>11</v>
      </c>
      <c r="H20" s="76" t="s">
        <v>2659</v>
      </c>
      <c r="I20" s="9"/>
      <c r="J20" s="513" t="s">
        <v>2660</v>
      </c>
      <c r="K20" s="9"/>
      <c r="L20" t="s">
        <v>26</v>
      </c>
      <c r="N20" s="526"/>
    </row>
    <row r="21" spans="1:19" ht="30.75">
      <c r="A21" s="511">
        <v>45033</v>
      </c>
      <c r="B21" s="154">
        <v>150</v>
      </c>
      <c r="C21" t="s">
        <v>41</v>
      </c>
      <c r="D21" t="s">
        <v>1182</v>
      </c>
      <c r="E21" s="2" t="s">
        <v>23</v>
      </c>
      <c r="F21" t="s">
        <v>28</v>
      </c>
      <c r="G21">
        <v>12</v>
      </c>
      <c r="H21" s="76" t="s">
        <v>2661</v>
      </c>
      <c r="I21" s="9"/>
      <c r="J21" s="513" t="s">
        <v>2662</v>
      </c>
      <c r="K21" s="9"/>
      <c r="L21" t="s">
        <v>26</v>
      </c>
      <c r="N21" s="526"/>
    </row>
    <row r="22" spans="1:19" ht="30.75">
      <c r="A22" s="512" t="s">
        <v>1184</v>
      </c>
      <c r="B22" s="154">
        <v>150</v>
      </c>
      <c r="C22" t="s">
        <v>44</v>
      </c>
      <c r="D22" t="s">
        <v>1185</v>
      </c>
      <c r="E22" s="2" t="s">
        <v>23</v>
      </c>
      <c r="F22" t="s">
        <v>28</v>
      </c>
      <c r="G22">
        <v>13</v>
      </c>
      <c r="H22" s="76" t="s">
        <v>2663</v>
      </c>
      <c r="I22" s="9"/>
      <c r="J22" s="513" t="s">
        <v>2664</v>
      </c>
      <c r="K22" s="9"/>
      <c r="L22" t="s">
        <v>26</v>
      </c>
      <c r="N22" s="526"/>
    </row>
    <row r="23" spans="1:19" ht="30.75">
      <c r="A23" s="511">
        <v>45103</v>
      </c>
      <c r="B23" s="154">
        <v>150</v>
      </c>
      <c r="C23" t="s">
        <v>57</v>
      </c>
      <c r="D23" s="153">
        <v>45103</v>
      </c>
      <c r="E23" s="2" t="s">
        <v>23</v>
      </c>
      <c r="F23" t="s">
        <v>28</v>
      </c>
      <c r="G23">
        <v>14</v>
      </c>
      <c r="H23" s="76" t="s">
        <v>2665</v>
      </c>
      <c r="I23" s="9"/>
      <c r="J23" s="513" t="s">
        <v>2666</v>
      </c>
      <c r="K23" s="9"/>
      <c r="L23" t="s">
        <v>26</v>
      </c>
      <c r="M23">
        <v>6.5</v>
      </c>
      <c r="N23" s="526"/>
    </row>
    <row r="24" spans="1:19" ht="30.75">
      <c r="A24" s="511">
        <v>45133</v>
      </c>
      <c r="B24" s="154">
        <v>150</v>
      </c>
      <c r="C24" t="s">
        <v>47</v>
      </c>
      <c r="D24" s="153">
        <v>45133</v>
      </c>
      <c r="E24" s="2" t="s">
        <v>23</v>
      </c>
      <c r="F24" t="s">
        <v>28</v>
      </c>
      <c r="G24">
        <v>15</v>
      </c>
      <c r="H24" s="76" t="s">
        <v>2667</v>
      </c>
      <c r="I24" s="9"/>
      <c r="J24" s="513" t="s">
        <v>2668</v>
      </c>
      <c r="K24" s="9"/>
      <c r="L24" t="s">
        <v>26</v>
      </c>
      <c r="M24">
        <v>4.0999999999999996</v>
      </c>
      <c r="N24" s="526"/>
    </row>
    <row r="25" spans="1:19" ht="30.75">
      <c r="A25" s="511">
        <v>45167</v>
      </c>
      <c r="B25" s="154">
        <v>150</v>
      </c>
      <c r="C25" t="s">
        <v>50</v>
      </c>
      <c r="D25" s="153">
        <v>45167</v>
      </c>
      <c r="E25" s="2" t="s">
        <v>23</v>
      </c>
      <c r="F25" t="s">
        <v>28</v>
      </c>
      <c r="G25">
        <v>16</v>
      </c>
      <c r="H25" s="76" t="s">
        <v>2669</v>
      </c>
      <c r="I25" s="9"/>
      <c r="J25" s="513" t="s">
        <v>2670</v>
      </c>
      <c r="K25" s="9"/>
      <c r="L25" t="s">
        <v>26</v>
      </c>
      <c r="M25">
        <v>6.1</v>
      </c>
      <c r="N25" s="526"/>
    </row>
    <row r="26" spans="1:19" ht="30.75">
      <c r="A26" s="511">
        <v>45197</v>
      </c>
      <c r="B26" s="154">
        <v>150</v>
      </c>
      <c r="C26" t="s">
        <v>22</v>
      </c>
      <c r="D26" s="153">
        <v>45197</v>
      </c>
      <c r="E26" s="2" t="s">
        <v>23</v>
      </c>
      <c r="F26" t="s">
        <v>28</v>
      </c>
      <c r="G26">
        <v>17</v>
      </c>
      <c r="H26" s="76" t="s">
        <v>2671</v>
      </c>
      <c r="I26" s="9"/>
      <c r="J26" s="513" t="s">
        <v>2672</v>
      </c>
      <c r="K26" s="9"/>
      <c r="L26" t="s">
        <v>26</v>
      </c>
      <c r="M26">
        <v>7.1</v>
      </c>
      <c r="N26" s="526"/>
    </row>
    <row r="27" spans="1:19" ht="30.75">
      <c r="A27" s="511">
        <v>45229</v>
      </c>
      <c r="B27" s="154">
        <v>150</v>
      </c>
      <c r="C27" t="s">
        <v>54</v>
      </c>
      <c r="D27" s="153">
        <v>45229</v>
      </c>
      <c r="E27" s="2" t="s">
        <v>23</v>
      </c>
      <c r="F27" t="s">
        <v>28</v>
      </c>
      <c r="G27">
        <v>18</v>
      </c>
      <c r="H27" s="76" t="s">
        <v>2673</v>
      </c>
      <c r="I27" s="9"/>
      <c r="J27" s="514">
        <v>29749</v>
      </c>
      <c r="K27">
        <v>31749</v>
      </c>
      <c r="L27" t="s">
        <v>26</v>
      </c>
      <c r="M27">
        <v>7</v>
      </c>
      <c r="N27" s="526"/>
    </row>
    <row r="28" spans="1:19" ht="33.75" customHeight="1">
      <c r="A28" s="511">
        <v>45259</v>
      </c>
      <c r="B28" s="154">
        <v>150</v>
      </c>
      <c r="C28" t="s">
        <v>27</v>
      </c>
      <c r="D28" s="153">
        <v>45259</v>
      </c>
      <c r="E28" t="s">
        <v>23</v>
      </c>
      <c r="F28" t="s">
        <v>28</v>
      </c>
      <c r="G28">
        <v>19</v>
      </c>
      <c r="H28" s="76" t="s">
        <v>2674</v>
      </c>
      <c r="I28" s="9"/>
      <c r="J28" s="514">
        <v>30681</v>
      </c>
      <c r="K28">
        <v>32799</v>
      </c>
      <c r="L28" t="s">
        <v>26</v>
      </c>
      <c r="M28">
        <v>6</v>
      </c>
      <c r="N28" s="526"/>
    </row>
    <row r="29" spans="1:19" ht="33.75" customHeight="1">
      <c r="A29" s="511">
        <v>45293</v>
      </c>
      <c r="B29" s="154">
        <v>150</v>
      </c>
      <c r="C29" t="s">
        <v>30</v>
      </c>
      <c r="D29" s="153">
        <v>45288</v>
      </c>
      <c r="E29" t="s">
        <v>23</v>
      </c>
      <c r="F29" t="s">
        <v>24</v>
      </c>
      <c r="G29">
        <v>20</v>
      </c>
      <c r="H29" s="76" t="s">
        <v>2675</v>
      </c>
      <c r="I29" s="9"/>
      <c r="J29" s="514">
        <v>31513</v>
      </c>
      <c r="K29">
        <v>33685</v>
      </c>
      <c r="L29" t="s">
        <v>26</v>
      </c>
      <c r="M29">
        <v>5</v>
      </c>
      <c r="N29" s="526"/>
    </row>
    <row r="30" spans="1:19" ht="33.75" customHeight="1">
      <c r="A30" s="511">
        <v>45321</v>
      </c>
      <c r="B30" s="154">
        <v>150</v>
      </c>
      <c r="C30" t="s">
        <v>32</v>
      </c>
      <c r="D30" s="153">
        <v>45321</v>
      </c>
      <c r="E30" t="s">
        <v>23</v>
      </c>
      <c r="F30" t="s">
        <v>28</v>
      </c>
      <c r="G30">
        <v>21</v>
      </c>
      <c r="H30" s="76" t="s">
        <v>2676</v>
      </c>
      <c r="I30" s="9"/>
      <c r="J30" s="514">
        <v>32504</v>
      </c>
      <c r="K30">
        <v>34559</v>
      </c>
      <c r="L30" t="s">
        <v>26</v>
      </c>
      <c r="M30">
        <v>6</v>
      </c>
      <c r="N30" s="526"/>
    </row>
    <row r="31" spans="1:19" ht="33.75" customHeight="1">
      <c r="A31" s="511">
        <v>45351</v>
      </c>
      <c r="B31" s="154">
        <v>150</v>
      </c>
      <c r="C31" t="s">
        <v>34</v>
      </c>
      <c r="D31" s="153">
        <v>45351</v>
      </c>
      <c r="E31" t="s">
        <v>23</v>
      </c>
      <c r="F31" t="s">
        <v>28</v>
      </c>
      <c r="G31">
        <v>22</v>
      </c>
      <c r="H31" s="76" t="s">
        <v>2677</v>
      </c>
      <c r="I31" s="9"/>
      <c r="J31" s="514">
        <v>33392</v>
      </c>
      <c r="K31">
        <v>35476</v>
      </c>
      <c r="L31" t="s">
        <v>26</v>
      </c>
      <c r="M31">
        <v>8</v>
      </c>
      <c r="N31" s="526"/>
    </row>
    <row r="32" spans="1:19" ht="33.75" customHeight="1">
      <c r="A32" s="511">
        <v>45378</v>
      </c>
      <c r="B32" s="154">
        <v>150</v>
      </c>
      <c r="C32" t="s">
        <v>38</v>
      </c>
      <c r="D32" s="153">
        <v>45378</v>
      </c>
      <c r="E32" t="s">
        <v>23</v>
      </c>
      <c r="F32" t="s">
        <v>28</v>
      </c>
      <c r="G32">
        <v>23</v>
      </c>
      <c r="H32" s="76" t="s">
        <v>2678</v>
      </c>
      <c r="J32" s="514">
        <v>34239</v>
      </c>
      <c r="K32">
        <v>36287</v>
      </c>
      <c r="L32" t="s">
        <v>26</v>
      </c>
      <c r="M32">
        <v>8</v>
      </c>
      <c r="N32" s="526"/>
    </row>
    <row r="33" spans="1:14" ht="33.75" customHeight="1">
      <c r="A33" s="153">
        <v>45411</v>
      </c>
      <c r="B33" s="154">
        <v>150</v>
      </c>
      <c r="C33" t="s">
        <v>41</v>
      </c>
      <c r="D33" s="153">
        <v>45411</v>
      </c>
      <c r="E33" t="s">
        <v>23</v>
      </c>
      <c r="F33" t="s">
        <v>24</v>
      </c>
      <c r="G33">
        <v>24</v>
      </c>
      <c r="H33" s="76" t="s">
        <v>2679</v>
      </c>
      <c r="J33" s="514">
        <v>35355</v>
      </c>
      <c r="K33">
        <v>37358</v>
      </c>
      <c r="L33" t="s">
        <v>26</v>
      </c>
      <c r="M33">
        <v>8.1</v>
      </c>
      <c r="N33" s="526"/>
    </row>
    <row r="34" spans="1:14" ht="33.75" customHeight="1">
      <c r="A34" s="511">
        <v>45442</v>
      </c>
      <c r="B34" s="154">
        <v>150</v>
      </c>
      <c r="C34" t="s">
        <v>44</v>
      </c>
      <c r="D34" s="153">
        <v>45442</v>
      </c>
      <c r="E34" t="s">
        <v>23</v>
      </c>
      <c r="F34" t="s">
        <v>24</v>
      </c>
      <c r="G34">
        <v>25</v>
      </c>
      <c r="H34" s="76" t="s">
        <v>2680</v>
      </c>
      <c r="J34" s="514">
        <v>36260</v>
      </c>
      <c r="K34">
        <v>38296</v>
      </c>
      <c r="L34" t="s">
        <v>26</v>
      </c>
      <c r="M34">
        <v>8.5</v>
      </c>
      <c r="N34" s="526"/>
    </row>
    <row r="35" spans="1:14" ht="33.75" customHeight="1">
      <c r="A35" s="511">
        <v>45470</v>
      </c>
      <c r="B35" s="154">
        <v>150</v>
      </c>
      <c r="C35" t="s">
        <v>57</v>
      </c>
      <c r="D35" s="153">
        <v>45470</v>
      </c>
      <c r="E35" t="s">
        <v>23</v>
      </c>
      <c r="F35" t="s">
        <v>28</v>
      </c>
      <c r="G35">
        <v>26</v>
      </c>
      <c r="H35" s="76">
        <v>25800</v>
      </c>
      <c r="J35" s="514">
        <v>37177</v>
      </c>
      <c r="K35">
        <v>39225</v>
      </c>
      <c r="L35" t="s">
        <v>26</v>
      </c>
      <c r="M35">
        <v>8.5</v>
      </c>
      <c r="N35" s="526"/>
    </row>
    <row r="36" spans="1:14" ht="33.75" customHeight="1">
      <c r="A36" s="153">
        <v>45503</v>
      </c>
      <c r="B36" s="154">
        <v>150</v>
      </c>
      <c r="C36" t="s">
        <v>47</v>
      </c>
      <c r="D36" s="153">
        <v>45503</v>
      </c>
      <c r="E36" t="s">
        <v>23</v>
      </c>
      <c r="F36" t="s">
        <v>28</v>
      </c>
      <c r="G36">
        <v>27</v>
      </c>
      <c r="H36" s="76" t="s">
        <v>2681</v>
      </c>
      <c r="J36" s="514">
        <v>38147</v>
      </c>
      <c r="K36">
        <v>40286</v>
      </c>
      <c r="L36" t="s">
        <v>26</v>
      </c>
      <c r="M36">
        <v>8.3000000000000007</v>
      </c>
      <c r="N36" s="526"/>
    </row>
    <row r="37" spans="1:14" ht="33.75" customHeight="1">
      <c r="A37" s="153">
        <v>45535</v>
      </c>
      <c r="B37" s="154">
        <v>150</v>
      </c>
      <c r="C37" t="s">
        <v>50</v>
      </c>
      <c r="D37" s="153">
        <v>45535</v>
      </c>
      <c r="E37" t="s">
        <v>23</v>
      </c>
      <c r="F37" t="s">
        <v>28</v>
      </c>
      <c r="G37">
        <v>28</v>
      </c>
      <c r="H37" s="76" t="s">
        <v>2682</v>
      </c>
      <c r="J37">
        <v>39193</v>
      </c>
      <c r="K37">
        <v>41335</v>
      </c>
      <c r="L37" t="s">
        <v>26</v>
      </c>
      <c r="M37">
        <v>14</v>
      </c>
      <c r="N37" s="526"/>
    </row>
    <row r="38" spans="1:14" ht="33.75" customHeight="1">
      <c r="A38" s="528">
        <v>45565</v>
      </c>
      <c r="B38" s="154">
        <v>150</v>
      </c>
      <c r="C38" s="526" t="s">
        <v>22</v>
      </c>
      <c r="D38" s="528">
        <v>45565</v>
      </c>
      <c r="E38" t="s">
        <v>23</v>
      </c>
      <c r="F38" t="s">
        <v>28</v>
      </c>
      <c r="G38">
        <v>29</v>
      </c>
      <c r="H38" s="527" t="s">
        <v>2683</v>
      </c>
      <c r="I38" s="526"/>
      <c r="J38" s="526">
        <v>40239</v>
      </c>
      <c r="K38">
        <v>42392</v>
      </c>
      <c r="L38" t="s">
        <v>26</v>
      </c>
      <c r="M38" s="526">
        <v>15.5</v>
      </c>
      <c r="N38" s="526"/>
    </row>
    <row r="39" spans="1:14" ht="33.75" customHeight="1">
      <c r="A39" s="526"/>
      <c r="B39" s="154">
        <v>150</v>
      </c>
      <c r="C39" s="526" t="s">
        <v>54</v>
      </c>
      <c r="D39" s="528">
        <v>45596</v>
      </c>
      <c r="E39" t="s">
        <v>23</v>
      </c>
      <c r="F39" s="526" t="s">
        <v>24</v>
      </c>
      <c r="G39" s="526">
        <v>30</v>
      </c>
      <c r="H39" s="527" t="s">
        <v>2684</v>
      </c>
      <c r="I39" s="526"/>
      <c r="J39" s="526">
        <v>41291</v>
      </c>
      <c r="K39">
        <v>43474</v>
      </c>
      <c r="L39" s="526" t="s">
        <v>1805</v>
      </c>
      <c r="M39" s="526">
        <v>10.5</v>
      </c>
      <c r="N39" s="526"/>
    </row>
    <row r="40" spans="1:14" ht="33.75" customHeight="1">
      <c r="A40" s="528">
        <v>45626</v>
      </c>
      <c r="B40" s="154">
        <v>150</v>
      </c>
      <c r="C40" s="526" t="s">
        <v>27</v>
      </c>
      <c r="D40" s="528">
        <v>45626</v>
      </c>
      <c r="E40" t="s">
        <v>23</v>
      </c>
      <c r="F40" s="526" t="s">
        <v>28</v>
      </c>
      <c r="G40" s="526">
        <v>31</v>
      </c>
      <c r="H40" s="527" t="s">
        <v>2685</v>
      </c>
      <c r="I40" s="526"/>
      <c r="J40" s="526">
        <v>42257</v>
      </c>
      <c r="K40">
        <v>44301</v>
      </c>
      <c r="L40" s="526" t="s">
        <v>26</v>
      </c>
      <c r="M40" s="526">
        <v>16.5</v>
      </c>
      <c r="N40" s="526"/>
    </row>
    <row r="41" spans="1:14" ht="33.75" customHeight="1">
      <c r="A41" s="526" t="s">
        <v>1231</v>
      </c>
      <c r="B41" s="154">
        <v>150</v>
      </c>
      <c r="C41" s="526" t="s">
        <v>30</v>
      </c>
      <c r="D41" s="528">
        <v>45656</v>
      </c>
      <c r="E41" t="s">
        <v>23</v>
      </c>
      <c r="F41" s="526" t="s">
        <v>28</v>
      </c>
      <c r="G41">
        <v>32</v>
      </c>
      <c r="H41" s="527" t="s">
        <v>2686</v>
      </c>
      <c r="I41" s="526"/>
      <c r="J41" s="526">
        <v>43232</v>
      </c>
      <c r="K41">
        <v>45427</v>
      </c>
      <c r="L41" s="526" t="s">
        <v>26</v>
      </c>
      <c r="M41" s="526">
        <v>12.5</v>
      </c>
      <c r="N41" s="526"/>
    </row>
    <row r="42" spans="1:14" ht="33.75" customHeight="1">
      <c r="A42" s="526" t="s">
        <v>75</v>
      </c>
      <c r="B42" s="154">
        <v>150</v>
      </c>
      <c r="C42" s="526" t="s">
        <v>32</v>
      </c>
      <c r="D42" s="528">
        <v>45688</v>
      </c>
      <c r="E42" t="s">
        <v>23</v>
      </c>
      <c r="F42" s="526" t="s">
        <v>28</v>
      </c>
      <c r="G42">
        <v>33</v>
      </c>
      <c r="H42" s="527" t="s">
        <v>2687</v>
      </c>
      <c r="I42" s="526"/>
      <c r="J42" s="526">
        <v>44435</v>
      </c>
      <c r="L42" s="526" t="s">
        <v>26</v>
      </c>
      <c r="M42" s="526">
        <v>9.6999999999999993</v>
      </c>
      <c r="N42" s="526"/>
    </row>
    <row r="43" spans="1:14" ht="33.75" customHeight="1">
      <c r="A43" s="528">
        <v>45716</v>
      </c>
      <c r="B43" s="154">
        <v>150</v>
      </c>
      <c r="C43" s="526" t="s">
        <v>34</v>
      </c>
      <c r="D43" s="528">
        <v>45716</v>
      </c>
      <c r="E43" t="s">
        <v>23</v>
      </c>
      <c r="F43" s="526" t="s">
        <v>28</v>
      </c>
      <c r="G43" s="526"/>
      <c r="H43" s="527" t="s">
        <v>2688</v>
      </c>
      <c r="I43" s="290">
        <v>947</v>
      </c>
      <c r="J43" s="526">
        <v>45441</v>
      </c>
      <c r="L43" s="526" t="s">
        <v>26</v>
      </c>
      <c r="M43" s="526">
        <v>15.2</v>
      </c>
      <c r="N43" s="290" t="s">
        <v>333</v>
      </c>
    </row>
    <row r="44" spans="1:14" ht="33.75" customHeight="1">
      <c r="A44" s="528">
        <v>45747</v>
      </c>
      <c r="B44" s="154">
        <v>150</v>
      </c>
      <c r="C44" s="526" t="s">
        <v>38</v>
      </c>
      <c r="D44" s="528">
        <v>45747</v>
      </c>
      <c r="E44" t="s">
        <v>23</v>
      </c>
      <c r="F44" s="531" t="s">
        <v>24</v>
      </c>
      <c r="G44" s="526"/>
      <c r="H44" s="527" t="s">
        <v>2689</v>
      </c>
      <c r="I44" s="526"/>
      <c r="J44" s="526">
        <v>46557</v>
      </c>
      <c r="L44" s="526" t="s">
        <v>72</v>
      </c>
      <c r="M44" s="526">
        <v>9.8000000000000007</v>
      </c>
      <c r="N44" s="526"/>
    </row>
    <row r="45" spans="1:14" ht="33.75" customHeight="1">
      <c r="A45" s="528">
        <v>45777</v>
      </c>
      <c r="B45" s="154">
        <v>150</v>
      </c>
      <c r="C45" s="526" t="s">
        <v>41</v>
      </c>
      <c r="D45" s="528">
        <v>45776</v>
      </c>
      <c r="E45" t="s">
        <v>23</v>
      </c>
      <c r="F45" s="526" t="s">
        <v>28</v>
      </c>
      <c r="G45" s="526"/>
      <c r="H45" s="527" t="s">
        <v>2690</v>
      </c>
      <c r="I45" s="526"/>
      <c r="J45" s="526">
        <v>47642</v>
      </c>
      <c r="L45" s="526" t="s">
        <v>26</v>
      </c>
      <c r="M45" s="526">
        <v>9.6999999999999993</v>
      </c>
      <c r="N45" s="526"/>
    </row>
    <row r="46" spans="1:14" ht="25.5" customHeight="1">
      <c r="A46" s="528">
        <v>45810</v>
      </c>
      <c r="B46" s="154">
        <v>150</v>
      </c>
      <c r="C46" s="526" t="s">
        <v>44</v>
      </c>
      <c r="D46" s="528">
        <v>45808</v>
      </c>
      <c r="E46" t="s">
        <v>23</v>
      </c>
      <c r="F46" s="526" t="s">
        <v>28</v>
      </c>
      <c r="G46" s="526"/>
      <c r="H46" s="527" t="s">
        <v>2691</v>
      </c>
      <c r="I46" s="526"/>
      <c r="J46" s="526">
        <v>50045</v>
      </c>
      <c r="L46" s="526" t="s">
        <v>26</v>
      </c>
      <c r="M46" s="526">
        <v>8.5</v>
      </c>
      <c r="N46" s="526"/>
    </row>
    <row r="47" spans="1:14" ht="25.5" customHeight="1">
      <c r="A47" s="528">
        <v>45835</v>
      </c>
      <c r="B47" s="154">
        <v>150</v>
      </c>
      <c r="C47" s="526" t="s">
        <v>57</v>
      </c>
      <c r="D47" s="528">
        <v>45835</v>
      </c>
      <c r="E47" t="s">
        <v>23</v>
      </c>
      <c r="F47" s="526" t="s">
        <v>28</v>
      </c>
      <c r="G47" s="526"/>
      <c r="H47" s="527" t="s">
        <v>2692</v>
      </c>
      <c r="I47" s="526"/>
      <c r="J47" s="526">
        <v>50046</v>
      </c>
      <c r="L47" s="526" t="s">
        <v>26</v>
      </c>
      <c r="M47" s="526">
        <v>15</v>
      </c>
      <c r="N47" s="526"/>
    </row>
    <row r="48" spans="1:14" ht="25.5" customHeight="1">
      <c r="A48" s="528">
        <v>45869</v>
      </c>
      <c r="B48" s="154">
        <v>150</v>
      </c>
      <c r="C48" s="526" t="s">
        <v>47</v>
      </c>
      <c r="D48" s="528">
        <v>45868</v>
      </c>
      <c r="E48" t="s">
        <v>23</v>
      </c>
      <c r="F48" s="526" t="s">
        <v>28</v>
      </c>
      <c r="G48" s="526"/>
      <c r="H48" s="527" t="s">
        <v>2693</v>
      </c>
      <c r="I48" s="526"/>
      <c r="J48" s="526">
        <v>50047</v>
      </c>
      <c r="L48" s="526" t="s">
        <v>26</v>
      </c>
      <c r="M48" s="526">
        <v>18</v>
      </c>
      <c r="N48" s="526"/>
    </row>
    <row r="49" spans="1:14" ht="25.5" customHeight="1">
      <c r="A49" s="528">
        <v>45898</v>
      </c>
      <c r="B49" s="154">
        <v>150</v>
      </c>
      <c r="C49" s="526" t="s">
        <v>50</v>
      </c>
      <c r="D49" s="528">
        <v>45898</v>
      </c>
      <c r="E49" t="s">
        <v>23</v>
      </c>
      <c r="F49" s="526" t="s">
        <v>28</v>
      </c>
      <c r="G49" s="526"/>
      <c r="H49" s="527" t="s">
        <v>2694</v>
      </c>
      <c r="I49" s="526"/>
      <c r="J49" s="526">
        <v>51309</v>
      </c>
      <c r="L49" s="526" t="s">
        <v>26</v>
      </c>
      <c r="M49" s="526">
        <v>10.5</v>
      </c>
      <c r="N49" s="526"/>
    </row>
    <row r="50" spans="1:14" ht="25.5" customHeight="1">
      <c r="A50" s="528">
        <v>45930</v>
      </c>
      <c r="B50" s="154">
        <v>150</v>
      </c>
      <c r="C50" s="526" t="s">
        <v>22</v>
      </c>
      <c r="D50" s="528">
        <v>45930</v>
      </c>
      <c r="E50" t="s">
        <v>23</v>
      </c>
      <c r="F50" s="526" t="s">
        <v>28</v>
      </c>
      <c r="G50" s="526"/>
      <c r="H50" s="527" t="s">
        <v>2695</v>
      </c>
      <c r="I50" s="526"/>
      <c r="J50" s="526">
        <v>52138</v>
      </c>
      <c r="L50" s="526" t="s">
        <v>56</v>
      </c>
      <c r="M50" s="526">
        <v>9</v>
      </c>
      <c r="N50" s="526"/>
    </row>
    <row r="51" spans="1:14" ht="41.25" customHeight="1">
      <c r="A51" s="528">
        <v>45961</v>
      </c>
      <c r="B51" s="154">
        <v>150</v>
      </c>
      <c r="C51" s="526" t="s">
        <v>54</v>
      </c>
      <c r="D51" s="528">
        <v>45961</v>
      </c>
      <c r="E51" t="s">
        <v>23</v>
      </c>
      <c r="F51" s="526" t="s">
        <v>28</v>
      </c>
      <c r="G51" s="526"/>
      <c r="H51" s="527" t="s">
        <v>2696</v>
      </c>
      <c r="I51" s="526"/>
      <c r="J51" s="526">
        <v>53339</v>
      </c>
      <c r="L51" s="526" t="s">
        <v>26</v>
      </c>
      <c r="M51" s="526">
        <v>10</v>
      </c>
      <c r="N51" s="526"/>
    </row>
    <row r="52" spans="1:14" ht="25.5" customHeight="1">
      <c r="A52" s="528">
        <v>45989</v>
      </c>
      <c r="B52" s="154">
        <v>150</v>
      </c>
      <c r="C52" s="526" t="s">
        <v>27</v>
      </c>
      <c r="D52" s="528">
        <v>45989</v>
      </c>
      <c r="E52" t="s">
        <v>23</v>
      </c>
      <c r="F52" s="526" t="s">
        <v>28</v>
      </c>
      <c r="G52" s="526"/>
      <c r="H52" s="527" t="s">
        <v>2697</v>
      </c>
      <c r="I52" s="526"/>
      <c r="J52" s="526">
        <v>54437</v>
      </c>
      <c r="L52" s="526" t="s">
        <v>26</v>
      </c>
      <c r="M52" s="526">
        <v>13.5</v>
      </c>
      <c r="N52" s="526"/>
    </row>
    <row r="53" spans="1:14" ht="25.5" customHeight="1">
      <c r="A53" s="528">
        <v>46028</v>
      </c>
      <c r="B53" s="154">
        <v>150</v>
      </c>
      <c r="C53" s="526" t="s">
        <v>30</v>
      </c>
      <c r="D53" s="528">
        <v>46020</v>
      </c>
      <c r="E53" t="s">
        <v>23</v>
      </c>
      <c r="F53" s="531" t="s">
        <v>24</v>
      </c>
      <c r="G53" s="526"/>
      <c r="H53" s="527" t="s">
        <v>2698</v>
      </c>
      <c r="I53" s="526"/>
      <c r="J53" s="526">
        <v>55705</v>
      </c>
      <c r="L53" s="526" t="s">
        <v>73</v>
      </c>
      <c r="M53" s="526">
        <v>12</v>
      </c>
      <c r="N53" s="526"/>
    </row>
    <row r="54" spans="1:14" ht="25.5" customHeight="1">
      <c r="A54" s="528">
        <v>46053</v>
      </c>
      <c r="B54" s="154">
        <v>150</v>
      </c>
      <c r="C54" s="526" t="s">
        <v>32</v>
      </c>
      <c r="D54" s="528">
        <v>46053</v>
      </c>
      <c r="E54" t="s">
        <v>23</v>
      </c>
      <c r="F54" s="531" t="s">
        <v>28</v>
      </c>
      <c r="G54" s="526"/>
      <c r="H54" s="527" t="s">
        <v>2699</v>
      </c>
      <c r="I54" s="526"/>
      <c r="J54" s="526">
        <v>56477</v>
      </c>
      <c r="L54" s="526" t="s">
        <v>26</v>
      </c>
      <c r="M54" s="526">
        <v>10.1</v>
      </c>
      <c r="N54" s="526"/>
    </row>
    <row r="55" spans="1:14" ht="25.5" customHeight="1">
      <c r="A55" s="528">
        <v>46087</v>
      </c>
      <c r="B55" s="154">
        <v>150</v>
      </c>
      <c r="C55" s="526" t="s">
        <v>34</v>
      </c>
      <c r="D55" s="528">
        <v>46081</v>
      </c>
      <c r="E55" t="s">
        <v>23</v>
      </c>
      <c r="F55" s="531" t="s">
        <v>24</v>
      </c>
      <c r="G55" s="526"/>
      <c r="H55" s="527" t="s">
        <v>2700</v>
      </c>
      <c r="I55" s="526"/>
      <c r="J55" s="526">
        <v>58397</v>
      </c>
      <c r="L55" s="526" t="s">
        <v>72</v>
      </c>
      <c r="M55" s="526">
        <v>4.8</v>
      </c>
      <c r="N55" s="526"/>
    </row>
    <row r="56" spans="1:14" ht="25.5" customHeight="1">
      <c r="A56" s="528">
        <v>46112</v>
      </c>
      <c r="B56" s="154">
        <v>150</v>
      </c>
      <c r="C56" s="526" t="s">
        <v>38</v>
      </c>
      <c r="D56" s="528">
        <v>46112</v>
      </c>
      <c r="E56" t="s">
        <v>23</v>
      </c>
      <c r="F56" s="531" t="s">
        <v>28</v>
      </c>
      <c r="G56" s="526"/>
      <c r="H56" s="527" t="s">
        <v>2701</v>
      </c>
      <c r="I56" s="526"/>
      <c r="J56" s="526">
        <v>59575</v>
      </c>
      <c r="L56" s="526" t="s">
        <v>26</v>
      </c>
      <c r="M56" s="526">
        <v>6.1</v>
      </c>
      <c r="N56" s="526"/>
    </row>
    <row r="57" spans="1:14" ht="25.5" customHeight="1">
      <c r="A57" s="528">
        <v>46142</v>
      </c>
      <c r="B57" s="154">
        <v>150</v>
      </c>
      <c r="C57" s="526" t="s">
        <v>41</v>
      </c>
      <c r="D57" s="528">
        <v>46141</v>
      </c>
      <c r="E57" t="s">
        <v>23</v>
      </c>
      <c r="F57" s="531" t="s">
        <v>28</v>
      </c>
      <c r="G57" s="526"/>
      <c r="H57" s="527" t="s">
        <v>2702</v>
      </c>
      <c r="I57" s="526"/>
      <c r="J57" s="526">
        <v>60988</v>
      </c>
      <c r="L57" s="526" t="s">
        <v>26</v>
      </c>
      <c r="M57" s="526">
        <v>10</v>
      </c>
      <c r="N57" s="526"/>
    </row>
    <row r="58" spans="1:14" ht="25.5" customHeight="1">
      <c r="A58" s="528">
        <v>46171</v>
      </c>
      <c r="B58" s="154">
        <v>150</v>
      </c>
      <c r="C58" s="526" t="s">
        <v>44</v>
      </c>
      <c r="D58" s="526"/>
      <c r="E58" t="s">
        <v>23</v>
      </c>
      <c r="F58" s="531" t="s">
        <v>24</v>
      </c>
      <c r="G58" s="526"/>
      <c r="H58" s="527" t="s">
        <v>2703</v>
      </c>
      <c r="I58" s="526"/>
      <c r="J58" s="526"/>
      <c r="L58" s="526" t="s">
        <v>72</v>
      </c>
      <c r="M58" s="526"/>
      <c r="N58" s="526"/>
    </row>
    <row r="59" spans="1:14" ht="25.5" customHeight="1">
      <c r="A59" s="526"/>
      <c r="B59" s="526"/>
      <c r="C59" s="526"/>
      <c r="D59" s="526"/>
      <c r="E59" t="s">
        <v>23</v>
      </c>
      <c r="F59" s="526"/>
      <c r="G59" s="526"/>
      <c r="H59" s="527"/>
      <c r="I59" s="526"/>
      <c r="J59" s="526"/>
      <c r="L59" s="526"/>
      <c r="M59" s="526"/>
      <c r="N59" s="526"/>
    </row>
    <row r="60" spans="1:14" ht="25.5" customHeight="1">
      <c r="A60" s="526"/>
      <c r="B60" s="526"/>
      <c r="C60" s="526"/>
      <c r="D60" s="526"/>
      <c r="E60" t="s">
        <v>23</v>
      </c>
      <c r="F60" s="526"/>
      <c r="G60" s="526"/>
      <c r="H60" s="527"/>
      <c r="I60" s="526"/>
      <c r="J60" s="526"/>
      <c r="L60" s="526"/>
      <c r="M60" s="526"/>
      <c r="N60" s="526"/>
    </row>
    <row r="61" spans="1:14" ht="25.5" customHeight="1">
      <c r="A61" s="526"/>
      <c r="B61" s="526"/>
      <c r="C61" s="526"/>
      <c r="D61" s="526"/>
      <c r="E61" t="s">
        <v>23</v>
      </c>
      <c r="F61" s="526"/>
      <c r="G61" s="526"/>
      <c r="H61" s="527"/>
      <c r="I61" s="526"/>
      <c r="J61" s="526"/>
      <c r="L61" s="526"/>
      <c r="M61" s="526"/>
      <c r="N61" s="526"/>
    </row>
    <row r="62" spans="1:14" ht="25.5" customHeight="1">
      <c r="A62" s="526"/>
      <c r="B62" s="526"/>
      <c r="C62" s="526"/>
      <c r="D62" s="526"/>
      <c r="E62" t="s">
        <v>23</v>
      </c>
      <c r="F62" s="526"/>
      <c r="G62" s="526"/>
      <c r="H62" s="527"/>
      <c r="I62" s="526"/>
      <c r="J62" s="526"/>
      <c r="L62" s="526"/>
      <c r="M62" s="526"/>
      <c r="N62" s="526"/>
    </row>
    <row r="63" spans="1:14" ht="25.5" customHeight="1">
      <c r="A63" s="526"/>
      <c r="B63" s="526"/>
      <c r="C63" s="526"/>
      <c r="D63" s="526"/>
      <c r="E63" t="s">
        <v>23</v>
      </c>
      <c r="F63" s="526"/>
      <c r="G63" s="526"/>
      <c r="H63" s="527"/>
      <c r="I63" s="526"/>
      <c r="J63" s="526"/>
      <c r="L63" s="526"/>
      <c r="M63" s="526"/>
      <c r="N63" s="526"/>
    </row>
    <row r="64" spans="1:14" ht="25.5" customHeight="1">
      <c r="A64" s="526"/>
      <c r="B64" s="526"/>
      <c r="C64" s="526"/>
      <c r="D64" s="526"/>
      <c r="E64" t="s">
        <v>23</v>
      </c>
      <c r="F64" s="526"/>
      <c r="G64" s="526"/>
      <c r="H64" s="527"/>
      <c r="I64" s="526"/>
      <c r="J64" s="526"/>
      <c r="L64" s="526"/>
      <c r="M64" s="526"/>
      <c r="N64" s="526"/>
    </row>
    <row r="65" spans="1:14" ht="25.5" customHeight="1">
      <c r="A65" s="526"/>
      <c r="B65" s="526"/>
      <c r="C65" s="526"/>
      <c r="D65" s="526"/>
      <c r="E65" t="s">
        <v>23</v>
      </c>
      <c r="F65" s="526"/>
      <c r="G65" s="526"/>
      <c r="H65" s="527"/>
      <c r="I65" s="526"/>
      <c r="J65" s="526"/>
      <c r="L65" s="526"/>
      <c r="M65" s="526"/>
      <c r="N65" s="526"/>
    </row>
    <row r="66" spans="1:14" ht="25.5" customHeight="1">
      <c r="A66" s="526"/>
      <c r="B66" s="526"/>
      <c r="C66" s="526"/>
      <c r="D66" s="526"/>
      <c r="E66" t="s">
        <v>23</v>
      </c>
      <c r="F66" s="526"/>
      <c r="G66" s="526"/>
      <c r="H66" s="527"/>
      <c r="I66" s="526"/>
      <c r="J66" s="526"/>
      <c r="L66" s="526"/>
      <c r="M66" s="526"/>
      <c r="N66" s="526"/>
    </row>
    <row r="67" spans="1:14" ht="25.5" customHeight="1"/>
    <row r="68" spans="1:14" ht="25.5" customHeight="1"/>
    <row r="69" spans="1:14" ht="25.5" customHeight="1"/>
    <row r="70" spans="1:14" ht="25.5" customHeight="1"/>
    <row r="434" spans="2:3">
      <c r="B434" t="s">
        <v>2286</v>
      </c>
      <c r="C434" t="s">
        <v>2287</v>
      </c>
    </row>
  </sheetData>
  <mergeCells count="7">
    <mergeCell ref="B5:C5"/>
    <mergeCell ref="G5:N5"/>
    <mergeCell ref="A1:F1"/>
    <mergeCell ref="B2:F2"/>
    <mergeCell ref="H2:L2"/>
    <mergeCell ref="F3:N3"/>
    <mergeCell ref="B4:E4"/>
  </mergeCells>
  <dataValidations count="2">
    <dataValidation type="list" allowBlank="1" showInputMessage="1" showErrorMessage="1" sqref="C10:C66" xr:uid="{E575A370-F0F0-46B4-BFAB-B99962067DB2}">
      <formula1>"ENERO,FEBRERO,MARZO,ABRIL,MAYO,JUNIO,JULIO,AGOSTO,SEPTIEMBRE,OCTUBRE,NOVIEMBRE,DICIEMBRE"</formula1>
    </dataValidation>
    <dataValidation type="list" allowBlank="1" showInputMessage="1" showErrorMessage="1" sqref="F10:F66" xr:uid="{83A02ECA-89F2-4BBB-B4C1-F0FCD17A5F43}">
      <formula1>"EFECTIVO, CHEQUE, TRANSFERENCIA,DEPOSITO"</formula1>
    </dataValidation>
  </dataValidations>
  <hyperlinks>
    <hyperlink ref="B4:E4" r:id="rId1" display="cd.integralab@gmail.com" xr:uid="{C4641038-0941-4A71-B77C-402328C1A4EF}"/>
  </hyperlinks>
  <pageMargins left="0.7" right="0.7" top="0.75" bottom="0.75" header="0.3" footer="0.3"/>
  <tableParts count="1">
    <tablePart r:id="rId2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2FDB-096A-46B9-9AFB-3BDC0D139D8F}">
  <sheetPr>
    <tabColor rgb="FFFFC000"/>
  </sheetPr>
  <dimension ref="A1:R433"/>
  <sheetViews>
    <sheetView workbookViewId="0">
      <selection activeCell="G6" sqref="G6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2.710937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2704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36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20104318321</v>
      </c>
      <c r="F3" s="794" t="s">
        <v>1125</v>
      </c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800" t="s">
        <v>36</v>
      </c>
      <c r="C4" s="800"/>
      <c r="D4" s="800"/>
      <c r="E4" s="800"/>
    </row>
    <row r="5" spans="1:14" ht="23.25" customHeight="1">
      <c r="A5" s="257" t="s">
        <v>4</v>
      </c>
      <c r="B5" s="786" t="s">
        <v>2292</v>
      </c>
      <c r="C5" s="787"/>
      <c r="F5" s="258"/>
      <c r="G5" s="788" t="s">
        <v>36</v>
      </c>
      <c r="H5" s="788"/>
      <c r="I5" s="788"/>
      <c r="J5" s="788"/>
      <c r="K5" s="788"/>
      <c r="L5" s="788"/>
      <c r="M5" s="788"/>
    </row>
    <row r="9" spans="1:14" ht="56.2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18</v>
      </c>
      <c r="L9" s="265" t="s">
        <v>2489</v>
      </c>
      <c r="M9" s="260"/>
      <c r="N9" s="260"/>
    </row>
    <row r="10" spans="1:14" ht="30">
      <c r="A10" s="266" t="s">
        <v>36</v>
      </c>
      <c r="B10" s="8" t="s">
        <v>36</v>
      </c>
      <c r="C10" s="2" t="s">
        <v>44</v>
      </c>
      <c r="D10" s="153">
        <v>44694</v>
      </c>
      <c r="E10" s="2" t="s">
        <v>23</v>
      </c>
      <c r="F10" s="2"/>
      <c r="G10" s="2"/>
      <c r="H10" s="9" t="s">
        <v>36</v>
      </c>
      <c r="I10" s="9"/>
      <c r="J10" s="9" t="s">
        <v>2705</v>
      </c>
      <c r="K10" s="2" t="s">
        <v>26</v>
      </c>
      <c r="L10">
        <v>13674</v>
      </c>
    </row>
    <row r="11" spans="1:14" ht="30">
      <c r="A11" s="7"/>
      <c r="B11" s="8">
        <v>700</v>
      </c>
      <c r="C11" t="s">
        <v>44</v>
      </c>
      <c r="D11" s="153">
        <v>44694</v>
      </c>
      <c r="E11" s="2" t="s">
        <v>23</v>
      </c>
      <c r="F11" s="2"/>
      <c r="H11" s="76"/>
      <c r="I11" s="9"/>
      <c r="J11" s="9" t="s">
        <v>2706</v>
      </c>
      <c r="K11" s="2" t="s">
        <v>26</v>
      </c>
      <c r="L11">
        <v>13673</v>
      </c>
    </row>
    <row r="12" spans="1:14" ht="30">
      <c r="A12" s="7"/>
      <c r="B12" s="8"/>
      <c r="E12" s="2" t="s">
        <v>23</v>
      </c>
      <c r="F12" s="2"/>
      <c r="H12" s="76"/>
      <c r="I12" s="9"/>
      <c r="J12" s="9"/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3D60C936-1FA7-4C74-A2BF-CF84BB96D6E2}">
      <formula1>"ENERO,FEBRERO,MARZO,ABRIL,MAYO,JUNIO,JULIO,AGOSTO,SEPTIEMBRE,OCTUBRE,NOVIEMBRE,DICIEMBRE"</formula1>
    </dataValidation>
    <dataValidation type="list" allowBlank="1" showInputMessage="1" showErrorMessage="1" sqref="F10:F30" xr:uid="{199D5FC7-44BE-4ACB-A782-199E12781353}">
      <formula1>"EFECTIVO, CHEQUE, TRANSFERENCIA,DEPOSITO"</formula1>
    </dataValidation>
  </dataValidations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6170-4ADE-498E-B849-BECCC8CF5629}">
  <sheetPr>
    <tabColor theme="0"/>
  </sheetPr>
  <dimension ref="A1:R432"/>
  <sheetViews>
    <sheetView topLeftCell="A43" workbookViewId="0">
      <selection activeCell="M45" sqref="M45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8" width="9.140625" bestFit="1" customWidth="1"/>
    <col min="9" max="9" width="13.28515625" bestFit="1" customWidth="1"/>
    <col min="10" max="10" width="13.28515625" customWidth="1"/>
    <col min="11" max="11" width="15.28515625" customWidth="1"/>
    <col min="12" max="12" width="11.7109375" customWidth="1"/>
  </cols>
  <sheetData>
    <row r="1" spans="1:18" ht="23.25" customHeight="1">
      <c r="A1" s="788" t="s">
        <v>2707</v>
      </c>
      <c r="B1" s="788"/>
      <c r="C1" s="788"/>
      <c r="D1" s="788"/>
      <c r="E1" s="788"/>
      <c r="F1" s="788"/>
    </row>
    <row r="2" spans="1:18" ht="18.75" customHeight="1">
      <c r="A2" s="2" t="s">
        <v>2708</v>
      </c>
      <c r="B2" s="790"/>
      <c r="C2" s="790"/>
      <c r="D2" s="790"/>
      <c r="E2" s="790"/>
      <c r="F2" s="790"/>
      <c r="G2" s="256"/>
      <c r="H2" s="793">
        <v>985112965</v>
      </c>
      <c r="I2" s="793"/>
      <c r="J2" s="793"/>
      <c r="K2" s="793"/>
    </row>
    <row r="3" spans="1:18" ht="21">
      <c r="A3" s="2" t="s">
        <v>1</v>
      </c>
      <c r="B3" s="2">
        <v>20605036512</v>
      </c>
      <c r="F3" s="802" t="s">
        <v>341</v>
      </c>
      <c r="G3" s="802"/>
      <c r="H3" s="802"/>
      <c r="I3" s="802"/>
      <c r="J3" s="802"/>
      <c r="K3" s="802"/>
      <c r="L3" s="802"/>
      <c r="M3" s="802"/>
    </row>
    <row r="4" spans="1:18" ht="15" customHeight="1">
      <c r="A4" s="2" t="s">
        <v>2277</v>
      </c>
      <c r="B4" s="796" t="s">
        <v>2709</v>
      </c>
      <c r="C4" s="796"/>
      <c r="D4" s="796"/>
      <c r="E4" s="796"/>
    </row>
    <row r="5" spans="1:18" ht="23.25" customHeight="1">
      <c r="A5" s="257" t="s">
        <v>4</v>
      </c>
      <c r="B5" s="786">
        <v>45847</v>
      </c>
      <c r="C5" s="787"/>
      <c r="F5" s="258"/>
      <c r="G5" s="788" t="s">
        <v>2710</v>
      </c>
      <c r="H5" s="788"/>
      <c r="I5" s="788"/>
      <c r="J5" s="788"/>
      <c r="K5" s="788"/>
      <c r="L5" s="788"/>
      <c r="M5" s="788"/>
    </row>
    <row r="7" spans="1:18" ht="21">
      <c r="I7" s="801"/>
      <c r="J7" s="801"/>
      <c r="K7" s="801"/>
    </row>
    <row r="9" spans="1:18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16</v>
      </c>
      <c r="J9" s="259" t="s">
        <v>2489</v>
      </c>
      <c r="K9" s="265" t="s">
        <v>17</v>
      </c>
      <c r="L9" s="265" t="s">
        <v>99</v>
      </c>
      <c r="M9" s="265" t="s">
        <v>638</v>
      </c>
      <c r="N9" s="265" t="s">
        <v>19</v>
      </c>
    </row>
    <row r="10" spans="1:18" ht="30.75">
      <c r="A10" s="266" t="s">
        <v>2711</v>
      </c>
      <c r="B10" s="8">
        <v>200</v>
      </c>
      <c r="C10" s="2" t="s">
        <v>41</v>
      </c>
      <c r="D10" s="153">
        <v>44661</v>
      </c>
      <c r="E10" s="2" t="s">
        <v>23</v>
      </c>
      <c r="F10" s="2" t="s">
        <v>24</v>
      </c>
      <c r="G10" s="2">
        <v>1</v>
      </c>
      <c r="H10" s="9" t="s">
        <v>2712</v>
      </c>
      <c r="I10" s="9" t="s">
        <v>2713</v>
      </c>
      <c r="J10" s="9"/>
      <c r="K10" s="2" t="s">
        <v>2714</v>
      </c>
      <c r="M10" s="9" t="s">
        <v>2715</v>
      </c>
    </row>
    <row r="11" spans="1:18" ht="30.75">
      <c r="A11" s="7">
        <v>44810</v>
      </c>
      <c r="B11" s="8">
        <v>200</v>
      </c>
      <c r="C11" t="s">
        <v>44</v>
      </c>
      <c r="D11" s="153">
        <v>44691</v>
      </c>
      <c r="E11" s="2" t="s">
        <v>23</v>
      </c>
      <c r="F11" s="2" t="s">
        <v>24</v>
      </c>
      <c r="G11">
        <v>2</v>
      </c>
      <c r="H11" s="76" t="s">
        <v>2712</v>
      </c>
      <c r="I11" s="9" t="s">
        <v>2716</v>
      </c>
      <c r="J11" s="9"/>
      <c r="K11" s="2" t="s">
        <v>2714</v>
      </c>
      <c r="M11" s="9" t="s">
        <v>2717</v>
      </c>
    </row>
    <row r="12" spans="1:18" ht="30.75">
      <c r="A12" s="7">
        <v>44806</v>
      </c>
      <c r="B12" s="8">
        <v>200</v>
      </c>
      <c r="C12" t="s">
        <v>57</v>
      </c>
      <c r="D12" s="153">
        <v>44730</v>
      </c>
      <c r="E12" s="2" t="s">
        <v>23</v>
      </c>
      <c r="F12" s="2" t="s">
        <v>24</v>
      </c>
      <c r="G12">
        <v>3</v>
      </c>
      <c r="H12" s="76" t="s">
        <v>2718</v>
      </c>
      <c r="I12" s="9" t="s">
        <v>2719</v>
      </c>
      <c r="J12" s="9"/>
      <c r="K12" s="2" t="s">
        <v>2714</v>
      </c>
      <c r="M12" s="9" t="s">
        <v>2720</v>
      </c>
    </row>
    <row r="13" spans="1:18" ht="30.75">
      <c r="A13" s="153">
        <v>44806</v>
      </c>
      <c r="B13" s="154">
        <v>200</v>
      </c>
      <c r="C13" t="s">
        <v>47</v>
      </c>
      <c r="D13" s="153">
        <v>44760</v>
      </c>
      <c r="E13" s="2" t="s">
        <v>23</v>
      </c>
      <c r="F13" t="s">
        <v>24</v>
      </c>
      <c r="G13">
        <v>4</v>
      </c>
      <c r="H13" s="76" t="s">
        <v>2721</v>
      </c>
      <c r="I13" s="9" t="s">
        <v>2722</v>
      </c>
      <c r="J13" s="9"/>
      <c r="K13" s="2" t="s">
        <v>2714</v>
      </c>
      <c r="M13" s="9" t="s">
        <v>2717</v>
      </c>
    </row>
    <row r="14" spans="1:18" ht="30.75">
      <c r="A14" s="153">
        <v>45160</v>
      </c>
      <c r="B14" s="154">
        <v>150</v>
      </c>
      <c r="C14" t="s">
        <v>50</v>
      </c>
      <c r="D14" s="153">
        <v>44814</v>
      </c>
      <c r="E14" s="2" t="s">
        <v>23</v>
      </c>
      <c r="F14" t="s">
        <v>24</v>
      </c>
      <c r="G14">
        <v>5</v>
      </c>
      <c r="H14" s="76" t="s">
        <v>2723</v>
      </c>
      <c r="I14" s="9" t="s">
        <v>2724</v>
      </c>
      <c r="J14" s="9"/>
      <c r="K14" s="2" t="s">
        <v>2714</v>
      </c>
      <c r="L14" s="100" t="s">
        <v>2725</v>
      </c>
      <c r="M14" s="9" t="s">
        <v>2726</v>
      </c>
    </row>
    <row r="15" spans="1:18" ht="30.75">
      <c r="A15" s="7">
        <v>45479</v>
      </c>
      <c r="B15" s="154">
        <v>150</v>
      </c>
      <c r="C15" s="2" t="s">
        <v>41</v>
      </c>
      <c r="D15" s="7">
        <v>45412</v>
      </c>
      <c r="E15" s="2" t="s">
        <v>23</v>
      </c>
      <c r="F15" t="s">
        <v>24</v>
      </c>
      <c r="G15">
        <v>6</v>
      </c>
      <c r="H15" s="76"/>
      <c r="I15" s="9" t="s">
        <v>2727</v>
      </c>
      <c r="J15" s="9"/>
      <c r="K15" s="2"/>
      <c r="M15">
        <v>6.2</v>
      </c>
    </row>
    <row r="16" spans="1:18" ht="30.75">
      <c r="A16" s="7">
        <v>45479</v>
      </c>
      <c r="B16" s="154">
        <v>150</v>
      </c>
      <c r="C16" t="s">
        <v>44</v>
      </c>
      <c r="D16" s="153">
        <v>45442</v>
      </c>
      <c r="E16" s="2" t="s">
        <v>23</v>
      </c>
      <c r="F16" t="s">
        <v>24</v>
      </c>
      <c r="G16">
        <v>7</v>
      </c>
      <c r="H16" s="76"/>
      <c r="I16" s="9" t="s">
        <v>2728</v>
      </c>
      <c r="J16" s="9"/>
      <c r="M16">
        <v>5.8</v>
      </c>
      <c r="R16" t="s">
        <v>36</v>
      </c>
    </row>
    <row r="17" spans="1:14" ht="30.75">
      <c r="A17" s="7">
        <v>45479</v>
      </c>
      <c r="B17" s="154">
        <v>150</v>
      </c>
      <c r="C17" t="s">
        <v>57</v>
      </c>
      <c r="D17" s="153">
        <v>45471</v>
      </c>
      <c r="E17" s="2" t="s">
        <v>23</v>
      </c>
      <c r="F17" t="s">
        <v>24</v>
      </c>
      <c r="G17">
        <v>8</v>
      </c>
      <c r="H17" s="76"/>
      <c r="I17" s="9" t="s">
        <v>2729</v>
      </c>
      <c r="J17" s="9"/>
      <c r="K17" s="2"/>
      <c r="M17">
        <v>6.5</v>
      </c>
    </row>
    <row r="18" spans="1:14" ht="30.75">
      <c r="A18" s="7">
        <v>45479</v>
      </c>
      <c r="B18" s="154">
        <v>170</v>
      </c>
      <c r="C18" t="s">
        <v>47</v>
      </c>
      <c r="D18" s="153">
        <v>45503</v>
      </c>
      <c r="E18" s="2" t="s">
        <v>23</v>
      </c>
      <c r="F18" t="s">
        <v>24</v>
      </c>
      <c r="G18">
        <v>9</v>
      </c>
      <c r="H18" s="76" t="s">
        <v>2730</v>
      </c>
      <c r="I18" s="9" t="s">
        <v>2731</v>
      </c>
      <c r="J18" s="9" t="s">
        <v>2732</v>
      </c>
      <c r="K18" t="s">
        <v>73</v>
      </c>
      <c r="M18">
        <v>2.2000000000000002</v>
      </c>
      <c r="N18" s="290" t="s">
        <v>76</v>
      </c>
    </row>
    <row r="19" spans="1:14" ht="30.75">
      <c r="A19" s="520">
        <v>45547</v>
      </c>
      <c r="B19" s="521">
        <v>170</v>
      </c>
      <c r="C19" s="522" t="s">
        <v>50</v>
      </c>
      <c r="D19" s="520">
        <v>45535</v>
      </c>
      <c r="E19" s="430" t="s">
        <v>23</v>
      </c>
      <c r="F19" s="522" t="s">
        <v>24</v>
      </c>
      <c r="G19" s="522">
        <v>10</v>
      </c>
      <c r="H19" s="523" t="s">
        <v>2733</v>
      </c>
      <c r="I19" s="524" t="s">
        <v>2734</v>
      </c>
      <c r="J19" s="524" t="s">
        <v>2735</v>
      </c>
      <c r="K19" s="522" t="s">
        <v>73</v>
      </c>
      <c r="M19">
        <v>15</v>
      </c>
    </row>
    <row r="20" spans="1:14" ht="30.75">
      <c r="A20" s="552">
        <v>45723</v>
      </c>
      <c r="B20" s="521">
        <v>170</v>
      </c>
      <c r="C20" s="522" t="s">
        <v>22</v>
      </c>
      <c r="D20" s="520">
        <v>45535</v>
      </c>
      <c r="E20" s="430" t="s">
        <v>23</v>
      </c>
      <c r="F20" s="522" t="s">
        <v>24</v>
      </c>
      <c r="G20" s="522">
        <v>11</v>
      </c>
      <c r="H20" s="523" t="s">
        <v>2736</v>
      </c>
      <c r="I20" s="524" t="s">
        <v>2737</v>
      </c>
      <c r="J20" s="524" t="s">
        <v>2738</v>
      </c>
      <c r="K20" s="522" t="s">
        <v>73</v>
      </c>
      <c r="M20">
        <v>8</v>
      </c>
    </row>
    <row r="21" spans="1:14" ht="30.75">
      <c r="A21" s="153">
        <v>45617</v>
      </c>
      <c r="B21" s="154">
        <v>170</v>
      </c>
      <c r="C21" t="s">
        <v>54</v>
      </c>
      <c r="D21" s="153">
        <v>45596</v>
      </c>
      <c r="E21" s="2" t="s">
        <v>23</v>
      </c>
      <c r="F21" t="s">
        <v>24</v>
      </c>
      <c r="G21">
        <v>12</v>
      </c>
      <c r="H21" s="76" t="s">
        <v>2739</v>
      </c>
      <c r="I21" s="9" t="s">
        <v>2740</v>
      </c>
      <c r="J21" s="9" t="s">
        <v>2741</v>
      </c>
      <c r="K21" t="s">
        <v>2714</v>
      </c>
      <c r="M21">
        <v>7.5</v>
      </c>
    </row>
    <row r="22" spans="1:14" ht="30.75">
      <c r="A22" s="153">
        <v>45633</v>
      </c>
      <c r="B22" s="154">
        <v>170</v>
      </c>
      <c r="C22" t="s">
        <v>27</v>
      </c>
      <c r="D22" s="153">
        <v>45626</v>
      </c>
      <c r="E22" s="2" t="s">
        <v>23</v>
      </c>
      <c r="F22" t="s">
        <v>24</v>
      </c>
      <c r="G22">
        <v>13</v>
      </c>
      <c r="H22" s="76" t="s">
        <v>2742</v>
      </c>
      <c r="I22" s="9" t="s">
        <v>2743</v>
      </c>
      <c r="J22" s="9" t="s">
        <v>2744</v>
      </c>
      <c r="K22" t="s">
        <v>2714</v>
      </c>
      <c r="M22">
        <v>9.3000000000000007</v>
      </c>
    </row>
    <row r="23" spans="1:14" ht="30.75">
      <c r="A23" s="562">
        <v>45723</v>
      </c>
      <c r="B23" s="521">
        <v>170</v>
      </c>
      <c r="C23" s="522" t="s">
        <v>30</v>
      </c>
      <c r="D23" s="520">
        <v>45657</v>
      </c>
      <c r="E23" s="430" t="s">
        <v>23</v>
      </c>
      <c r="F23" s="430" t="s">
        <v>24</v>
      </c>
      <c r="G23" s="522">
        <v>14</v>
      </c>
      <c r="H23" s="523" t="s">
        <v>2745</v>
      </c>
      <c r="I23" s="524" t="s">
        <v>2746</v>
      </c>
      <c r="J23" s="524" t="s">
        <v>2747</v>
      </c>
      <c r="K23" s="522" t="s">
        <v>73</v>
      </c>
      <c r="M23">
        <v>12.5</v>
      </c>
    </row>
    <row r="24" spans="1:14" ht="30.75">
      <c r="A24" s="520">
        <v>45756</v>
      </c>
      <c r="B24" s="521">
        <v>170</v>
      </c>
      <c r="C24" s="522" t="s">
        <v>32</v>
      </c>
      <c r="D24" s="520">
        <v>45688</v>
      </c>
      <c r="E24" s="430" t="s">
        <v>23</v>
      </c>
      <c r="F24" s="430" t="s">
        <v>24</v>
      </c>
      <c r="G24" s="522">
        <v>15</v>
      </c>
      <c r="H24" s="523" t="s">
        <v>2748</v>
      </c>
      <c r="I24" s="523" t="s">
        <v>2749</v>
      </c>
      <c r="J24" s="524"/>
      <c r="K24" s="522" t="s">
        <v>2714</v>
      </c>
      <c r="L24" s="522"/>
      <c r="M24">
        <v>5.3</v>
      </c>
    </row>
    <row r="25" spans="1:14" ht="30.75">
      <c r="A25" s="520">
        <v>45756</v>
      </c>
      <c r="B25" s="521">
        <v>170</v>
      </c>
      <c r="C25" s="522" t="s">
        <v>34</v>
      </c>
      <c r="D25" s="520">
        <v>45716</v>
      </c>
      <c r="E25" s="430" t="s">
        <v>23</v>
      </c>
      <c r="F25" s="430" t="s">
        <v>24</v>
      </c>
      <c r="G25" s="522">
        <v>16</v>
      </c>
      <c r="H25" s="523" t="s">
        <v>2750</v>
      </c>
      <c r="I25" s="524" t="s">
        <v>2751</v>
      </c>
      <c r="J25" s="524"/>
      <c r="K25" s="522" t="s">
        <v>2714</v>
      </c>
      <c r="L25" s="522"/>
      <c r="M25">
        <v>8.3000000000000007</v>
      </c>
    </row>
    <row r="26" spans="1:14" ht="30.75">
      <c r="A26" s="520">
        <v>45769</v>
      </c>
      <c r="B26" s="521">
        <v>170</v>
      </c>
      <c r="C26" s="522" t="s">
        <v>38</v>
      </c>
      <c r="D26" s="520">
        <v>45745</v>
      </c>
      <c r="E26" s="430" t="s">
        <v>23</v>
      </c>
      <c r="F26" s="430" t="s">
        <v>24</v>
      </c>
      <c r="G26" s="522">
        <v>17</v>
      </c>
      <c r="H26" s="523" t="s">
        <v>2752</v>
      </c>
      <c r="I26" s="522">
        <v>46565</v>
      </c>
      <c r="J26" s="522"/>
      <c r="K26" s="522" t="s">
        <v>2714</v>
      </c>
      <c r="M26">
        <v>7.4</v>
      </c>
    </row>
    <row r="27" spans="1:14" ht="30.75">
      <c r="A27" s="520">
        <v>45787</v>
      </c>
      <c r="B27" s="521">
        <v>170</v>
      </c>
      <c r="C27" s="522" t="s">
        <v>41</v>
      </c>
      <c r="D27" s="520">
        <v>45777</v>
      </c>
      <c r="E27" s="430" t="s">
        <v>23</v>
      </c>
      <c r="F27" s="430" t="s">
        <v>24</v>
      </c>
      <c r="G27" s="522">
        <v>18</v>
      </c>
      <c r="H27" s="523" t="s">
        <v>2753</v>
      </c>
      <c r="I27" s="522">
        <v>47650</v>
      </c>
      <c r="J27" s="522"/>
      <c r="K27" s="522" t="s">
        <v>2714</v>
      </c>
      <c r="M27">
        <v>3.4</v>
      </c>
    </row>
    <row r="28" spans="1:14" ht="30.75">
      <c r="A28" s="153">
        <v>45824</v>
      </c>
      <c r="B28" s="521">
        <v>170</v>
      </c>
      <c r="C28" s="522" t="s">
        <v>44</v>
      </c>
      <c r="D28" s="153">
        <v>45808</v>
      </c>
      <c r="E28" s="430" t="s">
        <v>23</v>
      </c>
      <c r="F28" s="2" t="s">
        <v>24</v>
      </c>
      <c r="H28" s="76" t="s">
        <v>2754</v>
      </c>
      <c r="I28">
        <v>50070</v>
      </c>
      <c r="K28" s="522" t="s">
        <v>2714</v>
      </c>
      <c r="M28">
        <v>1.5</v>
      </c>
    </row>
    <row r="29" spans="1:14" ht="30.75">
      <c r="A29" s="153">
        <v>45859</v>
      </c>
      <c r="B29" s="521">
        <v>170</v>
      </c>
      <c r="C29" s="522" t="s">
        <v>57</v>
      </c>
      <c r="D29" s="153">
        <v>45836</v>
      </c>
      <c r="E29" s="430" t="s">
        <v>23</v>
      </c>
      <c r="F29" s="2" t="s">
        <v>24</v>
      </c>
      <c r="G29" s="536"/>
      <c r="H29" s="76" t="s">
        <v>2755</v>
      </c>
      <c r="I29">
        <v>50912</v>
      </c>
      <c r="K29" s="522" t="s">
        <v>2714</v>
      </c>
      <c r="M29">
        <v>14.5</v>
      </c>
    </row>
    <row r="30" spans="1:14" ht="30.75">
      <c r="A30" s="153">
        <v>45898</v>
      </c>
      <c r="B30" s="521">
        <v>170</v>
      </c>
      <c r="C30" s="522" t="s">
        <v>47</v>
      </c>
      <c r="D30" s="153">
        <v>45869</v>
      </c>
      <c r="E30" s="430" t="s">
        <v>23</v>
      </c>
      <c r="F30" s="2" t="s">
        <v>24</v>
      </c>
      <c r="H30" s="76" t="s">
        <v>2756</v>
      </c>
      <c r="I30">
        <v>50069</v>
      </c>
      <c r="K30" s="522" t="s">
        <v>2714</v>
      </c>
      <c r="M30">
        <v>6.5</v>
      </c>
    </row>
    <row r="31" spans="1:14" ht="30.75">
      <c r="A31" s="528">
        <v>45905</v>
      </c>
      <c r="B31" s="521">
        <v>170</v>
      </c>
      <c r="C31" s="522" t="s">
        <v>50</v>
      </c>
      <c r="D31" s="528">
        <v>45898</v>
      </c>
      <c r="E31" s="430" t="s">
        <v>23</v>
      </c>
      <c r="F31" s="531" t="s">
        <v>24</v>
      </c>
      <c r="G31" s="526"/>
      <c r="H31" s="527" t="s">
        <v>2757</v>
      </c>
      <c r="I31" s="526">
        <v>51317</v>
      </c>
      <c r="K31" s="522" t="s">
        <v>2714</v>
      </c>
      <c r="L31" s="526"/>
      <c r="M31" s="526">
        <v>6.5</v>
      </c>
      <c r="N31" s="526"/>
    </row>
    <row r="32" spans="1:14" ht="30.75">
      <c r="A32" s="528">
        <v>45937</v>
      </c>
      <c r="B32" s="521">
        <v>170</v>
      </c>
      <c r="C32" s="522" t="s">
        <v>22</v>
      </c>
      <c r="D32" s="528">
        <v>45930</v>
      </c>
      <c r="E32" s="430" t="s">
        <v>23</v>
      </c>
      <c r="F32" s="531" t="s">
        <v>24</v>
      </c>
      <c r="G32" s="526"/>
      <c r="H32" s="527" t="s">
        <v>2758</v>
      </c>
      <c r="I32" s="526">
        <v>52146</v>
      </c>
      <c r="K32" s="522" t="s">
        <v>2714</v>
      </c>
      <c r="L32" s="526"/>
      <c r="M32" s="526">
        <v>4.5</v>
      </c>
      <c r="N32" s="526"/>
    </row>
    <row r="33" spans="1:14" ht="30.75">
      <c r="A33" s="528">
        <v>45974</v>
      </c>
      <c r="B33" s="521" t="s">
        <v>2759</v>
      </c>
      <c r="C33" s="522" t="s">
        <v>54</v>
      </c>
      <c r="D33" s="528">
        <v>45961</v>
      </c>
      <c r="E33" s="430" t="s">
        <v>23</v>
      </c>
      <c r="F33" s="531" t="s">
        <v>24</v>
      </c>
      <c r="G33" s="526"/>
      <c r="H33" s="527" t="s">
        <v>2760</v>
      </c>
      <c r="I33" s="526">
        <v>53347</v>
      </c>
      <c r="K33" s="522" t="s">
        <v>2714</v>
      </c>
      <c r="L33" s="526"/>
      <c r="M33" s="526">
        <v>17</v>
      </c>
      <c r="N33" s="526"/>
    </row>
    <row r="34" spans="1:14" ht="30.75">
      <c r="A34" s="528">
        <v>45997</v>
      </c>
      <c r="B34" s="521">
        <v>170</v>
      </c>
      <c r="C34" s="522" t="s">
        <v>27</v>
      </c>
      <c r="D34" s="528">
        <v>45990</v>
      </c>
      <c r="E34" s="430" t="s">
        <v>23</v>
      </c>
      <c r="F34" s="531" t="s">
        <v>24</v>
      </c>
      <c r="G34" s="526"/>
      <c r="H34" s="527" t="s">
        <v>2761</v>
      </c>
      <c r="I34" s="526">
        <v>53348</v>
      </c>
      <c r="K34" s="522" t="s">
        <v>2714</v>
      </c>
      <c r="L34" s="526"/>
      <c r="M34" s="526">
        <v>3.5</v>
      </c>
      <c r="N34" s="526"/>
    </row>
    <row r="35" spans="1:14" ht="30.75">
      <c r="A35" s="528">
        <v>46031</v>
      </c>
      <c r="B35" s="521" t="s">
        <v>2759</v>
      </c>
      <c r="C35" s="522" t="s">
        <v>30</v>
      </c>
      <c r="D35" s="528">
        <v>46021</v>
      </c>
      <c r="E35" s="430" t="s">
        <v>23</v>
      </c>
      <c r="F35" s="531" t="s">
        <v>24</v>
      </c>
      <c r="G35" s="526"/>
      <c r="H35" s="527" t="s">
        <v>2762</v>
      </c>
      <c r="I35" s="526">
        <v>54445</v>
      </c>
      <c r="K35" s="522" t="s">
        <v>2714</v>
      </c>
      <c r="L35" s="526"/>
      <c r="M35" s="526">
        <v>14</v>
      </c>
      <c r="N35" s="526"/>
    </row>
    <row r="36" spans="1:14" ht="30.75">
      <c r="A36" s="528">
        <v>46064</v>
      </c>
      <c r="B36" s="526"/>
      <c r="C36" s="522" t="s">
        <v>32</v>
      </c>
      <c r="D36" s="528">
        <v>46038</v>
      </c>
      <c r="E36" s="430" t="s">
        <v>23</v>
      </c>
      <c r="F36" s="531" t="s">
        <v>24</v>
      </c>
      <c r="G36" s="526"/>
      <c r="H36" s="527" t="s">
        <v>2763</v>
      </c>
      <c r="I36" s="526">
        <v>55713</v>
      </c>
      <c r="K36" s="522" t="s">
        <v>2714</v>
      </c>
      <c r="L36" s="526"/>
      <c r="M36" s="526">
        <v>5.5</v>
      </c>
      <c r="N36" s="526"/>
    </row>
    <row r="37" spans="1:14" ht="30.75">
      <c r="A37" s="528">
        <v>46064</v>
      </c>
      <c r="B37" s="526">
        <v>300</v>
      </c>
      <c r="C37" s="522" t="s">
        <v>32</v>
      </c>
      <c r="D37" s="528">
        <v>46053</v>
      </c>
      <c r="E37" s="430" t="s">
        <v>23</v>
      </c>
      <c r="F37" s="531" t="s">
        <v>24</v>
      </c>
      <c r="G37" s="526"/>
      <c r="H37" s="527" t="s">
        <v>2763</v>
      </c>
      <c r="I37" s="526">
        <v>56485</v>
      </c>
      <c r="K37" s="522" t="s">
        <v>2714</v>
      </c>
      <c r="L37" s="526"/>
      <c r="M37" s="526">
        <v>1.8</v>
      </c>
      <c r="N37" s="526"/>
    </row>
    <row r="38" spans="1:14" ht="30.75">
      <c r="A38" s="528">
        <v>46092</v>
      </c>
      <c r="B38" s="526"/>
      <c r="C38" s="522" t="s">
        <v>34</v>
      </c>
      <c r="D38" s="528">
        <v>46081</v>
      </c>
      <c r="E38" s="430" t="s">
        <v>23</v>
      </c>
      <c r="F38" s="2" t="s">
        <v>24</v>
      </c>
      <c r="G38" s="526"/>
      <c r="H38" s="527" t="s">
        <v>2764</v>
      </c>
      <c r="I38" s="526">
        <v>58419</v>
      </c>
      <c r="K38" s="522" t="s">
        <v>2714</v>
      </c>
      <c r="L38" s="526"/>
      <c r="M38" s="526">
        <v>7</v>
      </c>
      <c r="N38" s="526"/>
    </row>
    <row r="39" spans="1:14" ht="30.75">
      <c r="A39" s="528">
        <v>46092</v>
      </c>
      <c r="B39" s="526">
        <v>300</v>
      </c>
      <c r="C39" s="522" t="s">
        <v>34</v>
      </c>
      <c r="D39" s="528">
        <v>46070</v>
      </c>
      <c r="E39" s="430" t="s">
        <v>23</v>
      </c>
      <c r="F39" s="2" t="s">
        <v>24</v>
      </c>
      <c r="G39" s="526"/>
      <c r="H39" s="527" t="s">
        <v>2764</v>
      </c>
      <c r="I39" s="526">
        <v>58404</v>
      </c>
      <c r="K39" s="522" t="s">
        <v>2714</v>
      </c>
      <c r="L39" s="526"/>
      <c r="M39" s="526">
        <v>5</v>
      </c>
      <c r="N39" s="526"/>
    </row>
    <row r="40" spans="1:14" ht="30.75">
      <c r="A40" s="528">
        <v>46119</v>
      </c>
      <c r="B40" s="526"/>
      <c r="C40" s="522" t="s">
        <v>38</v>
      </c>
      <c r="D40" s="528">
        <v>46096</v>
      </c>
      <c r="E40" s="430" t="s">
        <v>23</v>
      </c>
      <c r="F40" s="2" t="s">
        <v>24</v>
      </c>
      <c r="G40" s="526"/>
      <c r="H40" s="527" t="s">
        <v>2765</v>
      </c>
      <c r="I40" s="526">
        <v>59678</v>
      </c>
      <c r="K40" s="522" t="s">
        <v>2714</v>
      </c>
      <c r="L40" s="526"/>
      <c r="M40" s="526">
        <v>5.6</v>
      </c>
      <c r="N40" s="526"/>
    </row>
    <row r="41" spans="1:14" ht="30.75">
      <c r="A41" s="528">
        <v>46119</v>
      </c>
      <c r="B41" s="526">
        <v>300</v>
      </c>
      <c r="C41" s="522" t="s">
        <v>38</v>
      </c>
      <c r="D41" s="528">
        <v>46112</v>
      </c>
      <c r="E41" s="430" t="s">
        <v>23</v>
      </c>
      <c r="F41" s="2" t="s">
        <v>24</v>
      </c>
      <c r="G41" s="526"/>
      <c r="H41" s="527" t="s">
        <v>2765</v>
      </c>
      <c r="I41" s="526">
        <v>59684</v>
      </c>
      <c r="K41" s="522" t="s">
        <v>2714</v>
      </c>
      <c r="L41" s="526"/>
      <c r="M41" s="526">
        <v>3.5</v>
      </c>
      <c r="N41" s="526"/>
    </row>
    <row r="42" spans="1:14" ht="30.75">
      <c r="A42" s="528">
        <v>46150</v>
      </c>
      <c r="B42" s="526"/>
      <c r="C42" s="526" t="s">
        <v>41</v>
      </c>
      <c r="D42" s="528">
        <v>46142</v>
      </c>
      <c r="E42" s="430" t="s">
        <v>23</v>
      </c>
      <c r="F42" s="2" t="s">
        <v>24</v>
      </c>
      <c r="G42" s="526"/>
      <c r="H42" s="527" t="s">
        <v>2766</v>
      </c>
      <c r="I42" s="526">
        <v>60997</v>
      </c>
      <c r="K42" s="522" t="s">
        <v>2714</v>
      </c>
      <c r="L42" s="526"/>
      <c r="M42" s="526">
        <v>5.0999999999999996</v>
      </c>
      <c r="N42" s="526"/>
    </row>
    <row r="43" spans="1:14" ht="30.75">
      <c r="A43" s="528">
        <v>46150</v>
      </c>
      <c r="B43" s="526">
        <v>300</v>
      </c>
      <c r="C43" s="526" t="s">
        <v>41</v>
      </c>
      <c r="D43" s="528">
        <v>46127</v>
      </c>
      <c r="E43" s="430" t="s">
        <v>23</v>
      </c>
      <c r="F43" s="2" t="s">
        <v>24</v>
      </c>
      <c r="G43" s="526"/>
      <c r="H43" s="527" t="s">
        <v>2766</v>
      </c>
      <c r="I43" s="526">
        <v>60996</v>
      </c>
      <c r="K43" s="522" t="s">
        <v>2714</v>
      </c>
      <c r="L43" s="526"/>
      <c r="M43" s="526">
        <v>5.6</v>
      </c>
      <c r="N43" s="526"/>
    </row>
    <row r="44" spans="1:14" ht="30.75">
      <c r="A44" s="526"/>
      <c r="B44" s="526"/>
      <c r="C44" s="526"/>
      <c r="D44" s="528">
        <v>46155</v>
      </c>
      <c r="E44" s="430" t="s">
        <v>23</v>
      </c>
      <c r="F44" s="526"/>
      <c r="G44" s="526"/>
      <c r="H44" s="527"/>
      <c r="I44" s="526">
        <v>60998</v>
      </c>
      <c r="K44" s="526"/>
      <c r="L44" s="526"/>
      <c r="M44" s="526">
        <v>8.98</v>
      </c>
      <c r="N44" s="526"/>
    </row>
    <row r="45" spans="1:14" ht="30.75">
      <c r="A45" s="526"/>
      <c r="B45" s="526"/>
      <c r="C45" s="526"/>
      <c r="D45" s="526"/>
      <c r="E45" s="430" t="s">
        <v>23</v>
      </c>
      <c r="F45" s="526"/>
      <c r="G45" s="526"/>
      <c r="H45" s="527"/>
      <c r="I45" s="526"/>
      <c r="K45" s="526"/>
      <c r="L45" s="526"/>
      <c r="M45" s="526"/>
      <c r="N45" s="526"/>
    </row>
    <row r="46" spans="1:14" ht="30.75">
      <c r="A46" s="526"/>
      <c r="B46" s="526"/>
      <c r="C46" s="526"/>
      <c r="D46" s="526"/>
      <c r="E46" s="430" t="s">
        <v>23</v>
      </c>
      <c r="F46" s="526"/>
      <c r="G46" s="526"/>
      <c r="H46" s="527"/>
      <c r="I46" s="526"/>
      <c r="K46" s="526"/>
      <c r="L46" s="526"/>
      <c r="M46" s="526"/>
      <c r="N46" s="526"/>
    </row>
    <row r="47" spans="1:14" ht="30.75">
      <c r="A47" s="526"/>
      <c r="B47" s="526"/>
      <c r="C47" s="526"/>
      <c r="D47" s="526"/>
      <c r="E47" s="430" t="s">
        <v>23</v>
      </c>
      <c r="F47" s="526"/>
      <c r="G47" s="526"/>
      <c r="H47" s="527"/>
      <c r="I47" s="526"/>
      <c r="K47" s="526"/>
      <c r="L47" s="526"/>
      <c r="M47" s="526"/>
      <c r="N47" s="526"/>
    </row>
    <row r="48" spans="1:14" ht="30.75">
      <c r="A48" s="526"/>
      <c r="B48" s="526"/>
      <c r="C48" s="526"/>
      <c r="D48" s="526"/>
      <c r="E48" s="430" t="s">
        <v>23</v>
      </c>
      <c r="F48" s="526"/>
      <c r="G48" s="526"/>
      <c r="H48" s="527"/>
      <c r="I48" s="526"/>
      <c r="K48" s="526"/>
      <c r="L48" s="526"/>
      <c r="M48" s="526"/>
      <c r="N48" s="526"/>
    </row>
    <row r="49" spans="1:14" ht="30.75">
      <c r="A49" s="526"/>
      <c r="B49" s="526"/>
      <c r="C49" s="526"/>
      <c r="D49" s="526"/>
      <c r="E49" s="430" t="s">
        <v>23</v>
      </c>
      <c r="F49" s="526"/>
      <c r="G49" s="526"/>
      <c r="H49" s="527"/>
      <c r="I49" s="526"/>
      <c r="K49" s="526"/>
      <c r="L49" s="526"/>
      <c r="M49" s="526"/>
      <c r="N49" s="526"/>
    </row>
    <row r="50" spans="1:14" ht="30.75">
      <c r="A50" s="526"/>
      <c r="B50" s="526"/>
      <c r="C50" s="526"/>
      <c r="D50" s="526"/>
      <c r="E50" s="430" t="s">
        <v>23</v>
      </c>
      <c r="F50" s="526"/>
      <c r="G50" s="526"/>
      <c r="H50" s="527"/>
      <c r="I50" s="526"/>
      <c r="K50" s="526"/>
      <c r="L50" s="526"/>
      <c r="M50" s="526"/>
      <c r="N50" s="526"/>
    </row>
    <row r="51" spans="1:14" ht="30.75">
      <c r="A51" s="526"/>
      <c r="B51" s="526"/>
      <c r="C51" s="526"/>
      <c r="D51" s="526"/>
      <c r="E51" s="430" t="s">
        <v>23</v>
      </c>
      <c r="F51" s="526"/>
      <c r="G51" s="526"/>
      <c r="H51" s="527"/>
      <c r="I51" s="526"/>
      <c r="K51" s="526"/>
      <c r="L51" s="526"/>
      <c r="M51" s="526"/>
      <c r="N51" s="526"/>
    </row>
    <row r="52" spans="1:14" ht="30.75">
      <c r="A52" s="526"/>
      <c r="B52" s="526"/>
      <c r="C52" s="526"/>
      <c r="D52" s="526"/>
      <c r="E52" s="430" t="s">
        <v>23</v>
      </c>
      <c r="F52" s="526"/>
      <c r="G52" s="526"/>
      <c r="H52" s="527"/>
      <c r="I52" s="526"/>
      <c r="K52" s="526"/>
      <c r="L52" s="526"/>
      <c r="M52" s="526"/>
      <c r="N52" s="526"/>
    </row>
    <row r="53" spans="1:14" ht="30.75">
      <c r="A53" s="526"/>
      <c r="B53" s="526"/>
      <c r="C53" s="526"/>
      <c r="D53" s="526"/>
      <c r="E53" s="430" t="s">
        <v>23</v>
      </c>
      <c r="F53" s="526"/>
      <c r="G53" s="526"/>
      <c r="H53" s="527"/>
      <c r="I53" s="526"/>
      <c r="K53" s="526"/>
      <c r="L53" s="526"/>
      <c r="M53" s="526"/>
      <c r="N53" s="526"/>
    </row>
    <row r="54" spans="1:14" ht="30.75">
      <c r="A54" s="526"/>
      <c r="B54" s="526"/>
      <c r="C54" s="526"/>
      <c r="D54" s="526"/>
      <c r="E54" s="430" t="s">
        <v>23</v>
      </c>
      <c r="F54" s="526"/>
      <c r="G54" s="526"/>
      <c r="H54" s="527"/>
      <c r="I54" s="526"/>
      <c r="K54" s="526"/>
      <c r="L54" s="526"/>
      <c r="M54" s="526"/>
      <c r="N54" s="526"/>
    </row>
    <row r="55" spans="1:14" ht="30.75">
      <c r="A55" s="526"/>
      <c r="B55" s="526"/>
      <c r="C55" s="526"/>
      <c r="D55" s="526"/>
      <c r="E55" s="430" t="s">
        <v>23</v>
      </c>
      <c r="F55" s="526"/>
      <c r="G55" s="526"/>
      <c r="H55" s="527"/>
      <c r="I55" s="526"/>
      <c r="K55" s="526"/>
      <c r="L55" s="526"/>
      <c r="M55" s="526"/>
      <c r="N55" s="526"/>
    </row>
    <row r="432" spans="2:3">
      <c r="B432" t="s">
        <v>2286</v>
      </c>
      <c r="C432" t="s">
        <v>2287</v>
      </c>
    </row>
  </sheetData>
  <mergeCells count="8">
    <mergeCell ref="I7:K7"/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F10:F30 F32:F43" xr:uid="{FAB24AF9-8E71-44B4-9A9D-FDA8F63D84DD}">
      <formula1>"EFECTIVO, CHEQUE, TRANSFERENCIA,DEPOSITO"</formula1>
    </dataValidation>
    <dataValidation type="list" allowBlank="1" showInputMessage="1" showErrorMessage="1" sqref="C10:C55" xr:uid="{37D4487C-6241-460A-AE96-DFD11324E719}">
      <formula1>"ENERO,FEBRERO,MARZO,ABRIL,MAYO,JUNIO,JULIO,AGOSTO,SEPTIEMBRE,OCTUBRE,NOVIEMBRE,DICIEMBRE"</formula1>
    </dataValidation>
  </dataValidations>
  <hyperlinks>
    <hyperlink ref="B4:E4" r:id="rId1" display="info@corporacionluren.com" xr:uid="{FF0C3714-1585-4A1B-90E4-CD9245B455C0}"/>
  </hyperlinks>
  <pageMargins left="0.7" right="0.7" top="0.75" bottom="0.75" header="0.3" footer="0.3"/>
  <tableParts count="1">
    <tablePart r:id="rId2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AB8F-E4C9-4510-A6CB-D9DF6059B440}">
  <sheetPr>
    <tabColor rgb="FFFF0000"/>
  </sheetPr>
  <dimension ref="A1:R433"/>
  <sheetViews>
    <sheetView workbookViewId="0">
      <selection activeCell="K10" sqref="K10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2767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7" t="s">
        <v>2768</v>
      </c>
      <c r="I2" s="797"/>
      <c r="J2" s="797"/>
      <c r="K2" s="797"/>
    </row>
    <row r="3" spans="1:14" ht="21">
      <c r="A3" s="2" t="s">
        <v>1</v>
      </c>
      <c r="B3" s="2">
        <v>20600624891</v>
      </c>
      <c r="F3" s="803" t="s">
        <v>341</v>
      </c>
      <c r="G3" s="803"/>
      <c r="H3" s="803"/>
      <c r="I3" s="803"/>
      <c r="J3" s="803"/>
      <c r="K3" s="803"/>
      <c r="L3" s="803"/>
      <c r="M3" s="803"/>
    </row>
    <row r="4" spans="1:14" ht="15" customHeight="1">
      <c r="A4" s="2" t="s">
        <v>2277</v>
      </c>
      <c r="B4" s="796" t="s">
        <v>2769</v>
      </c>
      <c r="C4" s="796"/>
      <c r="D4" s="796"/>
      <c r="E4" s="796"/>
    </row>
    <row r="5" spans="1:14" ht="23.25" customHeight="1">
      <c r="A5" s="257" t="s">
        <v>4</v>
      </c>
      <c r="B5" s="786" t="s">
        <v>2770</v>
      </c>
      <c r="C5" s="787"/>
      <c r="F5" s="258"/>
      <c r="G5" s="788" t="s">
        <v>2771</v>
      </c>
      <c r="H5" s="788"/>
      <c r="I5" s="788"/>
      <c r="J5" s="788"/>
      <c r="K5" s="788"/>
      <c r="L5" s="788"/>
      <c r="M5" s="788"/>
    </row>
    <row r="9" spans="1:14" ht="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M9" s="260"/>
      <c r="N9" s="260"/>
    </row>
    <row r="10" spans="1:14" ht="30">
      <c r="A10" s="266" t="s">
        <v>36</v>
      </c>
      <c r="B10" s="8">
        <v>100</v>
      </c>
      <c r="C10" s="2" t="s">
        <v>57</v>
      </c>
      <c r="D10" s="153">
        <v>44741</v>
      </c>
      <c r="E10" s="2" t="s">
        <v>23</v>
      </c>
      <c r="F10" s="2" t="s">
        <v>24</v>
      </c>
      <c r="G10" s="2">
        <v>1</v>
      </c>
      <c r="H10" s="9" t="s">
        <v>1972</v>
      </c>
      <c r="I10" s="9"/>
      <c r="J10" s="9" t="s">
        <v>2772</v>
      </c>
      <c r="K10" s="2" t="s">
        <v>1590</v>
      </c>
    </row>
    <row r="11" spans="1:14" ht="30">
      <c r="A11" s="7"/>
      <c r="B11" s="8"/>
      <c r="D11" s="153" t="s">
        <v>36</v>
      </c>
      <c r="E11" s="2" t="s">
        <v>23</v>
      </c>
      <c r="F11" s="2"/>
      <c r="H11" s="76"/>
      <c r="I11" s="9"/>
      <c r="J11" s="9" t="s">
        <v>36</v>
      </c>
      <c r="K11" s="2"/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8AECCB53-E81A-4592-BB03-4EAB81BB42AC}">
      <formula1>"ENERO,FEBRERO,MARZO,ABRIL,MAYO,JUNIO,JULIO,AGOSTO,SEPTIEMBRE,OCTUBRE,NOVIEMBRE,DICIEMBRE"</formula1>
    </dataValidation>
    <dataValidation type="list" allowBlank="1" showInputMessage="1" showErrorMessage="1" sqref="F10:F30" xr:uid="{33893BFD-B247-4EAD-A780-99D1EA695BBC}">
      <formula1>"EFECTIVO, CHEQUE, TRANSFERENCIA,DEPOSITO"</formula1>
    </dataValidation>
  </dataValidations>
  <hyperlinks>
    <hyperlink ref="B4:E4" r:id="rId1" display="zoemed.labs@gmail.com" xr:uid="{A568EBAB-550A-468F-A7D5-B66DFAFE997F}"/>
  </hyperlinks>
  <pageMargins left="0.7" right="0.7" top="0.75" bottom="0.75" header="0.3" footer="0.3"/>
  <tableParts count="1">
    <tablePart r:id="rId2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F6EF-7D05-446C-AC26-8B5EC4AC958E}">
  <sheetPr>
    <tabColor rgb="FFFF0000"/>
  </sheetPr>
  <dimension ref="A1:R433"/>
  <sheetViews>
    <sheetView workbookViewId="0">
      <selection activeCell="B3" sqref="B3:F3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0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3.5703125" customWidth="1"/>
  </cols>
  <sheetData>
    <row r="1" spans="1:14" ht="23.25" customHeight="1">
      <c r="A1" s="789" t="s">
        <v>2773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2774</v>
      </c>
      <c r="C2" s="790"/>
      <c r="D2" s="790"/>
      <c r="E2" s="790"/>
      <c r="F2" s="790"/>
      <c r="G2" s="256"/>
      <c r="H2" s="804" t="s">
        <v>2775</v>
      </c>
      <c r="I2" s="804"/>
      <c r="J2" s="804"/>
      <c r="K2" s="804"/>
    </row>
    <row r="3" spans="1:14" ht="18.75">
      <c r="A3" s="2" t="s">
        <v>1</v>
      </c>
      <c r="B3" s="805">
        <v>20512609458</v>
      </c>
      <c r="C3" s="805"/>
      <c r="D3" s="805"/>
      <c r="E3" s="805"/>
      <c r="F3" s="805"/>
      <c r="G3" s="637"/>
      <c r="H3" s="637"/>
      <c r="I3" s="637"/>
      <c r="J3" s="637"/>
      <c r="K3" s="637" t="s">
        <v>36</v>
      </c>
      <c r="L3" s="637"/>
      <c r="M3" s="637"/>
    </row>
    <row r="4" spans="1:14" ht="15" customHeight="1">
      <c r="A4" s="2" t="s">
        <v>2277</v>
      </c>
      <c r="B4" s="798" t="s">
        <v>2776</v>
      </c>
      <c r="C4" s="798"/>
      <c r="D4" s="798"/>
      <c r="E4" s="798"/>
      <c r="J4" t="s">
        <v>2611</v>
      </c>
      <c r="K4" t="s">
        <v>2777</v>
      </c>
    </row>
    <row r="5" spans="1:14" ht="23.25" customHeight="1">
      <c r="A5" s="257" t="s">
        <v>4</v>
      </c>
      <c r="B5" s="786">
        <v>44736</v>
      </c>
      <c r="C5" s="787"/>
      <c r="F5" s="258"/>
      <c r="G5" s="788" t="s">
        <v>2778</v>
      </c>
      <c r="H5" s="788"/>
      <c r="I5" s="788"/>
      <c r="J5" s="788"/>
      <c r="K5" s="788"/>
      <c r="L5" s="788"/>
      <c r="M5" s="788"/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18</v>
      </c>
      <c r="L9" s="265" t="s">
        <v>2779</v>
      </c>
      <c r="M9" s="260"/>
      <c r="N9" s="260"/>
    </row>
    <row r="10" spans="1:14" ht="30.75">
      <c r="A10" s="266" t="s">
        <v>2780</v>
      </c>
      <c r="B10" s="8">
        <v>236</v>
      </c>
      <c r="C10" s="2" t="s">
        <v>57</v>
      </c>
      <c r="D10" s="153">
        <v>44739</v>
      </c>
      <c r="E10" s="2" t="s">
        <v>23</v>
      </c>
      <c r="F10" s="2" t="s">
        <v>24</v>
      </c>
      <c r="G10" s="2">
        <v>1</v>
      </c>
      <c r="H10" s="9" t="s">
        <v>2781</v>
      </c>
      <c r="I10" s="9"/>
      <c r="J10" s="9" t="s">
        <v>2782</v>
      </c>
      <c r="K10" s="2" t="s">
        <v>26</v>
      </c>
    </row>
    <row r="11" spans="1:14" ht="30.75">
      <c r="A11" s="7" t="s">
        <v>1877</v>
      </c>
      <c r="B11" s="8">
        <v>236</v>
      </c>
      <c r="C11" t="s">
        <v>22</v>
      </c>
      <c r="D11" s="153">
        <v>44834</v>
      </c>
      <c r="E11" s="2" t="s">
        <v>23</v>
      </c>
      <c r="F11" s="2" t="s">
        <v>24</v>
      </c>
      <c r="G11">
        <v>2</v>
      </c>
      <c r="H11" s="76" t="s">
        <v>2783</v>
      </c>
      <c r="I11" s="9"/>
      <c r="J11" s="9"/>
      <c r="K11" s="2" t="s">
        <v>26</v>
      </c>
      <c r="L11">
        <v>4.29</v>
      </c>
    </row>
    <row r="12" spans="1:14" ht="30.75">
      <c r="A12" s="7" t="s">
        <v>2784</v>
      </c>
      <c r="B12" s="8">
        <v>236</v>
      </c>
      <c r="C12" t="s">
        <v>30</v>
      </c>
      <c r="D12" s="153">
        <v>44754</v>
      </c>
      <c r="E12" s="2" t="s">
        <v>23</v>
      </c>
      <c r="F12" s="2" t="s">
        <v>24</v>
      </c>
      <c r="G12">
        <v>3</v>
      </c>
      <c r="H12" s="76" t="s">
        <v>2785</v>
      </c>
      <c r="I12" s="9"/>
      <c r="J12" s="9" t="s">
        <v>2786</v>
      </c>
      <c r="K12" s="2" t="s">
        <v>26</v>
      </c>
      <c r="L12">
        <v>3.3</v>
      </c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A1:F1"/>
    <mergeCell ref="B2:F2"/>
    <mergeCell ref="H2:K2"/>
    <mergeCell ref="B4:E4"/>
    <mergeCell ref="B5:C5"/>
    <mergeCell ref="G5:M5"/>
    <mergeCell ref="B3:F3"/>
  </mergeCells>
  <dataValidations count="2">
    <dataValidation type="list" allowBlank="1" showInputMessage="1" showErrorMessage="1" sqref="C10:C30" xr:uid="{A2811164-7168-49B1-BDF2-DC07AD0F6D20}">
      <formula1>"ENERO,FEBRERO,MARZO,ABRIL,MAYO,JUNIO,JULIO,AGOSTO,SEPTIEMBRE,OCTUBRE,NOVIEMBRE,DICIEMBRE"</formula1>
    </dataValidation>
    <dataValidation type="list" allowBlank="1" showInputMessage="1" showErrorMessage="1" sqref="F10:F30" xr:uid="{74AB459B-E31E-4EEA-910B-D549116CDF16}">
      <formula1>"EFECTIVO, CHEQUE, TRANSFERENCIA,DEPOSITO"</formula1>
    </dataValidation>
  </dataValidations>
  <hyperlinks>
    <hyperlink ref="B4:E4" r:id="rId1" display="beatriz.quenta@saluslaboris.pe , Maria.emma@saluslaboris.pe" xr:uid="{569F6592-B7F4-4C45-9B4C-24F7DB238A9A}"/>
  </hyperlinks>
  <pageMargins left="0.7" right="0.7" top="0.75" bottom="0.75" header="0.3" footer="0.3"/>
  <tableParts count="1">
    <tablePart r:id="rId2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10A1-9DA1-45DA-9165-7303F88EA992}">
  <dimension ref="A1:S433"/>
  <sheetViews>
    <sheetView topLeftCell="A2" workbookViewId="0">
      <selection activeCell="Q11" sqref="Q11:Q12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9.140625" customWidth="1"/>
    <col min="12" max="12" width="15.28515625" customWidth="1"/>
    <col min="14" max="14" width="17.5703125" bestFit="1" customWidth="1"/>
  </cols>
  <sheetData>
    <row r="1" spans="1:15" ht="23.25" customHeight="1">
      <c r="A1" s="789" t="s">
        <v>2787</v>
      </c>
      <c r="B1" s="788"/>
      <c r="C1" s="788"/>
      <c r="D1" s="788"/>
      <c r="E1" s="788"/>
      <c r="F1" s="788"/>
    </row>
    <row r="2" spans="1:15" ht="18.75" customHeight="1">
      <c r="A2" s="2" t="s">
        <v>1729</v>
      </c>
      <c r="B2" s="790" t="s">
        <v>2788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  <c r="L2" s="793"/>
    </row>
    <row r="3" spans="1:15" ht="18.75">
      <c r="A3" s="2" t="s">
        <v>1</v>
      </c>
      <c r="B3" s="790">
        <v>15606562613</v>
      </c>
      <c r="C3" s="790"/>
      <c r="D3" s="790"/>
      <c r="E3" s="790"/>
      <c r="F3" s="790"/>
      <c r="G3" s="637"/>
      <c r="H3" s="637"/>
      <c r="I3" s="637"/>
      <c r="J3" s="637" t="s">
        <v>36</v>
      </c>
      <c r="K3" s="637"/>
      <c r="L3" s="637" t="s">
        <v>224</v>
      </c>
      <c r="M3" s="637"/>
      <c r="N3" s="637"/>
    </row>
    <row r="4" spans="1:15" ht="15" customHeight="1">
      <c r="A4" s="2" t="s">
        <v>2277</v>
      </c>
      <c r="B4" s="798" t="s">
        <v>2789</v>
      </c>
      <c r="C4" s="798"/>
      <c r="D4" s="798"/>
      <c r="E4" s="798"/>
    </row>
    <row r="5" spans="1:15" ht="23.25" customHeight="1">
      <c r="A5" s="257" t="s">
        <v>4</v>
      </c>
      <c r="B5" s="786">
        <v>45719</v>
      </c>
      <c r="C5" s="787"/>
      <c r="F5" s="258"/>
      <c r="G5" s="788" t="s">
        <v>2790</v>
      </c>
      <c r="H5" s="788"/>
      <c r="I5" s="788"/>
      <c r="J5" s="788"/>
      <c r="K5" s="788"/>
      <c r="L5" s="788"/>
      <c r="M5" s="788"/>
      <c r="N5" s="788"/>
    </row>
    <row r="9" spans="1:15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19</v>
      </c>
      <c r="L9" s="259" t="s">
        <v>18</v>
      </c>
      <c r="M9" s="265" t="s">
        <v>99</v>
      </c>
      <c r="N9" s="260"/>
      <c r="O9" s="260"/>
    </row>
    <row r="10" spans="1:15" ht="30.75">
      <c r="A10" s="266">
        <v>44767</v>
      </c>
      <c r="B10" s="8">
        <v>200</v>
      </c>
      <c r="C10" s="2" t="s">
        <v>22</v>
      </c>
      <c r="D10" s="153">
        <v>44818</v>
      </c>
      <c r="E10" s="2" t="s">
        <v>23</v>
      </c>
      <c r="F10" s="2" t="s">
        <v>24</v>
      </c>
      <c r="G10" s="2">
        <v>1</v>
      </c>
      <c r="H10" s="9" t="s">
        <v>2791</v>
      </c>
      <c r="I10" s="9"/>
      <c r="J10" s="9" t="s">
        <v>2792</v>
      </c>
      <c r="K10" s="9"/>
      <c r="L10" s="2" t="s">
        <v>2793</v>
      </c>
    </row>
    <row r="11" spans="1:15" ht="30.75">
      <c r="A11" s="7" t="s">
        <v>1417</v>
      </c>
      <c r="B11" s="8">
        <v>200</v>
      </c>
      <c r="C11" t="s">
        <v>54</v>
      </c>
      <c r="D11" t="s">
        <v>172</v>
      </c>
      <c r="E11" s="2" t="s">
        <v>23</v>
      </c>
      <c r="F11" s="2" t="s">
        <v>24</v>
      </c>
      <c r="G11">
        <v>2</v>
      </c>
      <c r="H11" s="76" t="s">
        <v>2794</v>
      </c>
      <c r="I11" s="9"/>
      <c r="J11" s="9" t="s">
        <v>2795</v>
      </c>
      <c r="K11" s="9"/>
      <c r="L11" s="2" t="s">
        <v>2796</v>
      </c>
    </row>
    <row r="12" spans="1:15" ht="30.75">
      <c r="A12" s="7" t="s">
        <v>1417</v>
      </c>
      <c r="B12" s="8">
        <v>200</v>
      </c>
      <c r="C12" t="s">
        <v>27</v>
      </c>
      <c r="D12" s="153">
        <v>44604</v>
      </c>
      <c r="E12" s="2" t="s">
        <v>23</v>
      </c>
      <c r="F12" s="2" t="s">
        <v>24</v>
      </c>
      <c r="G12">
        <v>3</v>
      </c>
      <c r="H12" s="76" t="s">
        <v>2797</v>
      </c>
      <c r="I12" s="9"/>
      <c r="J12" s="9" t="s">
        <v>2798</v>
      </c>
      <c r="K12" s="9"/>
      <c r="L12" s="2" t="s">
        <v>2796</v>
      </c>
    </row>
    <row r="13" spans="1:15" ht="60.75">
      <c r="A13" s="153">
        <v>44929</v>
      </c>
      <c r="B13" s="154">
        <v>200</v>
      </c>
      <c r="C13" t="s">
        <v>30</v>
      </c>
      <c r="D13" s="153" t="s">
        <v>2799</v>
      </c>
      <c r="E13" s="2" t="s">
        <v>23</v>
      </c>
      <c r="F13" t="s">
        <v>24</v>
      </c>
      <c r="G13">
        <v>4</v>
      </c>
      <c r="H13" s="76" t="s">
        <v>2800</v>
      </c>
      <c r="I13" s="9"/>
      <c r="J13" s="9" t="s">
        <v>2801</v>
      </c>
      <c r="K13" s="9"/>
      <c r="L13" s="2" t="s">
        <v>2802</v>
      </c>
    </row>
    <row r="14" spans="1:15" ht="60.75">
      <c r="A14" s="153">
        <v>44929</v>
      </c>
      <c r="B14" s="154">
        <v>200</v>
      </c>
      <c r="C14" t="s">
        <v>32</v>
      </c>
      <c r="D14" t="s">
        <v>2803</v>
      </c>
      <c r="E14" s="2" t="s">
        <v>23</v>
      </c>
      <c r="F14" t="s">
        <v>24</v>
      </c>
      <c r="G14">
        <v>5</v>
      </c>
      <c r="H14" s="76" t="s">
        <v>2800</v>
      </c>
      <c r="I14" s="9"/>
      <c r="J14" s="9" t="s">
        <v>2804</v>
      </c>
      <c r="K14" s="9"/>
      <c r="L14" s="2" t="s">
        <v>2802</v>
      </c>
    </row>
    <row r="15" spans="1:15" ht="30.75">
      <c r="A15" s="153">
        <v>45235</v>
      </c>
      <c r="B15" s="154">
        <v>200</v>
      </c>
      <c r="C15" t="s">
        <v>34</v>
      </c>
      <c r="D15" t="s">
        <v>66</v>
      </c>
      <c r="E15" s="2" t="s">
        <v>23</v>
      </c>
      <c r="F15" t="s">
        <v>24</v>
      </c>
      <c r="G15">
        <v>6</v>
      </c>
      <c r="H15" s="76" t="s">
        <v>2805</v>
      </c>
      <c r="I15" s="9"/>
      <c r="J15" s="9" t="s">
        <v>2806</v>
      </c>
      <c r="K15" s="9"/>
      <c r="L15" s="2" t="s">
        <v>2796</v>
      </c>
      <c r="O15" t="s">
        <v>36</v>
      </c>
    </row>
    <row r="16" spans="1:15" ht="30.75">
      <c r="A16" s="7" t="s">
        <v>2807</v>
      </c>
      <c r="B16" s="8">
        <v>200</v>
      </c>
      <c r="C16" s="2" t="s">
        <v>38</v>
      </c>
      <c r="D16" s="2" t="s">
        <v>68</v>
      </c>
      <c r="E16" s="2" t="s">
        <v>23</v>
      </c>
      <c r="F16" s="2" t="s">
        <v>24</v>
      </c>
      <c r="G16" s="2">
        <v>7</v>
      </c>
      <c r="H16" s="76" t="s">
        <v>2805</v>
      </c>
      <c r="I16" s="9"/>
      <c r="J16" s="9" t="s">
        <v>2808</v>
      </c>
      <c r="K16" s="9"/>
      <c r="L16" s="2" t="s">
        <v>2796</v>
      </c>
    </row>
    <row r="17" spans="1:19" ht="30.75">
      <c r="A17" s="7" t="s">
        <v>2807</v>
      </c>
      <c r="B17" s="8">
        <v>200</v>
      </c>
      <c r="C17" t="s">
        <v>41</v>
      </c>
      <c r="D17" t="s">
        <v>69</v>
      </c>
      <c r="E17" s="2" t="s">
        <v>23</v>
      </c>
      <c r="F17" s="2" t="s">
        <v>24</v>
      </c>
      <c r="G17">
        <v>8</v>
      </c>
      <c r="H17" s="76" t="s">
        <v>2809</v>
      </c>
      <c r="I17" s="9"/>
      <c r="J17" s="9" t="s">
        <v>2810</v>
      </c>
      <c r="K17" s="9"/>
      <c r="L17" t="s">
        <v>2796</v>
      </c>
      <c r="S17" t="s">
        <v>36</v>
      </c>
    </row>
    <row r="18" spans="1:19" ht="30.75">
      <c r="A18" s="153">
        <v>45112</v>
      </c>
      <c r="B18" s="154">
        <v>200</v>
      </c>
      <c r="C18" t="s">
        <v>44</v>
      </c>
      <c r="D18" t="s">
        <v>70</v>
      </c>
      <c r="E18" s="2" t="s">
        <v>23</v>
      </c>
      <c r="F18" t="s">
        <v>24</v>
      </c>
      <c r="G18">
        <v>9</v>
      </c>
      <c r="H18" s="76" t="s">
        <v>2811</v>
      </c>
      <c r="I18" s="9"/>
      <c r="J18" s="9" t="s">
        <v>2812</v>
      </c>
      <c r="K18" s="9"/>
      <c r="L18" t="s">
        <v>2796</v>
      </c>
      <c r="M18">
        <v>7</v>
      </c>
    </row>
    <row r="19" spans="1:19" ht="30.75">
      <c r="A19" s="153">
        <v>45131</v>
      </c>
      <c r="B19" s="154">
        <v>200</v>
      </c>
      <c r="C19" t="s">
        <v>57</v>
      </c>
      <c r="D19" s="153">
        <v>45104</v>
      </c>
      <c r="E19" s="2" t="s">
        <v>23</v>
      </c>
      <c r="F19" t="s">
        <v>24</v>
      </c>
      <c r="G19">
        <v>10</v>
      </c>
      <c r="H19" s="76" t="s">
        <v>2813</v>
      </c>
      <c r="I19" s="9"/>
      <c r="J19" s="9" t="s">
        <v>2814</v>
      </c>
      <c r="K19" s="9"/>
      <c r="L19" t="s">
        <v>1120</v>
      </c>
      <c r="M19">
        <v>4.2</v>
      </c>
    </row>
    <row r="20" spans="1:19" ht="30.75">
      <c r="A20" s="153">
        <v>45162</v>
      </c>
      <c r="B20" s="154">
        <v>200</v>
      </c>
      <c r="C20" t="s">
        <v>47</v>
      </c>
      <c r="D20" s="153">
        <v>45134</v>
      </c>
      <c r="E20" s="2" t="s">
        <v>23</v>
      </c>
      <c r="F20" t="s">
        <v>24</v>
      </c>
      <c r="G20">
        <v>11</v>
      </c>
      <c r="H20" s="76" t="s">
        <v>2815</v>
      </c>
      <c r="I20" s="9"/>
      <c r="J20" s="9" t="s">
        <v>2816</v>
      </c>
      <c r="K20" s="9"/>
      <c r="L20" t="s">
        <v>1120</v>
      </c>
      <c r="M20">
        <v>9.5</v>
      </c>
    </row>
    <row r="21" spans="1:19" ht="30.75">
      <c r="A21" s="153">
        <v>45162</v>
      </c>
      <c r="B21" s="154">
        <v>200</v>
      </c>
      <c r="C21" t="s">
        <v>50</v>
      </c>
      <c r="D21" s="153">
        <v>45166</v>
      </c>
      <c r="E21" s="2" t="s">
        <v>23</v>
      </c>
      <c r="F21" t="s">
        <v>24</v>
      </c>
      <c r="G21">
        <v>12</v>
      </c>
      <c r="H21" s="76" t="s">
        <v>2817</v>
      </c>
      <c r="I21" s="9"/>
      <c r="J21" s="9" t="s">
        <v>2818</v>
      </c>
      <c r="K21" s="9"/>
      <c r="L21" t="s">
        <v>1120</v>
      </c>
      <c r="M21">
        <v>6.2</v>
      </c>
    </row>
    <row r="22" spans="1:19" ht="30.75">
      <c r="A22" s="153">
        <v>45218</v>
      </c>
      <c r="B22">
        <v>200</v>
      </c>
      <c r="C22" t="s">
        <v>22</v>
      </c>
      <c r="D22" s="153">
        <v>45198</v>
      </c>
      <c r="E22" s="2" t="s">
        <v>23</v>
      </c>
      <c r="F22" t="s">
        <v>24</v>
      </c>
      <c r="G22">
        <v>13</v>
      </c>
      <c r="H22" s="76" t="s">
        <v>2819</v>
      </c>
      <c r="I22" s="9"/>
      <c r="J22" s="9" t="s">
        <v>2820</v>
      </c>
      <c r="K22" s="9"/>
      <c r="L22" t="s">
        <v>1120</v>
      </c>
      <c r="M22">
        <v>4</v>
      </c>
    </row>
    <row r="23" spans="1:19" ht="30.75">
      <c r="A23" s="153">
        <v>45248</v>
      </c>
      <c r="B23">
        <v>200</v>
      </c>
      <c r="C23" t="s">
        <v>54</v>
      </c>
      <c r="D23" s="153">
        <v>45230</v>
      </c>
      <c r="E23" s="2" t="s">
        <v>23</v>
      </c>
      <c r="F23" t="s">
        <v>24</v>
      </c>
      <c r="G23">
        <v>14</v>
      </c>
      <c r="H23" s="76" t="s">
        <v>2821</v>
      </c>
      <c r="I23" s="9"/>
      <c r="J23" s="9" t="s">
        <v>2822</v>
      </c>
      <c r="K23" s="9" t="s">
        <v>2823</v>
      </c>
      <c r="L23" t="s">
        <v>1120</v>
      </c>
      <c r="M23">
        <v>6</v>
      </c>
    </row>
    <row r="24" spans="1:19" ht="30.75">
      <c r="A24" s="153">
        <v>45296</v>
      </c>
      <c r="B24">
        <v>200</v>
      </c>
      <c r="C24" t="s">
        <v>27</v>
      </c>
      <c r="D24" s="153">
        <v>45260</v>
      </c>
      <c r="E24" s="2" t="s">
        <v>23</v>
      </c>
      <c r="F24" t="s">
        <v>24</v>
      </c>
      <c r="G24">
        <v>15</v>
      </c>
      <c r="H24" s="76" t="s">
        <v>2824</v>
      </c>
      <c r="I24" s="9"/>
      <c r="J24" s="9" t="s">
        <v>2825</v>
      </c>
      <c r="K24" s="9" t="s">
        <v>2826</v>
      </c>
      <c r="L24" t="s">
        <v>1120</v>
      </c>
      <c r="M24">
        <v>8</v>
      </c>
    </row>
    <row r="25" spans="1:19" ht="30.75">
      <c r="A25" s="153">
        <v>45296</v>
      </c>
      <c r="B25">
        <v>200</v>
      </c>
      <c r="C25" t="s">
        <v>30</v>
      </c>
      <c r="D25" s="153">
        <v>45289</v>
      </c>
      <c r="E25" s="2" t="s">
        <v>23</v>
      </c>
      <c r="F25" t="s">
        <v>24</v>
      </c>
      <c r="G25">
        <v>16</v>
      </c>
      <c r="H25" s="76" t="s">
        <v>2827</v>
      </c>
      <c r="I25" s="9"/>
      <c r="J25" s="9" t="s">
        <v>2687</v>
      </c>
      <c r="K25" s="9" t="s">
        <v>2828</v>
      </c>
      <c r="L25" t="s">
        <v>1120</v>
      </c>
      <c r="M25">
        <v>8</v>
      </c>
    </row>
    <row r="26" spans="1:19" ht="30.75">
      <c r="A26" s="153">
        <v>45336</v>
      </c>
      <c r="B26">
        <v>200</v>
      </c>
      <c r="C26" t="s">
        <v>32</v>
      </c>
      <c r="D26" s="153">
        <v>45322</v>
      </c>
      <c r="E26" s="2" t="s">
        <v>23</v>
      </c>
      <c r="F26" t="s">
        <v>24</v>
      </c>
      <c r="G26">
        <v>17</v>
      </c>
      <c r="H26" s="76" t="s">
        <v>2829</v>
      </c>
      <c r="I26" s="9"/>
      <c r="J26">
        <v>32488</v>
      </c>
      <c r="K26">
        <v>34569</v>
      </c>
      <c r="L26" t="s">
        <v>1120</v>
      </c>
      <c r="M26">
        <v>6</v>
      </c>
    </row>
    <row r="27" spans="1:19" ht="30.75">
      <c r="A27" s="153">
        <v>45369</v>
      </c>
      <c r="B27">
        <v>200</v>
      </c>
      <c r="C27" t="s">
        <v>34</v>
      </c>
      <c r="D27" s="153">
        <v>45351</v>
      </c>
      <c r="E27" s="2" t="s">
        <v>23</v>
      </c>
      <c r="F27" t="s">
        <v>24</v>
      </c>
      <c r="G27">
        <v>18</v>
      </c>
      <c r="H27" s="76" t="s">
        <v>2830</v>
      </c>
      <c r="I27" s="9"/>
      <c r="J27">
        <v>33377</v>
      </c>
      <c r="K27">
        <v>35455</v>
      </c>
      <c r="L27" t="s">
        <v>1120</v>
      </c>
      <c r="M27">
        <v>7</v>
      </c>
    </row>
    <row r="28" spans="1:19" ht="30.75">
      <c r="A28" s="153">
        <v>45400</v>
      </c>
      <c r="B28">
        <v>200</v>
      </c>
      <c r="C28" t="s">
        <v>38</v>
      </c>
      <c r="D28" s="153">
        <v>45377</v>
      </c>
      <c r="E28" s="2" t="s">
        <v>23</v>
      </c>
      <c r="F28" t="s">
        <v>24</v>
      </c>
      <c r="G28">
        <v>19</v>
      </c>
      <c r="H28" s="76" t="s">
        <v>2831</v>
      </c>
      <c r="I28" s="9"/>
      <c r="J28">
        <v>34354</v>
      </c>
      <c r="K28">
        <v>36302</v>
      </c>
      <c r="L28" t="s">
        <v>26</v>
      </c>
      <c r="M28">
        <v>8</v>
      </c>
    </row>
    <row r="29" spans="1:19" ht="30.75">
      <c r="A29" s="153">
        <v>45401</v>
      </c>
      <c r="B29">
        <v>200</v>
      </c>
      <c r="C29" t="s">
        <v>41</v>
      </c>
      <c r="D29" s="153">
        <v>45412</v>
      </c>
      <c r="E29" s="2" t="s">
        <v>23</v>
      </c>
      <c r="F29" t="s">
        <v>24</v>
      </c>
      <c r="G29">
        <v>20</v>
      </c>
      <c r="H29" s="76" t="s">
        <v>2832</v>
      </c>
      <c r="I29" s="9"/>
      <c r="J29">
        <v>35369</v>
      </c>
      <c r="K29">
        <v>37346</v>
      </c>
      <c r="L29" t="s">
        <v>26</v>
      </c>
      <c r="M29">
        <v>6.2</v>
      </c>
    </row>
    <row r="30" spans="1:19" ht="30.75">
      <c r="A30" s="153">
        <v>45467</v>
      </c>
      <c r="B30">
        <v>200</v>
      </c>
      <c r="C30" t="s">
        <v>44</v>
      </c>
      <c r="D30" s="153">
        <v>45443</v>
      </c>
      <c r="E30" s="2" t="s">
        <v>23</v>
      </c>
      <c r="F30" t="s">
        <v>24</v>
      </c>
      <c r="G30">
        <v>21</v>
      </c>
      <c r="H30" s="76" t="s">
        <v>2833</v>
      </c>
      <c r="I30" s="9"/>
      <c r="J30">
        <v>36276</v>
      </c>
      <c r="K30">
        <v>38283</v>
      </c>
      <c r="L30" t="s">
        <v>26</v>
      </c>
      <c r="M30">
        <v>4.0999999999999996</v>
      </c>
    </row>
    <row r="31" spans="1:19" ht="30.75">
      <c r="A31" s="153">
        <v>44762</v>
      </c>
      <c r="B31">
        <v>200</v>
      </c>
      <c r="C31" t="s">
        <v>57</v>
      </c>
      <c r="D31" s="153">
        <v>45471</v>
      </c>
      <c r="E31" s="2" t="s">
        <v>23</v>
      </c>
      <c r="F31" t="s">
        <v>24</v>
      </c>
      <c r="G31">
        <v>22</v>
      </c>
      <c r="H31" s="76" t="s">
        <v>2834</v>
      </c>
      <c r="J31">
        <v>37185</v>
      </c>
      <c r="K31">
        <v>38978</v>
      </c>
      <c r="L31" t="s">
        <v>26</v>
      </c>
      <c r="M31">
        <v>9.1</v>
      </c>
    </row>
    <row r="32" spans="1:19" ht="30.75">
      <c r="A32" s="153">
        <v>45530</v>
      </c>
      <c r="B32">
        <v>200</v>
      </c>
      <c r="C32" t="s">
        <v>47</v>
      </c>
      <c r="D32" s="153">
        <v>45490</v>
      </c>
      <c r="E32" s="2" t="s">
        <v>23</v>
      </c>
      <c r="F32" t="s">
        <v>24</v>
      </c>
      <c r="G32">
        <v>23</v>
      </c>
      <c r="H32" s="76" t="s">
        <v>2835</v>
      </c>
      <c r="J32">
        <v>38162</v>
      </c>
      <c r="K32">
        <v>40297</v>
      </c>
      <c r="L32" t="s">
        <v>72</v>
      </c>
      <c r="M32">
        <v>9.3000000000000007</v>
      </c>
    </row>
    <row r="33" spans="1:14" ht="30.75">
      <c r="A33" s="153">
        <v>45530</v>
      </c>
      <c r="B33">
        <v>200</v>
      </c>
      <c r="C33" t="s">
        <v>50</v>
      </c>
      <c r="D33" s="153">
        <v>45533</v>
      </c>
      <c r="E33" s="2" t="s">
        <v>23</v>
      </c>
      <c r="F33" t="s">
        <v>24</v>
      </c>
      <c r="G33">
        <v>24</v>
      </c>
      <c r="H33" s="76" t="s">
        <v>2836</v>
      </c>
      <c r="J33">
        <v>39215</v>
      </c>
      <c r="K33">
        <v>41362</v>
      </c>
      <c r="L33" t="s">
        <v>72</v>
      </c>
      <c r="M33">
        <v>3.8</v>
      </c>
    </row>
    <row r="34" spans="1:14" ht="30.75">
      <c r="A34" s="153">
        <v>45563</v>
      </c>
      <c r="B34">
        <v>200</v>
      </c>
      <c r="C34" t="s">
        <v>22</v>
      </c>
      <c r="D34" s="153">
        <v>45563</v>
      </c>
      <c r="E34" s="2" t="s">
        <v>23</v>
      </c>
      <c r="F34" t="s">
        <v>24</v>
      </c>
      <c r="G34">
        <v>25</v>
      </c>
      <c r="H34" s="76" t="s">
        <v>2837</v>
      </c>
      <c r="J34">
        <v>40223</v>
      </c>
      <c r="K34">
        <v>42415</v>
      </c>
      <c r="L34" t="s">
        <v>72</v>
      </c>
      <c r="M34">
        <v>7</v>
      </c>
    </row>
    <row r="35" spans="1:14" ht="30.75">
      <c r="A35" s="528">
        <v>45596</v>
      </c>
      <c r="B35">
        <v>200</v>
      </c>
      <c r="C35" s="526" t="s">
        <v>54</v>
      </c>
      <c r="D35" s="528">
        <v>45596</v>
      </c>
      <c r="E35" s="2" t="s">
        <v>23</v>
      </c>
      <c r="F35" s="526" t="s">
        <v>28</v>
      </c>
      <c r="G35" s="526">
        <v>26</v>
      </c>
      <c r="H35" s="310">
        <v>29091</v>
      </c>
      <c r="I35" s="526"/>
      <c r="J35" s="526">
        <v>41316</v>
      </c>
      <c r="K35">
        <v>43458</v>
      </c>
      <c r="L35" s="526" t="s">
        <v>26</v>
      </c>
      <c r="M35" s="526">
        <v>8</v>
      </c>
    </row>
    <row r="36" spans="1:14" ht="30.75">
      <c r="A36" s="526"/>
      <c r="B36">
        <v>200</v>
      </c>
      <c r="C36" s="526" t="s">
        <v>27</v>
      </c>
      <c r="D36" s="528">
        <v>45625</v>
      </c>
      <c r="E36" s="2" t="s">
        <v>23</v>
      </c>
      <c r="F36" s="526"/>
      <c r="G36">
        <v>27</v>
      </c>
      <c r="H36" s="527"/>
      <c r="I36" s="526"/>
      <c r="J36" s="526">
        <v>42239</v>
      </c>
      <c r="K36">
        <v>44283</v>
      </c>
      <c r="L36" s="540" t="s">
        <v>2838</v>
      </c>
      <c r="M36" s="526">
        <v>6.5</v>
      </c>
    </row>
    <row r="37" spans="1:14" ht="30.75">
      <c r="A37" s="526" t="s">
        <v>1929</v>
      </c>
      <c r="B37">
        <v>200</v>
      </c>
      <c r="C37" s="526" t="s">
        <v>30</v>
      </c>
      <c r="D37" s="528">
        <v>45654</v>
      </c>
      <c r="E37" s="2" t="s">
        <v>23</v>
      </c>
      <c r="F37" s="526"/>
      <c r="G37" s="526">
        <v>28</v>
      </c>
      <c r="H37" s="310">
        <v>30324</v>
      </c>
      <c r="I37" s="539"/>
      <c r="J37" s="526">
        <v>43213</v>
      </c>
      <c r="K37">
        <v>45455</v>
      </c>
      <c r="L37" s="526"/>
      <c r="M37" s="526">
        <v>6.5</v>
      </c>
    </row>
    <row r="38" spans="1:14" ht="30.75">
      <c r="A38" s="526" t="s">
        <v>2839</v>
      </c>
      <c r="B38">
        <v>200</v>
      </c>
      <c r="C38" s="526" t="s">
        <v>32</v>
      </c>
      <c r="D38" s="528">
        <v>45687</v>
      </c>
      <c r="E38" s="2" t="s">
        <v>23</v>
      </c>
      <c r="F38" s="531" t="s">
        <v>24</v>
      </c>
      <c r="G38">
        <v>29</v>
      </c>
      <c r="H38" s="527" t="s">
        <v>2840</v>
      </c>
      <c r="I38" s="526"/>
      <c r="J38" s="526">
        <v>44417</v>
      </c>
      <c r="L38" t="s">
        <v>72</v>
      </c>
      <c r="M38" s="541"/>
    </row>
    <row r="39" spans="1:14" ht="30.75">
      <c r="A39" s="528">
        <v>45776</v>
      </c>
      <c r="B39">
        <v>200</v>
      </c>
      <c r="C39" s="526" t="s">
        <v>34</v>
      </c>
      <c r="D39" s="528">
        <v>45716</v>
      </c>
      <c r="E39" s="2" t="s">
        <v>23</v>
      </c>
      <c r="F39" s="531" t="s">
        <v>24</v>
      </c>
      <c r="G39" s="526"/>
      <c r="H39" s="527" t="s">
        <v>2841</v>
      </c>
      <c r="I39" s="526"/>
      <c r="J39" s="526">
        <v>45463</v>
      </c>
      <c r="L39" t="s">
        <v>72</v>
      </c>
      <c r="M39" s="526">
        <v>8.3000000000000007</v>
      </c>
    </row>
    <row r="40" spans="1:14" ht="30.75">
      <c r="A40" s="528">
        <v>45804</v>
      </c>
      <c r="B40">
        <v>200</v>
      </c>
      <c r="C40" s="526" t="s">
        <v>38</v>
      </c>
      <c r="D40" s="528">
        <v>45745</v>
      </c>
      <c r="E40" s="2" t="s">
        <v>23</v>
      </c>
      <c r="F40" s="531" t="s">
        <v>24</v>
      </c>
      <c r="G40" s="526"/>
      <c r="H40" s="527" t="s">
        <v>2842</v>
      </c>
      <c r="I40" s="290">
        <v>990</v>
      </c>
      <c r="J40" s="526">
        <v>46585</v>
      </c>
      <c r="L40" t="s">
        <v>72</v>
      </c>
      <c r="M40" s="526">
        <v>7.5</v>
      </c>
      <c r="N40" s="290" t="s">
        <v>76</v>
      </c>
    </row>
    <row r="41" spans="1:14" ht="30.75">
      <c r="A41" s="528">
        <v>45804</v>
      </c>
      <c r="B41">
        <v>200</v>
      </c>
      <c r="C41" s="526" t="s">
        <v>41</v>
      </c>
      <c r="D41" s="528">
        <v>45776</v>
      </c>
      <c r="E41" s="2" t="s">
        <v>23</v>
      </c>
      <c r="F41" s="531" t="s">
        <v>24</v>
      </c>
      <c r="G41" s="526"/>
      <c r="H41" s="527" t="s">
        <v>2843</v>
      </c>
      <c r="I41" s="526"/>
      <c r="J41" s="526">
        <v>47620</v>
      </c>
      <c r="L41" t="s">
        <v>72</v>
      </c>
      <c r="M41" s="526">
        <v>5.5</v>
      </c>
    </row>
    <row r="42" spans="1:14" ht="30.75">
      <c r="A42" s="528">
        <v>45870</v>
      </c>
      <c r="B42">
        <v>200</v>
      </c>
      <c r="C42" s="526" t="s">
        <v>44</v>
      </c>
      <c r="D42" s="570">
        <v>45805</v>
      </c>
      <c r="E42" s="2" t="s">
        <v>23</v>
      </c>
      <c r="F42" s="531" t="s">
        <v>24</v>
      </c>
      <c r="G42" s="526"/>
      <c r="H42" s="527" t="s">
        <v>2844</v>
      </c>
      <c r="I42" s="526"/>
      <c r="J42" s="526">
        <v>49980</v>
      </c>
      <c r="L42" t="s">
        <v>72</v>
      </c>
      <c r="M42" s="526">
        <v>12.3</v>
      </c>
    </row>
    <row r="43" spans="1:14" ht="30.75">
      <c r="A43" s="528">
        <v>45870</v>
      </c>
      <c r="B43">
        <v>200</v>
      </c>
      <c r="C43" s="526" t="s">
        <v>57</v>
      </c>
      <c r="D43" s="528">
        <v>45836</v>
      </c>
      <c r="E43" s="2" t="s">
        <v>23</v>
      </c>
      <c r="F43" s="531" t="s">
        <v>24</v>
      </c>
      <c r="G43" s="526"/>
      <c r="H43" s="527">
        <v>35710</v>
      </c>
      <c r="I43" s="526"/>
      <c r="J43" s="526">
        <v>49981</v>
      </c>
      <c r="L43" t="s">
        <v>72</v>
      </c>
      <c r="M43" s="526">
        <v>10.199999999999999</v>
      </c>
    </row>
    <row r="44" spans="1:14" ht="30.75">
      <c r="A44" s="528">
        <v>45897</v>
      </c>
      <c r="B44">
        <v>200</v>
      </c>
      <c r="C44" s="526" t="s">
        <v>47</v>
      </c>
      <c r="D44" s="528">
        <v>45869</v>
      </c>
      <c r="E44" s="2" t="s">
        <v>23</v>
      </c>
      <c r="F44" s="531" t="s">
        <v>24</v>
      </c>
      <c r="G44" s="526"/>
      <c r="H44" s="527" t="s">
        <v>2845</v>
      </c>
      <c r="I44" s="526"/>
      <c r="J44" s="526">
        <v>49982</v>
      </c>
      <c r="L44" t="s">
        <v>72</v>
      </c>
      <c r="M44" s="526">
        <v>10.01</v>
      </c>
    </row>
    <row r="45" spans="1:14" ht="30.75">
      <c r="A45" s="528">
        <v>45925</v>
      </c>
      <c r="B45">
        <v>200</v>
      </c>
      <c r="C45" s="526" t="s">
        <v>50</v>
      </c>
      <c r="D45" s="528">
        <v>45897</v>
      </c>
      <c r="E45" s="2" t="s">
        <v>23</v>
      </c>
      <c r="F45" s="531" t="s">
        <v>24</v>
      </c>
      <c r="G45" s="526"/>
      <c r="H45" s="527" t="s">
        <v>2846</v>
      </c>
      <c r="I45" s="526"/>
      <c r="J45" s="526">
        <v>51330</v>
      </c>
      <c r="L45" t="s">
        <v>72</v>
      </c>
      <c r="M45" s="526">
        <v>6.5</v>
      </c>
    </row>
    <row r="46" spans="1:14" ht="30.75">
      <c r="A46" s="528">
        <v>45960</v>
      </c>
      <c r="B46">
        <v>200</v>
      </c>
      <c r="C46" s="526" t="s">
        <v>22</v>
      </c>
      <c r="D46" s="528">
        <v>45929</v>
      </c>
      <c r="E46" s="2" t="s">
        <v>23</v>
      </c>
      <c r="F46" s="531" t="s">
        <v>24</v>
      </c>
      <c r="G46" s="526"/>
      <c r="H46" s="527" t="s">
        <v>2847</v>
      </c>
      <c r="I46" s="526"/>
      <c r="J46" s="526">
        <v>52115</v>
      </c>
      <c r="L46" t="s">
        <v>72</v>
      </c>
      <c r="M46" s="526">
        <v>4.5</v>
      </c>
    </row>
    <row r="47" spans="1:14" ht="30.75">
      <c r="A47" s="528">
        <v>45987</v>
      </c>
      <c r="B47">
        <v>200</v>
      </c>
      <c r="C47" s="526" t="s">
        <v>54</v>
      </c>
      <c r="D47" s="528">
        <v>45960</v>
      </c>
      <c r="E47" s="2" t="s">
        <v>23</v>
      </c>
      <c r="F47" s="531" t="s">
        <v>24</v>
      </c>
      <c r="G47" s="526"/>
      <c r="H47" s="527" t="s">
        <v>2848</v>
      </c>
      <c r="I47" s="526"/>
      <c r="J47" s="526">
        <v>53316</v>
      </c>
      <c r="L47" t="s">
        <v>72</v>
      </c>
      <c r="M47" s="526">
        <v>3</v>
      </c>
    </row>
    <row r="48" spans="1:14" ht="30.75">
      <c r="A48" s="528">
        <v>46006</v>
      </c>
      <c r="B48">
        <v>200</v>
      </c>
      <c r="C48" s="526" t="s">
        <v>27</v>
      </c>
      <c r="D48" s="528">
        <v>45988</v>
      </c>
      <c r="E48" s="2" t="s">
        <v>23</v>
      </c>
      <c r="F48" s="531" t="s">
        <v>24</v>
      </c>
      <c r="G48" s="526"/>
      <c r="H48" s="527" t="s">
        <v>2849</v>
      </c>
      <c r="I48" s="526"/>
      <c r="J48" s="526">
        <v>54608</v>
      </c>
      <c r="L48" t="s">
        <v>72</v>
      </c>
      <c r="M48" s="526">
        <v>2.5</v>
      </c>
    </row>
    <row r="49" spans="1:13" ht="30.75">
      <c r="A49" s="528">
        <v>46051</v>
      </c>
      <c r="B49">
        <v>200</v>
      </c>
      <c r="C49" s="526" t="s">
        <v>30</v>
      </c>
      <c r="D49" s="528"/>
      <c r="E49" s="2" t="s">
        <v>23</v>
      </c>
      <c r="F49" s="531" t="s">
        <v>24</v>
      </c>
      <c r="G49" s="526"/>
      <c r="H49" s="527" t="s">
        <v>2850</v>
      </c>
      <c r="I49" s="526"/>
      <c r="J49" s="526"/>
      <c r="L49" t="s">
        <v>72</v>
      </c>
      <c r="M49" s="526"/>
    </row>
    <row r="50" spans="1:13" ht="30.75">
      <c r="A50" s="528">
        <v>46111</v>
      </c>
      <c r="B50">
        <v>200</v>
      </c>
      <c r="C50" s="526" t="s">
        <v>34</v>
      </c>
      <c r="D50" s="528">
        <v>46081</v>
      </c>
      <c r="E50" s="2" t="s">
        <v>23</v>
      </c>
      <c r="F50" s="2" t="s">
        <v>24</v>
      </c>
      <c r="G50" s="526"/>
      <c r="H50" s="527" t="s">
        <v>2851</v>
      </c>
      <c r="I50" s="526"/>
      <c r="J50" s="526">
        <v>58365</v>
      </c>
      <c r="L50" t="s">
        <v>73</v>
      </c>
      <c r="M50" s="526">
        <v>3.1</v>
      </c>
    </row>
    <row r="51" spans="1:13" ht="30.75">
      <c r="A51" s="528">
        <v>46141</v>
      </c>
      <c r="B51">
        <v>200</v>
      </c>
      <c r="C51" s="526" t="s">
        <v>38</v>
      </c>
      <c r="D51" s="528">
        <v>46111</v>
      </c>
      <c r="E51" s="2" t="s">
        <v>23</v>
      </c>
      <c r="F51" s="2" t="s">
        <v>24</v>
      </c>
      <c r="G51" s="526"/>
      <c r="H51" s="527" t="s">
        <v>2852</v>
      </c>
      <c r="I51" s="526"/>
      <c r="J51" s="526">
        <v>59561</v>
      </c>
      <c r="L51" t="s">
        <v>72</v>
      </c>
      <c r="M51" s="526">
        <v>2.8</v>
      </c>
    </row>
    <row r="52" spans="1:13" ht="30.75">
      <c r="A52" s="526"/>
      <c r="B52">
        <v>200</v>
      </c>
      <c r="C52" s="526" t="s">
        <v>41</v>
      </c>
      <c r="D52" s="528">
        <v>46142</v>
      </c>
      <c r="E52" s="2" t="s">
        <v>23</v>
      </c>
      <c r="F52" s="2" t="s">
        <v>24</v>
      </c>
      <c r="G52" s="526"/>
      <c r="H52" s="527" t="s">
        <v>2853</v>
      </c>
      <c r="I52" s="526"/>
      <c r="J52" s="526">
        <v>60963</v>
      </c>
      <c r="L52" s="541" t="s">
        <v>2854</v>
      </c>
      <c r="M52" s="526">
        <v>4.5</v>
      </c>
    </row>
    <row r="53" spans="1:13" ht="30.75">
      <c r="A53" s="526"/>
      <c r="B53" s="526"/>
      <c r="C53" s="526"/>
      <c r="D53" s="526"/>
      <c r="E53" s="2" t="s">
        <v>23</v>
      </c>
      <c r="G53" s="526"/>
      <c r="H53" s="527"/>
      <c r="I53" s="526"/>
      <c r="J53" s="526"/>
      <c r="L53" s="526"/>
      <c r="M53" s="526"/>
    </row>
    <row r="54" spans="1:13" ht="30.75">
      <c r="A54" s="526"/>
      <c r="B54" s="526"/>
      <c r="C54" s="526"/>
      <c r="D54" s="526"/>
      <c r="E54" s="2" t="s">
        <v>23</v>
      </c>
      <c r="G54" s="526"/>
      <c r="H54" s="527"/>
      <c r="I54" s="526"/>
      <c r="J54" s="526"/>
      <c r="L54" s="526"/>
      <c r="M54" s="526"/>
    </row>
    <row r="55" spans="1:13" ht="30.75">
      <c r="A55" s="526"/>
      <c r="B55" s="526"/>
      <c r="C55" s="526"/>
      <c r="D55" s="526"/>
      <c r="E55" s="2" t="s">
        <v>23</v>
      </c>
      <c r="G55" s="526"/>
      <c r="H55" s="527"/>
      <c r="I55" s="526"/>
      <c r="J55" s="526"/>
      <c r="L55" s="526"/>
      <c r="M55" s="526"/>
    </row>
    <row r="56" spans="1:13" ht="30.75">
      <c r="A56" s="526"/>
      <c r="B56" s="526"/>
      <c r="C56" s="526"/>
      <c r="D56" s="526"/>
      <c r="E56" s="2" t="s">
        <v>23</v>
      </c>
      <c r="G56" s="526"/>
      <c r="H56" s="527"/>
      <c r="I56" s="526"/>
      <c r="J56" s="526"/>
      <c r="L56" s="526"/>
      <c r="M56" s="526"/>
    </row>
    <row r="57" spans="1:13" ht="30.75">
      <c r="A57" s="526"/>
      <c r="B57" s="526"/>
      <c r="C57" s="526"/>
      <c r="D57" s="526"/>
      <c r="E57" s="2" t="s">
        <v>23</v>
      </c>
      <c r="G57" s="526"/>
      <c r="H57" s="527"/>
      <c r="I57" s="526"/>
      <c r="J57" s="526"/>
      <c r="L57" s="526"/>
      <c r="M57" s="526"/>
    </row>
    <row r="58" spans="1:13" ht="30.75">
      <c r="A58" s="526"/>
      <c r="B58" s="526"/>
      <c r="C58" s="526"/>
      <c r="D58" s="526"/>
      <c r="E58" s="2" t="s">
        <v>23</v>
      </c>
      <c r="G58" s="526"/>
      <c r="H58" s="527"/>
      <c r="I58" s="526"/>
      <c r="J58" s="526"/>
      <c r="L58" s="526"/>
      <c r="M58" s="526"/>
    </row>
    <row r="433" spans="2:3">
      <c r="B433" t="s">
        <v>2286</v>
      </c>
      <c r="C433" t="s">
        <v>2287</v>
      </c>
    </row>
  </sheetData>
  <mergeCells count="7">
    <mergeCell ref="A1:F1"/>
    <mergeCell ref="B2:F2"/>
    <mergeCell ref="H2:L2"/>
    <mergeCell ref="B4:E4"/>
    <mergeCell ref="B5:C5"/>
    <mergeCell ref="G5:N5"/>
    <mergeCell ref="B3:F3"/>
  </mergeCells>
  <dataValidations count="2">
    <dataValidation type="list" allowBlank="1" showInputMessage="1" showErrorMessage="1" sqref="C10:C58" xr:uid="{C57DAF74-379B-470F-9C3D-B21314122F86}">
      <formula1>"ENERO,FEBRERO,MARZO,ABRIL,MAYO,JUNIO,JULIO,AGOSTO,SEPTIEMBRE,OCTUBRE,NOVIEMBRE,DICIEMBRE"</formula1>
    </dataValidation>
    <dataValidation type="list" allowBlank="1" showInputMessage="1" showErrorMessage="1" sqref="F10:F58" xr:uid="{D669C3F8-99AA-4B91-A85F-D12E31D9BB92}">
      <formula1>"EFECTIVO, CHEQUE, TRANSFERENCIA,DEPOSITO"</formula1>
    </dataValidation>
  </dataValidations>
  <hyperlinks>
    <hyperlink ref="B4:E4" r:id="rId1" display="jaimarsarmiento77@gmail.com" xr:uid="{DCE914A7-777B-4CEF-9C31-980680C3D2F6}"/>
  </hyperlinks>
  <pageMargins left="0.7" right="0.7" top="0.75" bottom="0.75" header="0.3" footer="0.3"/>
  <tableParts count="1">
    <tablePart r:id="rId2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6576-57AB-4ED7-BA18-B9EEF168A564}">
  <sheetPr>
    <tabColor rgb="FFFF0000"/>
  </sheetPr>
  <dimension ref="A1:R433"/>
  <sheetViews>
    <sheetView topLeftCell="A15" workbookViewId="0">
      <selection activeCell="P18" sqref="P18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6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2855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2856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8.75">
      <c r="A3" s="2" t="s">
        <v>1</v>
      </c>
      <c r="B3" s="790">
        <v>10466866917</v>
      </c>
      <c r="C3" s="790"/>
      <c r="D3" s="790"/>
      <c r="E3" s="790"/>
      <c r="F3" s="790"/>
      <c r="G3" s="637"/>
      <c r="H3" s="637"/>
      <c r="I3" s="637"/>
      <c r="J3" s="637" t="s">
        <v>36</v>
      </c>
      <c r="K3" s="637" t="s">
        <v>224</v>
      </c>
      <c r="L3" s="637"/>
      <c r="M3" s="490"/>
    </row>
    <row r="4" spans="1:14" ht="15" customHeight="1">
      <c r="A4" s="2" t="s">
        <v>2277</v>
      </c>
      <c r="B4" s="798" t="s">
        <v>2857</v>
      </c>
      <c r="C4" s="798"/>
      <c r="D4" s="798"/>
      <c r="E4" s="798"/>
    </row>
    <row r="5" spans="1:14" ht="23.25" customHeight="1">
      <c r="A5" s="257" t="s">
        <v>4</v>
      </c>
      <c r="B5" s="786">
        <v>44830</v>
      </c>
      <c r="C5" s="787"/>
      <c r="F5" s="258"/>
      <c r="G5" s="788" t="s">
        <v>2858</v>
      </c>
      <c r="H5" s="788"/>
      <c r="I5" s="788"/>
      <c r="J5" s="788"/>
      <c r="K5" s="788"/>
      <c r="L5" s="788"/>
      <c r="M5" s="788"/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18</v>
      </c>
      <c r="L9" s="265" t="s">
        <v>99</v>
      </c>
      <c r="M9" s="265" t="s">
        <v>19</v>
      </c>
      <c r="N9" s="260"/>
    </row>
    <row r="10" spans="1:14" ht="30.75">
      <c r="A10" s="266">
        <v>44830</v>
      </c>
      <c r="B10" s="8">
        <v>80</v>
      </c>
      <c r="C10" s="2" t="s">
        <v>54</v>
      </c>
      <c r="D10" s="153" t="s">
        <v>167</v>
      </c>
      <c r="E10" s="2" t="s">
        <v>23</v>
      </c>
      <c r="F10" s="2" t="s">
        <v>24</v>
      </c>
      <c r="G10" s="2">
        <v>1</v>
      </c>
      <c r="H10" s="9" t="s">
        <v>2859</v>
      </c>
      <c r="I10" s="9"/>
      <c r="J10" s="9" t="s">
        <v>2860</v>
      </c>
      <c r="K10" s="2" t="s">
        <v>2861</v>
      </c>
    </row>
    <row r="11" spans="1:14" ht="30.75">
      <c r="A11" s="7" t="s">
        <v>1695</v>
      </c>
      <c r="B11" s="8">
        <v>80</v>
      </c>
      <c r="C11" t="s">
        <v>27</v>
      </c>
      <c r="D11" s="153">
        <v>44604</v>
      </c>
      <c r="E11" s="2" t="s">
        <v>23</v>
      </c>
      <c r="F11" s="2" t="s">
        <v>24</v>
      </c>
      <c r="G11">
        <v>2</v>
      </c>
      <c r="H11" s="76" t="s">
        <v>2862</v>
      </c>
      <c r="I11" s="9"/>
      <c r="J11" s="9" t="s">
        <v>2863</v>
      </c>
      <c r="K11" s="2" t="s">
        <v>26</v>
      </c>
    </row>
    <row r="12" spans="1:14" ht="30.75">
      <c r="A12" s="7" t="s">
        <v>183</v>
      </c>
      <c r="B12" s="8">
        <v>80</v>
      </c>
      <c r="C12" t="s">
        <v>30</v>
      </c>
      <c r="D12" t="s">
        <v>331</v>
      </c>
      <c r="E12" s="2" t="s">
        <v>23</v>
      </c>
      <c r="F12" s="2" t="s">
        <v>24</v>
      </c>
      <c r="G12">
        <v>3</v>
      </c>
      <c r="H12" s="76" t="s">
        <v>2864</v>
      </c>
      <c r="I12" s="9"/>
      <c r="J12" s="9" t="s">
        <v>2865</v>
      </c>
      <c r="K12" s="2" t="s">
        <v>26</v>
      </c>
      <c r="L12" t="s">
        <v>270</v>
      </c>
    </row>
    <row r="13" spans="1:14" ht="30.75">
      <c r="A13" t="s">
        <v>183</v>
      </c>
      <c r="B13" s="154">
        <v>80</v>
      </c>
      <c r="C13" t="s">
        <v>32</v>
      </c>
      <c r="D13" t="s">
        <v>189</v>
      </c>
      <c r="E13" s="2" t="s">
        <v>23</v>
      </c>
      <c r="F13" t="s">
        <v>24</v>
      </c>
      <c r="G13">
        <v>4</v>
      </c>
      <c r="H13" s="76" t="s">
        <v>2866</v>
      </c>
      <c r="I13" s="9"/>
      <c r="J13" s="9" t="s">
        <v>2867</v>
      </c>
      <c r="K13" s="2" t="s">
        <v>26</v>
      </c>
      <c r="L13" t="s">
        <v>270</v>
      </c>
    </row>
    <row r="14" spans="1:14" ht="30.75">
      <c r="A14" t="s">
        <v>69</v>
      </c>
      <c r="B14" s="154">
        <v>80</v>
      </c>
      <c r="C14" t="s">
        <v>34</v>
      </c>
      <c r="D14" s="153">
        <v>44988</v>
      </c>
      <c r="E14" s="2" t="s">
        <v>23</v>
      </c>
      <c r="F14" t="s">
        <v>24</v>
      </c>
      <c r="G14">
        <v>5</v>
      </c>
      <c r="H14" s="76" t="s">
        <v>161</v>
      </c>
      <c r="I14" s="9"/>
      <c r="J14" s="9" t="s">
        <v>2868</v>
      </c>
      <c r="K14" s="2" t="s">
        <v>26</v>
      </c>
      <c r="L14" t="s">
        <v>270</v>
      </c>
    </row>
    <row r="15" spans="1:14" ht="30.75">
      <c r="A15" t="s">
        <v>69</v>
      </c>
      <c r="B15" s="154">
        <v>80</v>
      </c>
      <c r="C15" t="s">
        <v>38</v>
      </c>
      <c r="D15" t="s">
        <v>68</v>
      </c>
      <c r="E15" s="2" t="s">
        <v>23</v>
      </c>
      <c r="F15" t="s">
        <v>24</v>
      </c>
      <c r="G15">
        <v>6</v>
      </c>
      <c r="H15" s="76" t="s">
        <v>161</v>
      </c>
      <c r="I15" s="9"/>
      <c r="J15" s="9" t="s">
        <v>2869</v>
      </c>
      <c r="K15" s="2" t="s">
        <v>26</v>
      </c>
      <c r="L15" t="s">
        <v>270</v>
      </c>
      <c r="N15" t="s">
        <v>36</v>
      </c>
    </row>
    <row r="16" spans="1:14" ht="30.75">
      <c r="A16" s="7">
        <v>45175</v>
      </c>
      <c r="B16" s="8">
        <v>80</v>
      </c>
      <c r="C16" s="2" t="s">
        <v>41</v>
      </c>
      <c r="D16" s="2" t="s">
        <v>69</v>
      </c>
      <c r="E16" s="2" t="s">
        <v>23</v>
      </c>
      <c r="F16" s="2" t="s">
        <v>24</v>
      </c>
      <c r="G16" s="2">
        <v>7</v>
      </c>
      <c r="H16" s="76" t="s">
        <v>2870</v>
      </c>
      <c r="I16" s="9"/>
      <c r="J16" s="9" t="s">
        <v>2871</v>
      </c>
      <c r="K16" s="2" t="s">
        <v>2872</v>
      </c>
    </row>
    <row r="17" spans="1:18" ht="30.75">
      <c r="A17" s="7">
        <v>45175</v>
      </c>
      <c r="B17" s="8">
        <v>80</v>
      </c>
      <c r="C17" t="s">
        <v>44</v>
      </c>
      <c r="D17" t="s">
        <v>70</v>
      </c>
      <c r="E17" s="2" t="s">
        <v>23</v>
      </c>
      <c r="F17" s="2" t="s">
        <v>24</v>
      </c>
      <c r="G17">
        <v>8</v>
      </c>
      <c r="H17" s="76" t="s">
        <v>2873</v>
      </c>
      <c r="I17" s="9"/>
      <c r="J17" s="9" t="s">
        <v>2874</v>
      </c>
      <c r="K17" t="s">
        <v>2872</v>
      </c>
      <c r="M17">
        <v>8</v>
      </c>
      <c r="R17" t="s">
        <v>36</v>
      </c>
    </row>
    <row r="18" spans="1:18" ht="30.75">
      <c r="A18" s="153">
        <v>45119</v>
      </c>
      <c r="B18" s="154">
        <v>80</v>
      </c>
      <c r="C18" t="s">
        <v>57</v>
      </c>
      <c r="D18" s="153">
        <v>45104</v>
      </c>
      <c r="E18" s="2" t="s">
        <v>23</v>
      </c>
      <c r="F18" t="s">
        <v>24</v>
      </c>
      <c r="G18">
        <v>9</v>
      </c>
      <c r="H18" s="76" t="s">
        <v>2875</v>
      </c>
      <c r="I18" s="9"/>
      <c r="J18" s="9" t="s">
        <v>2876</v>
      </c>
      <c r="K18" t="s">
        <v>2872</v>
      </c>
      <c r="M18">
        <v>1</v>
      </c>
    </row>
    <row r="19" spans="1:18" ht="30.75">
      <c r="A19" s="153">
        <v>45163</v>
      </c>
      <c r="B19" s="154">
        <v>80</v>
      </c>
      <c r="C19" t="s">
        <v>47</v>
      </c>
      <c r="D19" s="153">
        <v>45134</v>
      </c>
      <c r="E19" s="2" t="s">
        <v>23</v>
      </c>
      <c r="F19" t="s">
        <v>24</v>
      </c>
      <c r="G19">
        <v>10</v>
      </c>
      <c r="H19" s="76" t="s">
        <v>2877</v>
      </c>
      <c r="I19" s="9"/>
      <c r="J19" s="9" t="s">
        <v>2878</v>
      </c>
      <c r="K19" t="s">
        <v>2872</v>
      </c>
      <c r="M19">
        <v>2</v>
      </c>
    </row>
    <row r="20" spans="1:18" ht="30.75">
      <c r="B20" s="154"/>
      <c r="E20" s="2" t="s">
        <v>23</v>
      </c>
      <c r="H20" s="76"/>
      <c r="I20" s="9"/>
      <c r="J20" s="9"/>
    </row>
    <row r="21" spans="1:18" ht="30.75">
      <c r="B21" s="154"/>
      <c r="E21" s="2" t="s">
        <v>23</v>
      </c>
      <c r="H21" s="76"/>
      <c r="I21" s="9"/>
      <c r="J21" s="9"/>
    </row>
    <row r="22" spans="1:18" ht="30.75">
      <c r="E22" s="2" t="s">
        <v>23</v>
      </c>
      <c r="H22" s="76"/>
      <c r="I22" s="9"/>
      <c r="J22" s="9"/>
    </row>
    <row r="23" spans="1:18" ht="30.75">
      <c r="E23" s="2" t="s">
        <v>23</v>
      </c>
      <c r="H23" s="76"/>
      <c r="I23" s="9"/>
      <c r="J23" s="9"/>
    </row>
    <row r="24" spans="1:18" ht="30.75">
      <c r="E24" s="2" t="s">
        <v>23</v>
      </c>
      <c r="H24" s="76"/>
      <c r="I24" s="9"/>
      <c r="J24" s="9"/>
    </row>
    <row r="25" spans="1:18" ht="30.75">
      <c r="E25" s="2" t="s">
        <v>23</v>
      </c>
      <c r="H25" s="76"/>
      <c r="I25" s="9"/>
      <c r="J25" s="9"/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A1:F1"/>
    <mergeCell ref="B2:F2"/>
    <mergeCell ref="H2:K2"/>
    <mergeCell ref="B4:E4"/>
    <mergeCell ref="B5:C5"/>
    <mergeCell ref="G5:M5"/>
    <mergeCell ref="B3:F3"/>
  </mergeCells>
  <dataValidations count="2">
    <dataValidation type="list" allowBlank="1" showInputMessage="1" showErrorMessage="1" sqref="C10:C30" xr:uid="{07FD3300-0B45-46F7-A002-B7672418E712}">
      <formula1>"ENERO,FEBRERO,MARZO,ABRIL,MAYO,JUNIO,JULIO,AGOSTO,SEPTIEMBRE,OCTUBRE,NOVIEMBRE,DICIEMBRE"</formula1>
    </dataValidation>
    <dataValidation type="list" allowBlank="1" showInputMessage="1" showErrorMessage="1" sqref="F10:F30" xr:uid="{7EB3B77A-0FF7-446D-8608-376A9D4693AD}">
      <formula1>"EFECTIVO, CHEQUE, TRANSFERENCIA,DEPOSITO"</formula1>
    </dataValidation>
  </dataValidations>
  <hyperlinks>
    <hyperlink ref="B4:E4" r:id="rId1" display="mirianlujan12@gmail.com / mimi.veterinaria12@gmail.com" xr:uid="{B8D90A06-7B70-41F7-B12E-19D83CF9AC84}"/>
  </hyperlinks>
  <pageMargins left="0.7" right="0.7" top="0.75" bottom="0.75" header="0.3" footer="0.3"/>
  <tableParts count="1">
    <tablePart r:id="rId2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5A7A-7EE5-44A5-8AF5-DD8B0C12DAD4}">
  <sheetPr>
    <tabColor theme="0"/>
  </sheetPr>
  <dimension ref="A1:R433"/>
  <sheetViews>
    <sheetView workbookViewId="0">
      <selection activeCell="M14" sqref="M14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</cols>
  <sheetData>
    <row r="1" spans="1:14" ht="23.25" customHeight="1">
      <c r="A1" s="789" t="s">
        <v>2879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20414251561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 t="s">
        <v>2880</v>
      </c>
      <c r="H5" s="788"/>
      <c r="I5" s="788"/>
      <c r="J5" s="788"/>
      <c r="K5" s="788"/>
      <c r="L5" s="788"/>
      <c r="M5" s="788"/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550" t="s">
        <v>99</v>
      </c>
      <c r="M9" s="260"/>
      <c r="N9" s="260"/>
    </row>
    <row r="10" spans="1:14" ht="30.75">
      <c r="A10" s="266" t="s">
        <v>36</v>
      </c>
      <c r="B10" s="8" t="s">
        <v>36</v>
      </c>
      <c r="C10" s="2" t="s">
        <v>27</v>
      </c>
      <c r="D10" s="153" t="s">
        <v>737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2881</v>
      </c>
      <c r="K10" s="2" t="s">
        <v>36</v>
      </c>
      <c r="L10" s="526"/>
    </row>
    <row r="11" spans="1:14" ht="30.75">
      <c r="A11" s="7"/>
      <c r="B11" s="8"/>
      <c r="D11" s="153">
        <v>45978</v>
      </c>
      <c r="E11" s="2" t="s">
        <v>23</v>
      </c>
      <c r="F11" s="2"/>
      <c r="H11" s="76"/>
      <c r="I11" s="9"/>
      <c r="J11" s="9" t="s">
        <v>2882</v>
      </c>
      <c r="K11" s="2"/>
      <c r="L11" s="526">
        <v>209</v>
      </c>
    </row>
    <row r="12" spans="1:14" ht="30.75">
      <c r="A12" s="7"/>
      <c r="B12" s="8"/>
      <c r="E12" s="2" t="s">
        <v>23</v>
      </c>
      <c r="F12" s="2"/>
      <c r="H12" s="76"/>
      <c r="I12" s="9"/>
      <c r="J12" s="9" t="s">
        <v>36</v>
      </c>
      <c r="K12" s="2"/>
      <c r="L12" s="526"/>
    </row>
    <row r="13" spans="1:14" ht="30.75">
      <c r="B13" s="154"/>
      <c r="E13" s="2" t="s">
        <v>23</v>
      </c>
      <c r="H13" s="76"/>
      <c r="I13" s="9"/>
      <c r="J13" s="9"/>
      <c r="K13" s="2"/>
      <c r="L13" s="526"/>
    </row>
    <row r="14" spans="1:14" ht="30.75">
      <c r="B14" s="154"/>
      <c r="E14" s="2" t="s">
        <v>23</v>
      </c>
      <c r="H14" s="76"/>
      <c r="I14" s="9"/>
      <c r="J14" s="9"/>
      <c r="K14" s="2"/>
      <c r="L14" s="526"/>
    </row>
    <row r="15" spans="1:14" ht="30.75">
      <c r="B15" s="154"/>
      <c r="E15" s="2" t="s">
        <v>23</v>
      </c>
      <c r="H15" s="76"/>
      <c r="I15" s="9"/>
      <c r="J15" s="9"/>
      <c r="K15" s="2"/>
      <c r="L15" s="526"/>
      <c r="N15" t="s">
        <v>36</v>
      </c>
    </row>
    <row r="16" spans="1:14" ht="30.75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  <c r="L16" s="526"/>
    </row>
    <row r="17" spans="1:18" ht="30.75">
      <c r="A17" s="7"/>
      <c r="B17" s="8"/>
      <c r="E17" s="2" t="s">
        <v>23</v>
      </c>
      <c r="F17" s="2"/>
      <c r="H17" s="76"/>
      <c r="I17" s="9"/>
      <c r="J17" s="9"/>
      <c r="L17" s="526"/>
      <c r="R17" t="s">
        <v>36</v>
      </c>
    </row>
    <row r="18" spans="1:18" ht="30.75">
      <c r="B18" s="154"/>
      <c r="E18" s="2" t="s">
        <v>23</v>
      </c>
      <c r="H18" s="76"/>
      <c r="I18" s="9"/>
      <c r="J18" s="9"/>
      <c r="L18" s="526"/>
    </row>
    <row r="19" spans="1:18" ht="30.75">
      <c r="B19" s="154"/>
      <c r="E19" s="2" t="s">
        <v>23</v>
      </c>
      <c r="H19" s="76"/>
      <c r="I19" s="9"/>
      <c r="J19" s="9"/>
      <c r="L19" s="526"/>
    </row>
    <row r="20" spans="1:18" ht="30.75">
      <c r="B20" s="154"/>
      <c r="E20" s="2" t="s">
        <v>23</v>
      </c>
      <c r="H20" s="76"/>
      <c r="I20" s="9"/>
      <c r="J20" s="9"/>
      <c r="L20" s="526"/>
    </row>
    <row r="21" spans="1:18" ht="30.75">
      <c r="B21" s="154"/>
      <c r="E21" s="2" t="s">
        <v>23</v>
      </c>
      <c r="H21" s="76"/>
      <c r="I21" s="9"/>
      <c r="J21" s="9"/>
      <c r="L21" s="526"/>
    </row>
    <row r="22" spans="1:18" ht="30.75">
      <c r="E22" s="2" t="s">
        <v>23</v>
      </c>
      <c r="H22" s="76"/>
      <c r="I22" s="9"/>
      <c r="J22" s="9"/>
      <c r="L22" s="526"/>
    </row>
    <row r="23" spans="1:18" ht="30.75">
      <c r="E23" s="2" t="s">
        <v>23</v>
      </c>
      <c r="H23" s="76"/>
      <c r="I23" s="9"/>
      <c r="J23" s="9"/>
      <c r="L23" s="526"/>
    </row>
    <row r="24" spans="1:18" ht="30.75">
      <c r="E24" s="2" t="s">
        <v>23</v>
      </c>
      <c r="H24" s="76"/>
      <c r="I24" s="9"/>
      <c r="J24" s="9"/>
      <c r="L24" s="526"/>
    </row>
    <row r="25" spans="1:18" ht="30.75">
      <c r="E25" s="2" t="s">
        <v>23</v>
      </c>
      <c r="H25" s="76"/>
      <c r="I25" s="9"/>
      <c r="J25" s="9"/>
      <c r="L25" s="526"/>
    </row>
    <row r="26" spans="1:18" ht="30.75">
      <c r="E26" s="2" t="s">
        <v>23</v>
      </c>
      <c r="H26" s="76"/>
      <c r="I26" s="9"/>
      <c r="L26" s="526"/>
    </row>
    <row r="27" spans="1:18">
      <c r="H27" s="76"/>
      <c r="I27" s="9"/>
      <c r="L27" s="526"/>
    </row>
    <row r="28" spans="1:18">
      <c r="H28" s="76"/>
      <c r="I28" s="9"/>
      <c r="L28" s="526"/>
    </row>
    <row r="29" spans="1:18">
      <c r="H29" s="76"/>
      <c r="I29" s="9"/>
      <c r="L29" s="526"/>
    </row>
    <row r="30" spans="1:18">
      <c r="H30" s="76"/>
      <c r="I30" s="9"/>
      <c r="L30" s="526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2524CA73-7DD5-4FB1-BB54-A92149304163}">
      <formula1>"ENERO,FEBRERO,MARZO,ABRIL,MAYO,JUNIO,JULIO,AGOSTO,SEPTIEMBRE,OCTUBRE,NOVIEMBRE,DICIEMBRE"</formula1>
    </dataValidation>
    <dataValidation type="list" allowBlank="1" showInputMessage="1" showErrorMessage="1" sqref="F10:F30" xr:uid="{D14BEFFF-B05D-4EF0-A741-2B12A3B4774F}">
      <formula1>"EFECTIVO, CHEQUE, TRANSFERENCIA,DEPOSITO"</formula1>
    </dataValidation>
  </dataValidations>
  <hyperlinks>
    <hyperlink ref="B4:E4" r:id="rId1" display="Jr_2080@hotmail.com" xr:uid="{385FA74B-7C89-40BD-9ABC-C443A8DC5FAE}"/>
  </hyperlinks>
  <pageMargins left="0.7" right="0.7" top="0.75" bottom="0.75" header="0.3" footer="0.3"/>
  <tableParts count="1">
    <tablePart r:id="rId2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770B-7648-4994-88C7-CA69AD105EA8}">
  <dimension ref="A1:S434"/>
  <sheetViews>
    <sheetView topLeftCell="A32" workbookViewId="0">
      <selection activeCell="L49" sqref="L49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9.140625" customWidth="1"/>
    <col min="12" max="12" width="15.28515625" customWidth="1"/>
  </cols>
  <sheetData>
    <row r="1" spans="1:15" ht="23.25" customHeight="1">
      <c r="A1" s="789" t="s">
        <v>2883</v>
      </c>
      <c r="B1" s="788"/>
      <c r="C1" s="788"/>
      <c r="D1" s="788"/>
      <c r="E1" s="788"/>
      <c r="F1" s="788"/>
    </row>
    <row r="2" spans="1:15" ht="18.75" customHeight="1">
      <c r="A2" s="2" t="s">
        <v>1729</v>
      </c>
      <c r="B2" s="790" t="s">
        <v>2883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  <c r="L2" s="793"/>
    </row>
    <row r="3" spans="1:15" ht="15.75">
      <c r="A3" s="2" t="s">
        <v>1</v>
      </c>
      <c r="B3" s="2">
        <v>20452838011</v>
      </c>
      <c r="F3" s="755" t="s">
        <v>341</v>
      </c>
      <c r="G3" s="755"/>
      <c r="H3" s="755"/>
      <c r="I3" s="755"/>
      <c r="J3" s="755"/>
      <c r="K3" s="755"/>
      <c r="L3" s="755"/>
      <c r="M3" s="755"/>
      <c r="N3" s="755"/>
    </row>
    <row r="4" spans="1:15" ht="15" customHeight="1">
      <c r="A4" s="2" t="s">
        <v>2277</v>
      </c>
      <c r="B4" s="796" t="s">
        <v>2884</v>
      </c>
      <c r="C4" s="796"/>
      <c r="D4" s="796"/>
      <c r="E4" s="796"/>
    </row>
    <row r="5" spans="1:15" ht="23.25" customHeight="1">
      <c r="A5" s="257" t="s">
        <v>4</v>
      </c>
      <c r="B5" s="786" t="s">
        <v>2885</v>
      </c>
      <c r="C5" s="787"/>
      <c r="F5" s="258"/>
      <c r="G5" s="788" t="s">
        <v>2100</v>
      </c>
      <c r="H5" s="788"/>
      <c r="I5" s="788"/>
      <c r="J5" s="788"/>
      <c r="K5" s="788"/>
      <c r="L5" s="788"/>
      <c r="M5" s="788"/>
      <c r="N5" s="788"/>
    </row>
    <row r="9" spans="1:15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19</v>
      </c>
      <c r="L9" s="259" t="s">
        <v>2489</v>
      </c>
      <c r="M9" s="265" t="s">
        <v>99</v>
      </c>
      <c r="N9" s="260"/>
      <c r="O9" s="260"/>
    </row>
    <row r="10" spans="1:15" ht="30.75">
      <c r="A10" s="266" t="s">
        <v>2886</v>
      </c>
      <c r="B10" s="8">
        <v>80</v>
      </c>
      <c r="C10" s="2" t="s">
        <v>38</v>
      </c>
      <c r="D10" s="153" t="s">
        <v>1179</v>
      </c>
      <c r="E10" s="2" t="s">
        <v>23</v>
      </c>
      <c r="F10" s="2" t="s">
        <v>24</v>
      </c>
      <c r="G10" s="2">
        <v>1</v>
      </c>
      <c r="H10" s="9" t="s">
        <v>2887</v>
      </c>
      <c r="I10" s="9"/>
      <c r="J10" s="9" t="s">
        <v>2888</v>
      </c>
      <c r="K10" s="9"/>
      <c r="L10" s="2" t="s">
        <v>2889</v>
      </c>
    </row>
    <row r="11" spans="1:15" ht="30.75">
      <c r="A11" s="266">
        <v>45033</v>
      </c>
      <c r="B11" s="8">
        <v>80</v>
      </c>
      <c r="C11" s="2" t="s">
        <v>41</v>
      </c>
      <c r="D11" s="153" t="s">
        <v>1182</v>
      </c>
      <c r="E11" s="2" t="s">
        <v>23</v>
      </c>
      <c r="F11" s="2" t="s">
        <v>28</v>
      </c>
      <c r="G11" s="2">
        <v>2</v>
      </c>
      <c r="H11" s="9" t="s">
        <v>2890</v>
      </c>
      <c r="I11" s="9"/>
      <c r="J11" s="9" t="s">
        <v>2891</v>
      </c>
      <c r="K11" s="9"/>
      <c r="L11" s="2" t="s">
        <v>26</v>
      </c>
    </row>
    <row r="12" spans="1:15" ht="30.75">
      <c r="A12" s="7" t="s">
        <v>1184</v>
      </c>
      <c r="B12" s="8">
        <v>80</v>
      </c>
      <c r="C12" t="s">
        <v>44</v>
      </c>
      <c r="D12" s="153" t="s">
        <v>1185</v>
      </c>
      <c r="E12" s="2" t="s">
        <v>23</v>
      </c>
      <c r="F12" s="2" t="s">
        <v>28</v>
      </c>
      <c r="G12">
        <v>2</v>
      </c>
      <c r="H12" s="76" t="s">
        <v>2892</v>
      </c>
      <c r="I12" s="9"/>
      <c r="J12" s="9" t="s">
        <v>2893</v>
      </c>
      <c r="K12" s="9"/>
      <c r="L12" s="2" t="s">
        <v>26</v>
      </c>
    </row>
    <row r="13" spans="1:15" ht="30.75">
      <c r="A13" s="7">
        <v>45103</v>
      </c>
      <c r="B13" s="8">
        <v>80</v>
      </c>
      <c r="C13" t="s">
        <v>57</v>
      </c>
      <c r="D13" s="153">
        <v>45103</v>
      </c>
      <c r="E13" s="2" t="s">
        <v>23</v>
      </c>
      <c r="F13" s="2" t="s">
        <v>24</v>
      </c>
      <c r="G13">
        <v>3</v>
      </c>
      <c r="H13" s="76" t="s">
        <v>2894</v>
      </c>
      <c r="I13" s="9"/>
      <c r="J13" s="9" t="s">
        <v>2895</v>
      </c>
      <c r="K13" s="9"/>
      <c r="L13" s="2" t="s">
        <v>2896</v>
      </c>
      <c r="M13">
        <v>1</v>
      </c>
    </row>
    <row r="14" spans="1:15" ht="30.75">
      <c r="A14" s="153">
        <v>45133</v>
      </c>
      <c r="B14" s="154">
        <v>80</v>
      </c>
      <c r="C14" t="s">
        <v>47</v>
      </c>
      <c r="D14" s="153">
        <v>45133</v>
      </c>
      <c r="E14" s="2" t="s">
        <v>23</v>
      </c>
      <c r="F14" t="s">
        <v>28</v>
      </c>
      <c r="G14">
        <v>4</v>
      </c>
      <c r="H14" s="76" t="s">
        <v>2897</v>
      </c>
      <c r="I14" s="9"/>
      <c r="J14" s="9" t="s">
        <v>2898</v>
      </c>
      <c r="K14" s="9"/>
      <c r="L14" s="2" t="s">
        <v>26</v>
      </c>
      <c r="M14">
        <v>2</v>
      </c>
    </row>
    <row r="15" spans="1:15" ht="30.75">
      <c r="A15" s="153">
        <v>45167</v>
      </c>
      <c r="B15" s="154">
        <v>80</v>
      </c>
      <c r="C15" t="s">
        <v>50</v>
      </c>
      <c r="D15" s="153">
        <v>45167</v>
      </c>
      <c r="E15" s="2" t="s">
        <v>23</v>
      </c>
      <c r="F15" t="s">
        <v>28</v>
      </c>
      <c r="H15" s="76" t="s">
        <v>2899</v>
      </c>
      <c r="I15" s="9"/>
      <c r="J15" s="9" t="s">
        <v>2900</v>
      </c>
      <c r="K15" s="9"/>
      <c r="L15" s="2" t="s">
        <v>26</v>
      </c>
      <c r="M15">
        <v>2.2000000000000002</v>
      </c>
    </row>
    <row r="16" spans="1:15" ht="30.75">
      <c r="A16" s="153">
        <v>45197</v>
      </c>
      <c r="B16" s="154">
        <v>80</v>
      </c>
      <c r="C16" t="s">
        <v>22</v>
      </c>
      <c r="D16" s="153">
        <v>45197</v>
      </c>
      <c r="E16" s="2" t="s">
        <v>23</v>
      </c>
      <c r="F16" t="s">
        <v>28</v>
      </c>
      <c r="H16" s="76" t="s">
        <v>2901</v>
      </c>
      <c r="I16" s="9"/>
      <c r="J16" s="9" t="s">
        <v>2902</v>
      </c>
      <c r="K16" s="9"/>
      <c r="L16" s="2" t="s">
        <v>2896</v>
      </c>
      <c r="M16">
        <v>2</v>
      </c>
      <c r="O16" t="s">
        <v>36</v>
      </c>
    </row>
    <row r="17" spans="1:19" ht="30.75">
      <c r="A17" s="7">
        <v>45229</v>
      </c>
      <c r="B17" s="8">
        <v>80</v>
      </c>
      <c r="C17" s="2" t="s">
        <v>54</v>
      </c>
      <c r="D17" s="7">
        <v>45229</v>
      </c>
      <c r="E17" s="2" t="s">
        <v>23</v>
      </c>
      <c r="F17" s="2" t="s">
        <v>28</v>
      </c>
      <c r="G17" s="2"/>
      <c r="H17" s="76" t="s">
        <v>2903</v>
      </c>
      <c r="I17" s="9"/>
      <c r="J17" s="9" t="s">
        <v>2904</v>
      </c>
      <c r="K17" s="9" t="s">
        <v>2905</v>
      </c>
      <c r="L17" s="2" t="s">
        <v>26</v>
      </c>
      <c r="M17">
        <v>2.2000000000000002</v>
      </c>
    </row>
    <row r="18" spans="1:19" ht="30.75">
      <c r="A18" s="7">
        <v>45259</v>
      </c>
      <c r="B18" s="8">
        <v>80</v>
      </c>
      <c r="C18" t="s">
        <v>27</v>
      </c>
      <c r="D18" s="153">
        <v>45259</v>
      </c>
      <c r="E18" s="2" t="s">
        <v>23</v>
      </c>
      <c r="F18" s="2" t="s">
        <v>28</v>
      </c>
      <c r="H18" s="76" t="s">
        <v>2906</v>
      </c>
      <c r="I18" s="9"/>
      <c r="J18" s="9" t="s">
        <v>2907</v>
      </c>
      <c r="K18" s="9" t="s">
        <v>2908</v>
      </c>
      <c r="L18" t="s">
        <v>26</v>
      </c>
      <c r="M18">
        <v>2.2000000000000002</v>
      </c>
      <c r="S18" t="s">
        <v>36</v>
      </c>
    </row>
    <row r="19" spans="1:19" ht="30.75">
      <c r="A19" s="153">
        <v>45288</v>
      </c>
      <c r="B19" s="154">
        <v>80</v>
      </c>
      <c r="C19" t="s">
        <v>30</v>
      </c>
      <c r="D19" s="153">
        <v>45288</v>
      </c>
      <c r="E19" s="2" t="s">
        <v>23</v>
      </c>
      <c r="F19" t="s">
        <v>24</v>
      </c>
      <c r="H19" s="76" t="s">
        <v>2909</v>
      </c>
      <c r="I19" s="9"/>
      <c r="J19" s="9" t="s">
        <v>2910</v>
      </c>
      <c r="K19" s="9" t="s">
        <v>2911</v>
      </c>
      <c r="L19" t="s">
        <v>26</v>
      </c>
      <c r="M19">
        <v>2.2000000000000002</v>
      </c>
    </row>
    <row r="20" spans="1:19" ht="30.75">
      <c r="A20" s="153">
        <v>45321</v>
      </c>
      <c r="B20" s="154">
        <v>80</v>
      </c>
      <c r="C20" t="s">
        <v>32</v>
      </c>
      <c r="D20" s="153">
        <v>45321</v>
      </c>
      <c r="E20" s="2" t="s">
        <v>23</v>
      </c>
      <c r="F20" t="s">
        <v>28</v>
      </c>
      <c r="H20" s="76" t="s">
        <v>2912</v>
      </c>
      <c r="I20" s="9"/>
      <c r="J20" s="9" t="s">
        <v>2913</v>
      </c>
      <c r="K20" s="9" t="s">
        <v>2914</v>
      </c>
      <c r="L20" t="s">
        <v>26</v>
      </c>
      <c r="M20">
        <v>2.2000000000000002</v>
      </c>
    </row>
    <row r="21" spans="1:19" ht="30.75">
      <c r="A21" s="153">
        <v>45351</v>
      </c>
      <c r="B21" s="154">
        <v>80</v>
      </c>
      <c r="C21" t="s">
        <v>34</v>
      </c>
      <c r="D21" s="153">
        <v>45351</v>
      </c>
      <c r="E21" s="2" t="s">
        <v>23</v>
      </c>
      <c r="F21" t="s">
        <v>24</v>
      </c>
      <c r="H21" s="76" t="s">
        <v>2915</v>
      </c>
      <c r="I21" s="9"/>
      <c r="J21" s="9" t="s">
        <v>2916</v>
      </c>
      <c r="K21" s="9" t="s">
        <v>2917</v>
      </c>
      <c r="L21" t="s">
        <v>72</v>
      </c>
      <c r="M21">
        <v>2.2000000000000002</v>
      </c>
    </row>
    <row r="22" spans="1:19" ht="30.75">
      <c r="A22" s="153">
        <v>45378</v>
      </c>
      <c r="B22" s="154">
        <v>80</v>
      </c>
      <c r="C22" t="s">
        <v>38</v>
      </c>
      <c r="D22" s="153">
        <v>45378</v>
      </c>
      <c r="E22" s="2" t="s">
        <v>23</v>
      </c>
      <c r="F22" t="s">
        <v>28</v>
      </c>
      <c r="H22" s="76" t="s">
        <v>2918</v>
      </c>
      <c r="I22" s="9"/>
      <c r="J22" s="9" t="s">
        <v>2919</v>
      </c>
      <c r="K22" s="9" t="s">
        <v>2920</v>
      </c>
      <c r="L22" t="s">
        <v>2896</v>
      </c>
      <c r="M22">
        <v>2.2000000000000002</v>
      </c>
    </row>
    <row r="23" spans="1:19" ht="30.75">
      <c r="A23" s="153">
        <v>45411</v>
      </c>
      <c r="B23" s="154">
        <v>80</v>
      </c>
      <c r="C23" t="s">
        <v>41</v>
      </c>
      <c r="D23" s="153">
        <v>45411</v>
      </c>
      <c r="E23" s="2" t="s">
        <v>23</v>
      </c>
      <c r="F23" t="s">
        <v>28</v>
      </c>
      <c r="H23" s="76" t="s">
        <v>2921</v>
      </c>
      <c r="I23" s="9"/>
      <c r="J23" s="9" t="s">
        <v>2922</v>
      </c>
      <c r="K23" s="9" t="s">
        <v>2923</v>
      </c>
      <c r="L23" t="s">
        <v>26</v>
      </c>
      <c r="M23">
        <v>1.8</v>
      </c>
    </row>
    <row r="24" spans="1:19" ht="30.75">
      <c r="A24" s="153">
        <v>45442</v>
      </c>
      <c r="B24" s="154">
        <v>80</v>
      </c>
      <c r="C24" t="s">
        <v>44</v>
      </c>
      <c r="D24" s="153">
        <v>45442</v>
      </c>
      <c r="E24" s="2" t="s">
        <v>23</v>
      </c>
      <c r="F24" t="s">
        <v>28</v>
      </c>
      <c r="H24" s="76" t="s">
        <v>2924</v>
      </c>
      <c r="I24" s="9"/>
      <c r="J24" s="9" t="s">
        <v>2925</v>
      </c>
      <c r="K24" s="9" t="s">
        <v>2926</v>
      </c>
      <c r="L24" t="s">
        <v>26</v>
      </c>
      <c r="M24">
        <v>2.2000000000000002</v>
      </c>
    </row>
    <row r="25" spans="1:19" ht="30.75">
      <c r="A25" s="153">
        <v>45470</v>
      </c>
      <c r="B25" s="154">
        <v>80</v>
      </c>
      <c r="C25" t="s">
        <v>57</v>
      </c>
      <c r="D25" s="153">
        <v>45470</v>
      </c>
      <c r="E25" s="2" t="s">
        <v>23</v>
      </c>
      <c r="F25" t="s">
        <v>28</v>
      </c>
      <c r="H25" s="76">
        <v>25819</v>
      </c>
      <c r="I25" s="9"/>
      <c r="J25" s="9" t="s">
        <v>2927</v>
      </c>
      <c r="K25" s="9" t="s">
        <v>2734</v>
      </c>
      <c r="L25" t="s">
        <v>26</v>
      </c>
      <c r="M25">
        <v>1.8</v>
      </c>
    </row>
    <row r="26" spans="1:19" ht="30.75">
      <c r="A26" s="153">
        <v>45503</v>
      </c>
      <c r="B26" s="154">
        <v>80</v>
      </c>
      <c r="C26" t="s">
        <v>47</v>
      </c>
      <c r="D26" s="153">
        <v>45503</v>
      </c>
      <c r="E26" s="2" t="s">
        <v>23</v>
      </c>
      <c r="F26" t="s">
        <v>28</v>
      </c>
      <c r="H26" s="76" t="s">
        <v>2928</v>
      </c>
      <c r="I26" s="9"/>
      <c r="J26" s="9" t="s">
        <v>2758</v>
      </c>
      <c r="K26" s="9" t="s">
        <v>2929</v>
      </c>
      <c r="L26" t="s">
        <v>26</v>
      </c>
      <c r="M26">
        <v>2.2000000000000002</v>
      </c>
    </row>
    <row r="27" spans="1:19" ht="37.5" customHeight="1">
      <c r="A27" s="153">
        <v>45565</v>
      </c>
      <c r="B27" s="154">
        <v>80</v>
      </c>
      <c r="C27" t="s">
        <v>22</v>
      </c>
      <c r="D27" s="153">
        <v>45565</v>
      </c>
      <c r="E27" s="2" t="s">
        <v>23</v>
      </c>
      <c r="F27" t="s">
        <v>28</v>
      </c>
      <c r="H27" s="76" t="s">
        <v>2930</v>
      </c>
      <c r="I27" s="9"/>
      <c r="J27">
        <v>40240</v>
      </c>
      <c r="K27">
        <v>42393</v>
      </c>
      <c r="L27" t="s">
        <v>26</v>
      </c>
      <c r="M27">
        <v>6.5</v>
      </c>
    </row>
    <row r="28" spans="1:19" ht="37.5" customHeight="1">
      <c r="A28" s="153">
        <v>45596</v>
      </c>
      <c r="B28" s="154">
        <v>80</v>
      </c>
      <c r="C28" t="s">
        <v>54</v>
      </c>
      <c r="D28" s="153">
        <v>45596</v>
      </c>
      <c r="E28" s="2" t="s">
        <v>23</v>
      </c>
      <c r="F28" t="s">
        <v>28</v>
      </c>
      <c r="H28" s="310">
        <v>29107</v>
      </c>
      <c r="I28" s="9"/>
      <c r="J28">
        <v>41292</v>
      </c>
      <c r="K28">
        <v>43475</v>
      </c>
      <c r="L28" t="s">
        <v>26</v>
      </c>
      <c r="M28">
        <v>4.5</v>
      </c>
    </row>
    <row r="29" spans="1:19" ht="38.25" customHeight="1">
      <c r="A29" s="153">
        <v>45626</v>
      </c>
      <c r="B29" s="154">
        <v>80</v>
      </c>
      <c r="C29" t="s">
        <v>27</v>
      </c>
      <c r="D29" s="153">
        <v>45626</v>
      </c>
      <c r="E29" s="2" t="s">
        <v>23</v>
      </c>
      <c r="F29" t="s">
        <v>28</v>
      </c>
      <c r="H29" s="76" t="s">
        <v>2931</v>
      </c>
      <c r="I29" s="9"/>
      <c r="J29">
        <v>42258</v>
      </c>
      <c r="K29">
        <v>44302</v>
      </c>
      <c r="L29" t="s">
        <v>26</v>
      </c>
      <c r="M29">
        <v>6.5</v>
      </c>
    </row>
    <row r="30" spans="1:19" ht="38.25" customHeight="1">
      <c r="A30" t="s">
        <v>1231</v>
      </c>
      <c r="B30" s="154">
        <v>80</v>
      </c>
      <c r="C30" t="s">
        <v>30</v>
      </c>
      <c r="D30" s="153">
        <v>45656</v>
      </c>
      <c r="E30" s="2" t="s">
        <v>23</v>
      </c>
      <c r="F30" t="s">
        <v>28</v>
      </c>
      <c r="H30" s="76" t="s">
        <v>2932</v>
      </c>
      <c r="I30" s="9"/>
      <c r="J30">
        <v>43233</v>
      </c>
      <c r="K30">
        <v>45428</v>
      </c>
      <c r="L30" t="s">
        <v>26</v>
      </c>
      <c r="M30">
        <v>1</v>
      </c>
    </row>
    <row r="31" spans="1:19" ht="38.25" customHeight="1">
      <c r="A31" t="s">
        <v>75</v>
      </c>
      <c r="B31" s="154">
        <v>80</v>
      </c>
      <c r="C31" t="s">
        <v>32</v>
      </c>
      <c r="D31" s="153" t="s">
        <v>2933</v>
      </c>
      <c r="E31" s="2" t="s">
        <v>23</v>
      </c>
      <c r="F31" t="s">
        <v>28</v>
      </c>
      <c r="H31" s="76" t="s">
        <v>2934</v>
      </c>
      <c r="I31" s="9"/>
      <c r="J31">
        <v>44436</v>
      </c>
      <c r="L31" t="s">
        <v>318</v>
      </c>
      <c r="M31">
        <v>8.5</v>
      </c>
    </row>
    <row r="32" spans="1:19" ht="30.75">
      <c r="A32" s="528">
        <v>45716</v>
      </c>
      <c r="B32" s="154">
        <v>80</v>
      </c>
      <c r="C32" s="526" t="s">
        <v>34</v>
      </c>
      <c r="D32" s="528">
        <v>45716</v>
      </c>
      <c r="E32" s="2" t="s">
        <v>23</v>
      </c>
      <c r="F32" s="526" t="s">
        <v>28</v>
      </c>
      <c r="G32" s="526"/>
      <c r="H32" s="527" t="s">
        <v>2935</v>
      </c>
      <c r="I32" s="526"/>
      <c r="J32" s="526">
        <v>45442</v>
      </c>
      <c r="L32" s="526" t="s">
        <v>26</v>
      </c>
      <c r="M32" s="526">
        <v>2.5</v>
      </c>
    </row>
    <row r="33" spans="1:13" ht="30.75">
      <c r="A33" s="528">
        <v>45747</v>
      </c>
      <c r="B33" s="154">
        <v>80</v>
      </c>
      <c r="C33" s="526" t="s">
        <v>38</v>
      </c>
      <c r="D33" s="528">
        <v>45747</v>
      </c>
      <c r="E33" s="2" t="s">
        <v>23</v>
      </c>
      <c r="F33" s="526" t="s">
        <v>28</v>
      </c>
      <c r="G33" s="526"/>
      <c r="H33" s="527" t="s">
        <v>2936</v>
      </c>
      <c r="I33" s="526"/>
      <c r="J33" s="526">
        <v>46558</v>
      </c>
      <c r="L33" s="526" t="s">
        <v>26</v>
      </c>
      <c r="M33" s="526">
        <v>4.3</v>
      </c>
    </row>
    <row r="34" spans="1:13" ht="30.75">
      <c r="A34" s="528">
        <v>45777</v>
      </c>
      <c r="B34" s="154">
        <v>80</v>
      </c>
      <c r="C34" s="526" t="s">
        <v>41</v>
      </c>
      <c r="D34" s="528">
        <v>45777</v>
      </c>
      <c r="E34" s="2" t="s">
        <v>23</v>
      </c>
      <c r="F34" s="526" t="s">
        <v>28</v>
      </c>
      <c r="G34" s="526"/>
      <c r="H34" s="527" t="s">
        <v>2937</v>
      </c>
      <c r="I34" s="526"/>
      <c r="J34" s="526">
        <v>47643</v>
      </c>
      <c r="L34" s="526" t="s">
        <v>26</v>
      </c>
      <c r="M34" s="526">
        <v>1.5</v>
      </c>
    </row>
    <row r="35" spans="1:13" ht="30.75">
      <c r="A35" s="528">
        <v>45810</v>
      </c>
      <c r="B35" s="154">
        <v>80</v>
      </c>
      <c r="C35" s="526" t="s">
        <v>44</v>
      </c>
      <c r="D35" s="528">
        <v>45808</v>
      </c>
      <c r="E35" s="2" t="s">
        <v>23</v>
      </c>
      <c r="F35" s="526" t="s">
        <v>28</v>
      </c>
      <c r="G35" s="526"/>
      <c r="H35" s="527">
        <v>34868</v>
      </c>
      <c r="I35" s="526"/>
      <c r="J35" s="526">
        <v>50048</v>
      </c>
      <c r="L35" s="526" t="s">
        <v>26</v>
      </c>
      <c r="M35" s="526">
        <v>1.2</v>
      </c>
    </row>
    <row r="36" spans="1:13" ht="30.75">
      <c r="A36" s="528">
        <v>45835</v>
      </c>
      <c r="B36" s="154">
        <v>80</v>
      </c>
      <c r="C36" s="526" t="s">
        <v>57</v>
      </c>
      <c r="D36" s="528">
        <v>45835</v>
      </c>
      <c r="E36" s="2" t="s">
        <v>23</v>
      </c>
      <c r="F36" s="526" t="s">
        <v>28</v>
      </c>
      <c r="G36" s="526"/>
      <c r="H36" s="527" t="s">
        <v>2938</v>
      </c>
      <c r="I36" s="526"/>
      <c r="J36" s="526">
        <v>50049</v>
      </c>
      <c r="L36" s="526" t="s">
        <v>26</v>
      </c>
      <c r="M36" s="526">
        <v>3</v>
      </c>
    </row>
    <row r="37" spans="1:13" ht="30.75">
      <c r="A37" s="528">
        <v>45869</v>
      </c>
      <c r="B37" s="154">
        <v>80</v>
      </c>
      <c r="C37" s="526" t="s">
        <v>47</v>
      </c>
      <c r="D37" s="528">
        <v>45868</v>
      </c>
      <c r="E37" s="2" t="s">
        <v>23</v>
      </c>
      <c r="F37" s="526" t="s">
        <v>28</v>
      </c>
      <c r="G37" s="526"/>
      <c r="H37" s="527" t="s">
        <v>2939</v>
      </c>
      <c r="I37" s="526"/>
      <c r="J37" s="526">
        <v>50050</v>
      </c>
      <c r="L37" s="526" t="s">
        <v>26</v>
      </c>
      <c r="M37" s="526">
        <v>2</v>
      </c>
    </row>
    <row r="38" spans="1:13" ht="30.75">
      <c r="A38" s="528">
        <v>45898</v>
      </c>
      <c r="B38" s="154">
        <v>80</v>
      </c>
      <c r="C38" s="526" t="s">
        <v>50</v>
      </c>
      <c r="D38" s="528">
        <v>45898</v>
      </c>
      <c r="E38" s="2" t="s">
        <v>23</v>
      </c>
      <c r="F38" s="526" t="s">
        <v>28</v>
      </c>
      <c r="G38" s="526"/>
      <c r="H38" s="527" t="s">
        <v>2940</v>
      </c>
      <c r="I38" s="526"/>
      <c r="J38" s="526">
        <v>51310</v>
      </c>
      <c r="L38" s="526" t="s">
        <v>26</v>
      </c>
      <c r="M38" s="526">
        <v>1.5</v>
      </c>
    </row>
    <row r="39" spans="1:13" ht="30.75">
      <c r="A39" s="528">
        <v>45930</v>
      </c>
      <c r="B39" s="154">
        <v>80</v>
      </c>
      <c r="C39" s="526" t="s">
        <v>22</v>
      </c>
      <c r="D39" s="528">
        <v>45930</v>
      </c>
      <c r="E39" s="2" t="s">
        <v>23</v>
      </c>
      <c r="F39" s="526" t="s">
        <v>28</v>
      </c>
      <c r="G39" s="526"/>
      <c r="H39" s="527" t="s">
        <v>1458</v>
      </c>
      <c r="I39" s="526"/>
      <c r="J39" s="526">
        <v>52139</v>
      </c>
      <c r="L39" s="526" t="s">
        <v>26</v>
      </c>
      <c r="M39" s="526">
        <v>1.5</v>
      </c>
    </row>
    <row r="40" spans="1:13" ht="30.75">
      <c r="A40" s="528">
        <v>45961</v>
      </c>
      <c r="B40" s="154">
        <v>80</v>
      </c>
      <c r="C40" s="526" t="s">
        <v>54</v>
      </c>
      <c r="D40" s="528">
        <v>45961</v>
      </c>
      <c r="E40" s="2" t="s">
        <v>23</v>
      </c>
      <c r="F40" s="526" t="s">
        <v>28</v>
      </c>
      <c r="G40" s="526"/>
      <c r="H40" s="527" t="s">
        <v>2941</v>
      </c>
      <c r="I40" s="526"/>
      <c r="J40" s="526">
        <v>53340</v>
      </c>
      <c r="L40" s="526" t="s">
        <v>26</v>
      </c>
      <c r="M40" s="526">
        <v>1</v>
      </c>
    </row>
    <row r="41" spans="1:13" ht="30.75">
      <c r="A41" s="528">
        <v>45989</v>
      </c>
      <c r="B41" s="154">
        <v>80</v>
      </c>
      <c r="C41" s="526" t="s">
        <v>27</v>
      </c>
      <c r="D41" s="528">
        <v>45989</v>
      </c>
      <c r="E41" s="2" t="s">
        <v>23</v>
      </c>
      <c r="F41" s="526" t="s">
        <v>28</v>
      </c>
      <c r="G41" s="526"/>
      <c r="H41" s="527" t="s">
        <v>2942</v>
      </c>
      <c r="I41" s="526"/>
      <c r="J41" s="526">
        <v>54438</v>
      </c>
      <c r="L41" s="526" t="s">
        <v>26</v>
      </c>
      <c r="M41" s="526">
        <v>1</v>
      </c>
    </row>
    <row r="42" spans="1:13" ht="30.75">
      <c r="A42" s="528">
        <v>46020</v>
      </c>
      <c r="B42" s="154">
        <v>80</v>
      </c>
      <c r="C42" s="526" t="s">
        <v>30</v>
      </c>
      <c r="D42" s="528">
        <v>46020</v>
      </c>
      <c r="E42" s="2" t="s">
        <v>23</v>
      </c>
      <c r="F42" s="526" t="s">
        <v>28</v>
      </c>
      <c r="G42" s="526"/>
      <c r="H42" s="527" t="s">
        <v>2943</v>
      </c>
      <c r="I42" s="526"/>
      <c r="J42" s="526">
        <v>55706</v>
      </c>
      <c r="L42" s="526" t="s">
        <v>26</v>
      </c>
      <c r="M42" s="526">
        <v>1.5</v>
      </c>
    </row>
    <row r="43" spans="1:13" ht="30.75">
      <c r="A43" s="528">
        <v>46053</v>
      </c>
      <c r="B43" s="154">
        <v>80</v>
      </c>
      <c r="C43" s="526" t="s">
        <v>32</v>
      </c>
      <c r="D43" s="528">
        <v>46053</v>
      </c>
      <c r="E43" s="2" t="s">
        <v>23</v>
      </c>
      <c r="F43" s="526" t="s">
        <v>28</v>
      </c>
      <c r="G43" s="526"/>
      <c r="H43" s="527" t="s">
        <v>2944</v>
      </c>
      <c r="I43" s="526"/>
      <c r="J43" s="526">
        <v>56478</v>
      </c>
      <c r="L43" s="526" t="s">
        <v>26</v>
      </c>
      <c r="M43" s="526">
        <v>1</v>
      </c>
    </row>
    <row r="44" spans="1:13" ht="30.75">
      <c r="A44" s="528">
        <v>46081</v>
      </c>
      <c r="B44" s="154">
        <v>80</v>
      </c>
      <c r="C44" s="526" t="s">
        <v>34</v>
      </c>
      <c r="D44" s="528">
        <v>46081</v>
      </c>
      <c r="E44" s="2" t="s">
        <v>23</v>
      </c>
      <c r="F44" s="526" t="s">
        <v>28</v>
      </c>
      <c r="G44" s="526"/>
      <c r="H44" s="527" t="s">
        <v>2945</v>
      </c>
      <c r="I44" s="526"/>
      <c r="J44" s="526">
        <v>58398</v>
      </c>
      <c r="L44" s="526" t="s">
        <v>318</v>
      </c>
      <c r="M44" s="526">
        <v>1.5</v>
      </c>
    </row>
    <row r="45" spans="1:13" ht="30.75">
      <c r="A45" s="528">
        <v>46112</v>
      </c>
      <c r="B45" s="154">
        <v>80</v>
      </c>
      <c r="C45" s="526" t="s">
        <v>38</v>
      </c>
      <c r="D45" s="528">
        <v>46112</v>
      </c>
      <c r="E45" s="2" t="s">
        <v>23</v>
      </c>
      <c r="F45" s="526" t="s">
        <v>28</v>
      </c>
      <c r="G45" s="526"/>
      <c r="H45" s="527" t="s">
        <v>2946</v>
      </c>
      <c r="I45" s="526"/>
      <c r="J45" s="526">
        <v>59576</v>
      </c>
      <c r="L45" s="526" t="s">
        <v>26</v>
      </c>
      <c r="M45" s="526">
        <v>1.1000000000000001</v>
      </c>
    </row>
    <row r="46" spans="1:13" ht="30.75">
      <c r="A46" s="528">
        <v>46142</v>
      </c>
      <c r="B46" s="154">
        <v>80</v>
      </c>
      <c r="C46" s="526" t="s">
        <v>41</v>
      </c>
      <c r="D46" s="528">
        <v>46141</v>
      </c>
      <c r="E46" s="2" t="s">
        <v>23</v>
      </c>
      <c r="F46" s="526" t="s">
        <v>28</v>
      </c>
      <c r="G46" s="526"/>
      <c r="H46" s="527" t="s">
        <v>2947</v>
      </c>
      <c r="I46" s="526"/>
      <c r="J46" s="526">
        <v>60989</v>
      </c>
      <c r="L46" s="526" t="s">
        <v>26</v>
      </c>
      <c r="M46" s="526">
        <v>1.5</v>
      </c>
    </row>
    <row r="47" spans="1:13" ht="30.75">
      <c r="A47" s="526"/>
      <c r="B47" s="526"/>
      <c r="C47" s="526"/>
      <c r="D47" s="526"/>
      <c r="E47" s="2" t="s">
        <v>23</v>
      </c>
      <c r="F47" s="526"/>
      <c r="G47" s="526"/>
      <c r="H47" s="527"/>
      <c r="I47" s="526"/>
      <c r="J47" s="526"/>
      <c r="L47" s="526"/>
      <c r="M47" s="526"/>
    </row>
    <row r="48" spans="1:13" ht="30.75">
      <c r="A48" s="526"/>
      <c r="B48" s="526"/>
      <c r="C48" s="526"/>
      <c r="D48" s="526"/>
      <c r="E48" s="2" t="s">
        <v>23</v>
      </c>
      <c r="F48" s="526"/>
      <c r="G48" s="526"/>
      <c r="H48" s="527"/>
      <c r="I48" s="526"/>
      <c r="J48" s="526"/>
      <c r="L48" s="526"/>
      <c r="M48" s="526"/>
    </row>
    <row r="49" spans="1:13" ht="30.75">
      <c r="A49" s="526"/>
      <c r="B49" s="526"/>
      <c r="C49" s="526"/>
      <c r="D49" s="526"/>
      <c r="E49" s="2" t="s">
        <v>23</v>
      </c>
      <c r="F49" s="526"/>
      <c r="G49" s="526"/>
      <c r="H49" s="527"/>
      <c r="I49" s="526"/>
      <c r="J49" s="526"/>
      <c r="L49" s="526"/>
      <c r="M49" s="526"/>
    </row>
    <row r="50" spans="1:13" ht="30.75">
      <c r="A50" s="526"/>
      <c r="B50" s="526"/>
      <c r="C50" s="526"/>
      <c r="D50" s="526"/>
      <c r="E50" s="2" t="s">
        <v>23</v>
      </c>
      <c r="F50" s="526"/>
      <c r="G50" s="526"/>
      <c r="H50" s="527"/>
      <c r="I50" s="526"/>
      <c r="J50" s="526"/>
      <c r="L50" s="526"/>
      <c r="M50" s="526"/>
    </row>
    <row r="51" spans="1:13" ht="30.75">
      <c r="A51" s="526"/>
      <c r="B51" s="526"/>
      <c r="C51" s="526"/>
      <c r="D51" s="526"/>
      <c r="E51" s="2" t="s">
        <v>23</v>
      </c>
      <c r="F51" s="526"/>
      <c r="G51" s="526"/>
      <c r="H51" s="527"/>
      <c r="I51" s="526"/>
      <c r="J51" s="526"/>
      <c r="L51" s="526"/>
      <c r="M51" s="526"/>
    </row>
    <row r="52" spans="1:13" ht="30.75">
      <c r="A52" s="526"/>
      <c r="B52" s="526"/>
      <c r="C52" s="526"/>
      <c r="D52" s="526"/>
      <c r="E52" s="2" t="s">
        <v>23</v>
      </c>
      <c r="F52" s="526"/>
      <c r="G52" s="526"/>
      <c r="H52" s="527"/>
      <c r="I52" s="526"/>
      <c r="J52" s="526"/>
      <c r="L52" s="526"/>
      <c r="M52" s="526"/>
    </row>
    <row r="53" spans="1:13" ht="30.75">
      <c r="A53" s="526"/>
      <c r="B53" s="526"/>
      <c r="C53" s="526"/>
      <c r="D53" s="526"/>
      <c r="E53" s="2" t="s">
        <v>23</v>
      </c>
      <c r="F53" s="526"/>
      <c r="G53" s="526"/>
      <c r="H53" s="527"/>
      <c r="I53" s="526"/>
      <c r="J53" s="526"/>
      <c r="L53" s="526"/>
      <c r="M53" s="526"/>
    </row>
    <row r="54" spans="1:13" ht="30.75">
      <c r="A54" s="526"/>
      <c r="B54" s="526"/>
      <c r="C54" s="526"/>
      <c r="D54" s="526"/>
      <c r="E54" s="2" t="s">
        <v>23</v>
      </c>
      <c r="F54" s="526"/>
      <c r="G54" s="526"/>
      <c r="H54" s="527"/>
      <c r="I54" s="526"/>
      <c r="J54" s="526"/>
      <c r="L54" s="526"/>
      <c r="M54" s="526"/>
    </row>
    <row r="55" spans="1:13" ht="30.75">
      <c r="A55" s="526"/>
      <c r="B55" s="526"/>
      <c r="C55" s="526"/>
      <c r="D55" s="526"/>
      <c r="E55" s="2" t="s">
        <v>23</v>
      </c>
      <c r="F55" s="526"/>
      <c r="G55" s="526"/>
      <c r="H55" s="527"/>
      <c r="I55" s="526"/>
      <c r="J55" s="526"/>
      <c r="L55" s="526"/>
      <c r="M55" s="526"/>
    </row>
    <row r="56" spans="1:13" ht="30.75">
      <c r="A56" s="526"/>
      <c r="B56" s="526"/>
      <c r="C56" s="526"/>
      <c r="D56" s="526"/>
      <c r="E56" s="2" t="s">
        <v>23</v>
      </c>
      <c r="F56" s="526"/>
      <c r="G56" s="526"/>
      <c r="H56" s="527"/>
      <c r="I56" s="526"/>
      <c r="J56" s="526"/>
      <c r="L56" s="526"/>
      <c r="M56" s="526"/>
    </row>
    <row r="57" spans="1:13" ht="30.75">
      <c r="A57" s="526"/>
      <c r="B57" s="526"/>
      <c r="C57" s="526"/>
      <c r="D57" s="526"/>
      <c r="E57" s="2" t="s">
        <v>23</v>
      </c>
      <c r="F57" s="526"/>
      <c r="G57" s="526"/>
      <c r="H57" s="527"/>
      <c r="I57" s="526"/>
      <c r="J57" s="526"/>
      <c r="L57" s="526"/>
      <c r="M57" s="526"/>
    </row>
    <row r="58" spans="1:13" ht="30.75">
      <c r="A58" s="526"/>
      <c r="B58" s="526"/>
      <c r="C58" s="526"/>
      <c r="D58" s="526"/>
      <c r="E58" s="2" t="s">
        <v>23</v>
      </c>
      <c r="F58" s="526"/>
      <c r="G58" s="526"/>
      <c r="H58" s="527"/>
      <c r="I58" s="526"/>
      <c r="J58" s="526"/>
      <c r="L58" s="526"/>
      <c r="M58" s="526"/>
    </row>
    <row r="59" spans="1:13" ht="30.75">
      <c r="A59" s="526"/>
      <c r="B59" s="526"/>
      <c r="C59" s="526"/>
      <c r="D59" s="526"/>
      <c r="E59" s="2" t="s">
        <v>23</v>
      </c>
      <c r="F59" s="526"/>
      <c r="G59" s="526"/>
      <c r="H59" s="527"/>
      <c r="I59" s="526"/>
      <c r="J59" s="526"/>
      <c r="L59" s="526"/>
      <c r="M59" s="526"/>
    </row>
    <row r="60" spans="1:13" ht="30.75">
      <c r="A60" s="526"/>
      <c r="B60" s="526"/>
      <c r="C60" s="526"/>
      <c r="D60" s="526"/>
      <c r="E60" s="2" t="s">
        <v>23</v>
      </c>
      <c r="F60" s="526"/>
      <c r="G60" s="526"/>
      <c r="H60" s="527"/>
      <c r="I60" s="526"/>
      <c r="J60" s="526"/>
      <c r="L60" s="526"/>
      <c r="M60" s="526"/>
    </row>
    <row r="61" spans="1:13" ht="30.75">
      <c r="A61" s="526"/>
      <c r="B61" s="526"/>
      <c r="C61" s="526"/>
      <c r="D61" s="526"/>
      <c r="E61" s="2" t="s">
        <v>23</v>
      </c>
      <c r="F61" s="526"/>
      <c r="G61" s="526"/>
      <c r="H61" s="527"/>
      <c r="I61" s="526"/>
      <c r="J61" s="526"/>
      <c r="L61" s="526"/>
      <c r="M61" s="526"/>
    </row>
    <row r="62" spans="1:13" ht="30.75">
      <c r="A62" s="526"/>
      <c r="B62" s="526"/>
      <c r="C62" s="526"/>
      <c r="D62" s="526"/>
      <c r="E62" s="2" t="s">
        <v>23</v>
      </c>
      <c r="F62" s="526"/>
      <c r="G62" s="526"/>
      <c r="H62" s="527"/>
      <c r="I62" s="526"/>
      <c r="J62" s="526"/>
      <c r="L62" s="526"/>
      <c r="M62" s="526"/>
    </row>
    <row r="63" spans="1:13" ht="30.75">
      <c r="A63" s="526"/>
      <c r="B63" s="526"/>
      <c r="C63" s="526"/>
      <c r="D63" s="526"/>
      <c r="E63" s="2" t="s">
        <v>23</v>
      </c>
      <c r="F63" s="526"/>
      <c r="G63" s="526"/>
      <c r="H63" s="527"/>
      <c r="I63" s="526"/>
      <c r="J63" s="526"/>
      <c r="L63" s="526"/>
      <c r="M63" s="526"/>
    </row>
    <row r="434" spans="2:3">
      <c r="B434" t="s">
        <v>2286</v>
      </c>
      <c r="C434" t="s">
        <v>2287</v>
      </c>
    </row>
  </sheetData>
  <mergeCells count="7">
    <mergeCell ref="B5:C5"/>
    <mergeCell ref="G5:N5"/>
    <mergeCell ref="A1:F1"/>
    <mergeCell ref="B2:F2"/>
    <mergeCell ref="H2:L2"/>
    <mergeCell ref="F3:N3"/>
    <mergeCell ref="B4:E4"/>
  </mergeCells>
  <dataValidations count="2">
    <dataValidation type="list" allowBlank="1" showInputMessage="1" showErrorMessage="1" sqref="F10:F63" xr:uid="{63ED91E4-CF62-4010-94C5-FA47005FC23C}">
      <formula1>"EFECTIVO, CHEQUE, TRANSFERENCIA,DEPOSITO"</formula1>
    </dataValidation>
    <dataValidation type="list" allowBlank="1" showInputMessage="1" showErrorMessage="1" sqref="C10:C63" xr:uid="{664AAE71-AA42-4B90-8F03-D5B09B1DFE45}">
      <formula1>"ENERO,FEBRERO,MARZO,ABRIL,MAYO,JUNIO,JULIO,AGOSTO,SEPTIEMBRE,OCTUBRE,NOVIEMBRE,DICIEMBRE"</formula1>
    </dataValidation>
  </dataValidations>
  <hyperlinks>
    <hyperlink ref="B4:E4" r:id="rId1" display="dariovillagaray@hotmail.com" xr:uid="{607B560B-E66D-4889-8859-2FF49F2EA8BC}"/>
  </hyperlinks>
  <pageMargins left="0.7" right="0.7" top="0.75" bottom="0.75" header="0.3" footer="0.3"/>
  <tableParts count="1">
    <tablePart r:id="rId2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7252-C084-48A7-AD14-7AF71931C9D0}">
  <dimension ref="A1:S433"/>
  <sheetViews>
    <sheetView topLeftCell="A15" workbookViewId="0">
      <selection activeCell="N30" sqref="N30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9.140625" customWidth="1"/>
    <col min="12" max="12" width="15.28515625" customWidth="1"/>
    <col min="14" max="14" width="17.5703125" bestFit="1" customWidth="1"/>
  </cols>
  <sheetData>
    <row r="1" spans="1:15" ht="23.25" customHeight="1">
      <c r="A1" s="789" t="s">
        <v>2948</v>
      </c>
      <c r="B1" s="788"/>
      <c r="C1" s="788"/>
      <c r="D1" s="788"/>
      <c r="E1" s="788"/>
      <c r="F1" s="788"/>
    </row>
    <row r="2" spans="1:15" ht="18.75" customHeight="1">
      <c r="A2" s="2" t="s">
        <v>1729</v>
      </c>
      <c r="B2" s="790" t="s">
        <v>2949</v>
      </c>
      <c r="C2" s="790"/>
      <c r="D2" s="790"/>
      <c r="E2" s="790"/>
      <c r="F2" s="790"/>
      <c r="G2" s="256"/>
      <c r="H2" s="693" t="s">
        <v>224</v>
      </c>
      <c r="I2" s="693"/>
      <c r="J2" s="693"/>
      <c r="K2" s="693"/>
      <c r="L2" s="693"/>
    </row>
    <row r="3" spans="1:15" ht="18.75">
      <c r="A3" s="2" t="s">
        <v>1</v>
      </c>
      <c r="B3" s="790">
        <v>10703582856</v>
      </c>
      <c r="C3" s="790"/>
      <c r="D3" s="790"/>
      <c r="E3" s="790"/>
      <c r="F3" s="790"/>
      <c r="G3" s="637"/>
      <c r="H3" s="637"/>
      <c r="I3" s="637"/>
      <c r="J3" s="637"/>
      <c r="K3" s="637"/>
      <c r="L3" s="637"/>
      <c r="M3" s="637"/>
      <c r="N3" s="637"/>
    </row>
    <row r="4" spans="1:15" ht="15" customHeight="1">
      <c r="A4" s="2" t="s">
        <v>2277</v>
      </c>
      <c r="B4" s="798" t="s">
        <v>2950</v>
      </c>
      <c r="C4" s="798"/>
      <c r="D4" s="798"/>
      <c r="E4" s="798"/>
    </row>
    <row r="5" spans="1:15" ht="23.25" customHeight="1">
      <c r="A5" s="257" t="s">
        <v>4</v>
      </c>
      <c r="B5" s="786">
        <v>45877</v>
      </c>
      <c r="C5" s="787"/>
      <c r="F5" s="258"/>
      <c r="G5" s="806" t="s">
        <v>2951</v>
      </c>
      <c r="H5" s="788"/>
      <c r="I5" s="788"/>
      <c r="J5" s="788"/>
      <c r="K5" s="788"/>
      <c r="L5" s="788"/>
      <c r="M5" s="788"/>
      <c r="N5" s="788"/>
    </row>
    <row r="9" spans="1:15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17</v>
      </c>
      <c r="L9" s="259" t="s">
        <v>18</v>
      </c>
      <c r="M9" s="265" t="s">
        <v>99</v>
      </c>
      <c r="N9" s="265" t="s">
        <v>19</v>
      </c>
      <c r="O9" s="260"/>
    </row>
    <row r="10" spans="1:15" ht="30.75">
      <c r="A10" s="266" t="s">
        <v>1182</v>
      </c>
      <c r="B10" s="8">
        <v>180</v>
      </c>
      <c r="C10" s="2" t="s">
        <v>41</v>
      </c>
      <c r="D10" s="153" t="s">
        <v>69</v>
      </c>
      <c r="E10" s="2" t="s">
        <v>23</v>
      </c>
      <c r="F10" s="2" t="s">
        <v>24</v>
      </c>
      <c r="G10" s="2">
        <v>1</v>
      </c>
      <c r="H10" s="9" t="s">
        <v>2952</v>
      </c>
      <c r="I10" s="9"/>
      <c r="J10" s="9" t="s">
        <v>2953</v>
      </c>
      <c r="K10" s="9"/>
      <c r="L10" s="2" t="s">
        <v>2954</v>
      </c>
    </row>
    <row r="11" spans="1:15" ht="30.75">
      <c r="A11" s="7" t="s">
        <v>1615</v>
      </c>
      <c r="B11" s="8">
        <v>180</v>
      </c>
      <c r="C11" t="s">
        <v>44</v>
      </c>
      <c r="D11" t="s">
        <v>70</v>
      </c>
      <c r="E11" s="2" t="s">
        <v>23</v>
      </c>
      <c r="F11" s="2" t="s">
        <v>24</v>
      </c>
      <c r="G11">
        <v>2</v>
      </c>
      <c r="H11" s="76" t="s">
        <v>2955</v>
      </c>
      <c r="I11" s="9"/>
      <c r="J11" s="9" t="s">
        <v>2956</v>
      </c>
      <c r="K11" s="9"/>
      <c r="L11" s="2" t="s">
        <v>26</v>
      </c>
      <c r="M11">
        <v>3</v>
      </c>
    </row>
    <row r="12" spans="1:15" ht="30.75">
      <c r="A12" s="7">
        <v>45104</v>
      </c>
      <c r="B12" s="8">
        <v>180</v>
      </c>
      <c r="C12" t="s">
        <v>57</v>
      </c>
      <c r="D12" s="153">
        <v>45104</v>
      </c>
      <c r="E12" s="2" t="s">
        <v>23</v>
      </c>
      <c r="F12" s="2" t="s">
        <v>24</v>
      </c>
      <c r="G12">
        <v>3</v>
      </c>
      <c r="H12" s="76" t="s">
        <v>2957</v>
      </c>
      <c r="I12" s="9"/>
      <c r="J12" s="9" t="s">
        <v>2958</v>
      </c>
      <c r="K12" s="9"/>
      <c r="L12" s="2" t="s">
        <v>26</v>
      </c>
      <c r="M12">
        <v>6</v>
      </c>
      <c r="N12" s="290" t="s">
        <v>76</v>
      </c>
      <c r="O12" s="290"/>
    </row>
    <row r="13" spans="1:15" ht="30.75">
      <c r="A13" s="153">
        <v>45166</v>
      </c>
      <c r="B13" s="154">
        <v>180</v>
      </c>
      <c r="C13" t="s">
        <v>50</v>
      </c>
      <c r="D13" s="153">
        <v>45166</v>
      </c>
      <c r="E13" s="2" t="s">
        <v>23</v>
      </c>
      <c r="F13" t="s">
        <v>24</v>
      </c>
      <c r="G13">
        <v>4</v>
      </c>
      <c r="H13" s="76" t="s">
        <v>2959</v>
      </c>
      <c r="I13" s="9"/>
      <c r="J13" s="9" t="s">
        <v>2960</v>
      </c>
      <c r="K13" s="9"/>
      <c r="L13" s="2" t="s">
        <v>26</v>
      </c>
      <c r="M13">
        <v>6.2</v>
      </c>
    </row>
    <row r="14" spans="1:15" ht="30.75">
      <c r="A14" s="153">
        <v>45230</v>
      </c>
      <c r="B14" s="154">
        <v>180</v>
      </c>
      <c r="C14" t="s">
        <v>54</v>
      </c>
      <c r="D14" s="153">
        <v>45230</v>
      </c>
      <c r="E14" s="2" t="s">
        <v>23</v>
      </c>
      <c r="F14" t="s">
        <v>28</v>
      </c>
      <c r="G14">
        <v>5</v>
      </c>
      <c r="H14" s="76" t="s">
        <v>2961</v>
      </c>
      <c r="I14" s="9"/>
      <c r="J14" s="9" t="s">
        <v>2962</v>
      </c>
      <c r="K14" s="9" t="s">
        <v>2963</v>
      </c>
      <c r="L14" s="2" t="s">
        <v>26</v>
      </c>
      <c r="M14">
        <v>8</v>
      </c>
    </row>
    <row r="15" spans="1:15" ht="30.75">
      <c r="A15" s="153">
        <v>45289</v>
      </c>
      <c r="B15" s="154">
        <v>190</v>
      </c>
      <c r="C15" t="s">
        <v>30</v>
      </c>
      <c r="D15" s="153">
        <v>45289</v>
      </c>
      <c r="E15" s="2" t="s">
        <v>23</v>
      </c>
      <c r="F15" t="s">
        <v>28</v>
      </c>
      <c r="G15">
        <v>6</v>
      </c>
      <c r="H15" s="76" t="s">
        <v>2964</v>
      </c>
      <c r="I15" s="9"/>
      <c r="J15" s="9" t="s">
        <v>2965</v>
      </c>
      <c r="K15" s="9" t="s">
        <v>2966</v>
      </c>
      <c r="L15" s="2" t="s">
        <v>26</v>
      </c>
      <c r="M15">
        <v>5</v>
      </c>
      <c r="O15" t="s">
        <v>36</v>
      </c>
    </row>
    <row r="16" spans="1:15" ht="30.75">
      <c r="A16" s="7">
        <v>45351</v>
      </c>
      <c r="B16" s="8">
        <v>180</v>
      </c>
      <c r="C16" s="2" t="s">
        <v>34</v>
      </c>
      <c r="D16" s="7">
        <v>45351</v>
      </c>
      <c r="E16" s="2" t="s">
        <v>23</v>
      </c>
      <c r="F16" s="2" t="s">
        <v>24</v>
      </c>
      <c r="G16" s="2">
        <v>7</v>
      </c>
      <c r="H16" s="76" t="s">
        <v>2967</v>
      </c>
      <c r="I16" s="9"/>
      <c r="J16" s="9" t="s">
        <v>2968</v>
      </c>
      <c r="K16" s="9" t="s">
        <v>2969</v>
      </c>
      <c r="L16" s="2" t="s">
        <v>72</v>
      </c>
      <c r="M16">
        <v>6</v>
      </c>
    </row>
    <row r="17" spans="1:19" ht="30.75">
      <c r="A17" s="7">
        <v>45412</v>
      </c>
      <c r="B17" s="8">
        <v>180</v>
      </c>
      <c r="C17" t="s">
        <v>41</v>
      </c>
      <c r="D17" s="153">
        <v>45412</v>
      </c>
      <c r="E17" s="2" t="s">
        <v>23</v>
      </c>
      <c r="F17" s="2" t="s">
        <v>24</v>
      </c>
      <c r="G17">
        <v>8</v>
      </c>
      <c r="H17" s="76" t="s">
        <v>2970</v>
      </c>
      <c r="I17" s="9"/>
      <c r="J17" s="9" t="s">
        <v>2971</v>
      </c>
      <c r="K17" s="9" t="s">
        <v>2972</v>
      </c>
      <c r="L17" t="s">
        <v>72</v>
      </c>
      <c r="M17">
        <v>7.3</v>
      </c>
      <c r="S17" t="s">
        <v>36</v>
      </c>
    </row>
    <row r="18" spans="1:19" ht="30.75">
      <c r="A18" s="153">
        <v>45471</v>
      </c>
      <c r="B18" s="154">
        <v>180</v>
      </c>
      <c r="C18" t="s">
        <v>57</v>
      </c>
      <c r="D18" s="153">
        <v>45471</v>
      </c>
      <c r="E18" s="2" t="s">
        <v>23</v>
      </c>
      <c r="F18" t="s">
        <v>24</v>
      </c>
      <c r="G18">
        <v>9</v>
      </c>
      <c r="H18" s="76" t="s">
        <v>2973</v>
      </c>
      <c r="I18" s="9"/>
      <c r="J18" s="9" t="s">
        <v>2974</v>
      </c>
      <c r="K18" s="9" t="s">
        <v>2975</v>
      </c>
      <c r="L18" t="s">
        <v>72</v>
      </c>
      <c r="M18">
        <v>8.1999999999999993</v>
      </c>
    </row>
    <row r="19" spans="1:19" ht="30.75">
      <c r="A19" s="153">
        <v>45533</v>
      </c>
      <c r="B19" s="154">
        <v>180</v>
      </c>
      <c r="C19" t="s">
        <v>50</v>
      </c>
      <c r="D19" s="153">
        <v>45533</v>
      </c>
      <c r="E19" s="2" t="s">
        <v>23</v>
      </c>
      <c r="F19" t="s">
        <v>28</v>
      </c>
      <c r="G19">
        <v>10</v>
      </c>
      <c r="H19" s="76" t="s">
        <v>2976</v>
      </c>
      <c r="I19" s="9"/>
      <c r="J19" s="9" t="s">
        <v>1219</v>
      </c>
      <c r="K19" s="9" t="s">
        <v>2977</v>
      </c>
      <c r="L19" t="s">
        <v>26</v>
      </c>
      <c r="M19">
        <v>8.1999999999999993</v>
      </c>
    </row>
    <row r="20" spans="1:19" ht="30.75">
      <c r="A20" s="153">
        <v>45596</v>
      </c>
      <c r="B20" s="154">
        <v>180</v>
      </c>
      <c r="C20" t="s">
        <v>54</v>
      </c>
      <c r="D20" s="153">
        <v>45596</v>
      </c>
      <c r="E20" s="2" t="s">
        <v>23</v>
      </c>
      <c r="F20" t="s">
        <v>28</v>
      </c>
      <c r="G20">
        <v>11</v>
      </c>
      <c r="H20" s="76" t="s">
        <v>2978</v>
      </c>
      <c r="I20" s="9"/>
      <c r="J20" s="9" t="s">
        <v>2979</v>
      </c>
      <c r="K20" s="9" t="s">
        <v>2980</v>
      </c>
      <c r="L20" t="s">
        <v>26</v>
      </c>
      <c r="M20">
        <v>7.5</v>
      </c>
    </row>
    <row r="21" spans="1:19" ht="30.75">
      <c r="A21" s="153">
        <v>45654</v>
      </c>
      <c r="B21" s="154">
        <v>180</v>
      </c>
      <c r="C21" t="s">
        <v>30</v>
      </c>
      <c r="D21" s="153">
        <v>45654</v>
      </c>
      <c r="E21" s="2" t="s">
        <v>23</v>
      </c>
      <c r="F21" s="2" t="s">
        <v>24</v>
      </c>
      <c r="H21" s="76"/>
      <c r="I21" s="9"/>
      <c r="J21" s="9" t="s">
        <v>2981</v>
      </c>
      <c r="K21" s="9" t="s">
        <v>2982</v>
      </c>
      <c r="L21" t="s">
        <v>72</v>
      </c>
      <c r="M21">
        <v>6.3</v>
      </c>
    </row>
    <row r="22" spans="1:19" ht="30.75">
      <c r="A22" s="153">
        <v>45716</v>
      </c>
      <c r="B22" s="154">
        <v>180</v>
      </c>
      <c r="C22" t="s">
        <v>34</v>
      </c>
      <c r="D22" s="153">
        <v>45716</v>
      </c>
      <c r="E22" s="2" t="s">
        <v>23</v>
      </c>
      <c r="F22" t="s">
        <v>28</v>
      </c>
      <c r="H22" s="76" t="s">
        <v>2983</v>
      </c>
      <c r="I22" s="9"/>
      <c r="J22" s="9" t="s">
        <v>2984</v>
      </c>
      <c r="K22" s="9"/>
      <c r="L22" t="s">
        <v>26</v>
      </c>
      <c r="M22">
        <v>4.5</v>
      </c>
    </row>
    <row r="23" spans="1:19" ht="30.75">
      <c r="A23" s="153">
        <v>45776</v>
      </c>
      <c r="B23" s="154">
        <v>180</v>
      </c>
      <c r="C23" t="s">
        <v>41</v>
      </c>
      <c r="D23" s="175">
        <v>45776</v>
      </c>
      <c r="E23" s="2" t="s">
        <v>23</v>
      </c>
      <c r="F23" t="s">
        <v>28</v>
      </c>
      <c r="H23" s="76" t="s">
        <v>2985</v>
      </c>
      <c r="I23" s="9"/>
      <c r="J23" s="9" t="s">
        <v>2986</v>
      </c>
      <c r="K23" s="9"/>
      <c r="L23" t="s">
        <v>26</v>
      </c>
      <c r="M23">
        <v>7.2</v>
      </c>
    </row>
    <row r="24" spans="1:19" ht="30.75">
      <c r="A24" s="153">
        <v>45836</v>
      </c>
      <c r="B24" s="154">
        <v>180</v>
      </c>
      <c r="C24" t="s">
        <v>57</v>
      </c>
      <c r="D24" s="153">
        <v>45836</v>
      </c>
      <c r="E24" s="2" t="s">
        <v>23</v>
      </c>
      <c r="F24" t="s">
        <v>28</v>
      </c>
      <c r="H24" s="76" t="s">
        <v>2987</v>
      </c>
      <c r="I24" s="9"/>
      <c r="J24" s="9" t="s">
        <v>2988</v>
      </c>
      <c r="K24" s="9"/>
      <c r="L24" t="s">
        <v>26</v>
      </c>
      <c r="M24">
        <v>8.5</v>
      </c>
    </row>
    <row r="25" spans="1:19" ht="30.75">
      <c r="A25" s="153">
        <v>45897</v>
      </c>
      <c r="B25" s="154">
        <v>180</v>
      </c>
      <c r="C25" t="s">
        <v>50</v>
      </c>
      <c r="D25" s="153">
        <v>45897</v>
      </c>
      <c r="E25" s="2" t="s">
        <v>23</v>
      </c>
      <c r="F25" t="s">
        <v>28</v>
      </c>
      <c r="H25" s="76">
        <v>37255</v>
      </c>
      <c r="I25" s="101" t="s">
        <v>2989</v>
      </c>
      <c r="J25" s="9" t="s">
        <v>2990</v>
      </c>
      <c r="K25" s="9"/>
      <c r="L25" t="s">
        <v>26</v>
      </c>
      <c r="M25">
        <v>5.4</v>
      </c>
      <c r="N25" s="290" t="s">
        <v>76</v>
      </c>
    </row>
    <row r="26" spans="1:19" ht="30.75">
      <c r="A26" s="153">
        <v>45960</v>
      </c>
      <c r="B26" s="154">
        <v>204.5</v>
      </c>
      <c r="C26" t="s">
        <v>54</v>
      </c>
      <c r="D26" s="153">
        <v>45960</v>
      </c>
      <c r="E26" s="2" t="s">
        <v>23</v>
      </c>
      <c r="F26" t="s">
        <v>28</v>
      </c>
      <c r="H26" s="76" t="s">
        <v>2991</v>
      </c>
      <c r="I26" s="9"/>
      <c r="J26">
        <v>53314</v>
      </c>
      <c r="L26" t="s">
        <v>26</v>
      </c>
      <c r="M26">
        <v>17</v>
      </c>
    </row>
    <row r="27" spans="1:19" ht="30.75">
      <c r="A27" s="153">
        <v>46018</v>
      </c>
      <c r="B27" s="154">
        <v>180</v>
      </c>
      <c r="C27" t="s">
        <v>30</v>
      </c>
      <c r="D27" s="153">
        <v>46018</v>
      </c>
      <c r="E27" s="2" t="s">
        <v>23</v>
      </c>
      <c r="F27" t="s">
        <v>28</v>
      </c>
      <c r="H27" s="76" t="s">
        <v>2992</v>
      </c>
      <c r="I27" s="9"/>
      <c r="J27">
        <v>55632</v>
      </c>
      <c r="L27" t="s">
        <v>26</v>
      </c>
      <c r="M27">
        <v>4.5</v>
      </c>
    </row>
    <row r="28" spans="1:19" ht="30.75">
      <c r="A28" s="153">
        <v>46081</v>
      </c>
      <c r="B28" s="154">
        <v>180</v>
      </c>
      <c r="C28" t="s">
        <v>34</v>
      </c>
      <c r="D28" s="153">
        <v>46081</v>
      </c>
      <c r="E28" s="2" t="s">
        <v>23</v>
      </c>
      <c r="F28" s="2" t="s">
        <v>24</v>
      </c>
      <c r="H28" s="76" t="s">
        <v>2993</v>
      </c>
      <c r="I28" s="9"/>
      <c r="J28">
        <v>58367</v>
      </c>
      <c r="L28" t="s">
        <v>72</v>
      </c>
      <c r="M28">
        <v>5.0999999999999996</v>
      </c>
    </row>
    <row r="29" spans="1:19" ht="30.75">
      <c r="A29" s="153">
        <v>46142</v>
      </c>
      <c r="B29" s="154">
        <v>180</v>
      </c>
      <c r="C29" t="s">
        <v>41</v>
      </c>
      <c r="D29" s="153">
        <v>46142</v>
      </c>
      <c r="E29" s="2" t="s">
        <v>23</v>
      </c>
      <c r="F29" t="s">
        <v>28</v>
      </c>
      <c r="H29" s="76" t="s">
        <v>2994</v>
      </c>
      <c r="I29" s="9"/>
      <c r="J29">
        <v>60965</v>
      </c>
      <c r="L29" t="s">
        <v>26</v>
      </c>
      <c r="M29">
        <v>3.36</v>
      </c>
    </row>
    <row r="30" spans="1:19" ht="30.75">
      <c r="E30" s="2" t="s">
        <v>23</v>
      </c>
      <c r="H30" s="76"/>
      <c r="I30" s="9"/>
    </row>
    <row r="31" spans="1:19" ht="30.75">
      <c r="A31" s="526"/>
      <c r="B31" s="526"/>
      <c r="C31" s="526"/>
      <c r="D31" s="526"/>
      <c r="E31" s="2" t="s">
        <v>23</v>
      </c>
      <c r="F31" s="526"/>
      <c r="G31" s="526"/>
      <c r="H31" s="527"/>
      <c r="I31" s="526"/>
      <c r="J31" s="526"/>
      <c r="L31" s="526"/>
      <c r="M31" s="526"/>
      <c r="N31" s="526"/>
    </row>
    <row r="32" spans="1:19" ht="30.75">
      <c r="A32" s="526"/>
      <c r="B32" s="526"/>
      <c r="C32" s="526"/>
      <c r="D32" s="526"/>
      <c r="E32" s="2" t="s">
        <v>23</v>
      </c>
      <c r="F32" s="526"/>
      <c r="G32" s="526"/>
      <c r="H32" s="527"/>
      <c r="I32" s="526"/>
      <c r="J32" s="526"/>
      <c r="L32" s="526"/>
      <c r="M32" s="526"/>
      <c r="N32" s="526"/>
    </row>
    <row r="33" spans="1:14" ht="30.75">
      <c r="A33" s="526"/>
      <c r="B33" s="526"/>
      <c r="C33" s="526"/>
      <c r="D33" s="526"/>
      <c r="E33" s="2" t="s">
        <v>23</v>
      </c>
      <c r="F33" s="526"/>
      <c r="G33" s="526"/>
      <c r="H33" s="527"/>
      <c r="I33" s="526"/>
      <c r="J33" s="526"/>
      <c r="L33" s="526"/>
      <c r="M33" s="526"/>
      <c r="N33" s="526"/>
    </row>
    <row r="34" spans="1:14" ht="30.75">
      <c r="A34" s="526"/>
      <c r="B34" s="526"/>
      <c r="C34" s="526"/>
      <c r="D34" s="526"/>
      <c r="E34" s="2" t="s">
        <v>23</v>
      </c>
      <c r="F34" s="526"/>
      <c r="G34" s="526"/>
      <c r="H34" s="527"/>
      <c r="I34" s="526"/>
      <c r="J34" s="526"/>
      <c r="L34" s="526"/>
      <c r="M34" s="526"/>
      <c r="N34" s="526"/>
    </row>
    <row r="35" spans="1:14" ht="30.75">
      <c r="A35" s="526"/>
      <c r="B35" s="526"/>
      <c r="C35" s="526"/>
      <c r="D35" s="526"/>
      <c r="E35" s="2" t="s">
        <v>23</v>
      </c>
      <c r="F35" s="526"/>
      <c r="G35" s="526"/>
      <c r="H35" s="527"/>
      <c r="I35" s="526"/>
      <c r="J35" s="526"/>
      <c r="L35" s="526"/>
      <c r="M35" s="526"/>
      <c r="N35" s="526"/>
    </row>
    <row r="36" spans="1:14" ht="30.75">
      <c r="A36" s="526"/>
      <c r="B36" s="526"/>
      <c r="C36" s="526"/>
      <c r="D36" s="526"/>
      <c r="E36" s="2" t="s">
        <v>23</v>
      </c>
      <c r="F36" s="526"/>
      <c r="G36" s="526"/>
      <c r="H36" s="527"/>
      <c r="I36" s="526"/>
      <c r="J36" s="526"/>
      <c r="L36" s="526"/>
      <c r="M36" s="526"/>
      <c r="N36" s="526"/>
    </row>
    <row r="37" spans="1:14" ht="30.75">
      <c r="A37" s="526"/>
      <c r="B37" s="526"/>
      <c r="C37" s="526"/>
      <c r="D37" s="526"/>
      <c r="E37" s="2" t="s">
        <v>23</v>
      </c>
      <c r="F37" s="526"/>
      <c r="G37" s="526"/>
      <c r="H37" s="527"/>
      <c r="I37" s="526"/>
      <c r="J37" s="526"/>
      <c r="L37" s="526"/>
      <c r="M37" s="526"/>
      <c r="N37" s="526"/>
    </row>
    <row r="38" spans="1:14" ht="30.75">
      <c r="A38" s="526"/>
      <c r="B38" s="526"/>
      <c r="C38" s="526"/>
      <c r="D38" s="526"/>
      <c r="E38" s="2" t="s">
        <v>23</v>
      </c>
      <c r="F38" s="526"/>
      <c r="G38" s="526"/>
      <c r="H38" s="527"/>
      <c r="I38" s="526"/>
      <c r="J38" s="526"/>
      <c r="L38" s="526"/>
      <c r="M38" s="526"/>
      <c r="N38" s="526"/>
    </row>
    <row r="39" spans="1:14" ht="30.75">
      <c r="A39" s="526"/>
      <c r="B39" s="526"/>
      <c r="C39" s="526"/>
      <c r="D39" s="526"/>
      <c r="E39" s="2" t="s">
        <v>23</v>
      </c>
      <c r="F39" s="526"/>
      <c r="G39" s="526"/>
      <c r="H39" s="527"/>
      <c r="I39" s="526"/>
      <c r="J39" s="526"/>
      <c r="L39" s="526"/>
      <c r="M39" s="526"/>
      <c r="N39" s="526"/>
    </row>
    <row r="433" spans="2:3">
      <c r="B433" t="s">
        <v>2286</v>
      </c>
      <c r="C433" t="s">
        <v>2287</v>
      </c>
    </row>
  </sheetData>
  <mergeCells count="7">
    <mergeCell ref="A1:F1"/>
    <mergeCell ref="B2:F2"/>
    <mergeCell ref="H2:L2"/>
    <mergeCell ref="B4:E4"/>
    <mergeCell ref="B5:C5"/>
    <mergeCell ref="G5:N5"/>
    <mergeCell ref="B3:F3"/>
  </mergeCells>
  <dataValidations count="2">
    <dataValidation type="list" allowBlank="1" showInputMessage="1" showErrorMessage="1" sqref="C10:C39" xr:uid="{47F46CEC-863F-4499-86CE-79D6AE87349A}">
      <formula1>"ENERO,FEBRERO,MARZO,ABRIL,MAYO,JUNIO,JULIO,AGOSTO,SEPTIEMBRE,OCTUBRE,NOVIEMBRE,DICIEMBRE"</formula1>
    </dataValidation>
    <dataValidation type="list" allowBlank="1" showInputMessage="1" showErrorMessage="1" sqref="F10:F39" xr:uid="{C45CC4FE-A064-4CE2-91AF-DDD2EA5B2647}">
      <formula1>"EFECTIVO, CHEQUE, TRANSFERENCIA,DEPOSITO"</formula1>
    </dataValidation>
  </dataValidations>
  <hyperlinks>
    <hyperlink ref="B4:E4" r:id="rId1" display="zodontocentro@gmail.com" xr:uid="{7542F015-7DA8-4AD6-8DDC-9EE8997690AB}"/>
  </hyperlinks>
  <pageMargins left="0.7" right="0.7" top="0.75" bottom="0.75" header="0.3" footer="0.3"/>
  <tableParts count="1">
    <tablePart r:id="rId2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AC45-5656-4E37-896F-52517BD22F7A}">
  <dimension ref="A1:S433"/>
  <sheetViews>
    <sheetView topLeftCell="A38" workbookViewId="0">
      <selection activeCell="Q48" sqref="Q48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9.140625" customWidth="1"/>
    <col min="12" max="12" width="15.28515625" customWidth="1"/>
    <col min="16" max="16" width="12.85546875" bestFit="1" customWidth="1"/>
  </cols>
  <sheetData>
    <row r="1" spans="1:15" ht="33" customHeight="1">
      <c r="A1" s="807" t="s">
        <v>2995</v>
      </c>
      <c r="B1" s="808"/>
      <c r="C1" s="808"/>
      <c r="D1" s="808"/>
      <c r="E1" s="808"/>
      <c r="F1" s="808"/>
    </row>
    <row r="2" spans="1:15" ht="18.75" customHeight="1">
      <c r="A2" s="2" t="s">
        <v>1729</v>
      </c>
      <c r="B2" s="790" t="s">
        <v>2996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  <c r="L2" s="793"/>
    </row>
    <row r="3" spans="1:15" ht="15.75">
      <c r="A3" s="2" t="s">
        <v>1</v>
      </c>
      <c r="B3" s="2">
        <v>10446544522</v>
      </c>
      <c r="F3" s="755" t="s">
        <v>224</v>
      </c>
      <c r="G3" s="755"/>
      <c r="H3" s="755"/>
      <c r="I3" s="755"/>
      <c r="J3" s="755"/>
      <c r="K3" s="755"/>
      <c r="L3" s="755"/>
      <c r="M3" s="755"/>
      <c r="N3" s="755"/>
    </row>
    <row r="4" spans="1:15" ht="15" customHeight="1">
      <c r="A4" s="2" t="s">
        <v>2277</v>
      </c>
      <c r="B4" s="796" t="s">
        <v>2997</v>
      </c>
      <c r="C4" s="796"/>
      <c r="D4" s="796"/>
      <c r="E4" s="796"/>
    </row>
    <row r="5" spans="1:15" ht="23.25" customHeight="1">
      <c r="A5" s="257" t="s">
        <v>4</v>
      </c>
      <c r="B5" s="786">
        <v>45265</v>
      </c>
      <c r="C5" s="787"/>
      <c r="D5" s="153">
        <v>45265</v>
      </c>
      <c r="F5" s="258"/>
      <c r="G5" s="788" t="s">
        <v>2998</v>
      </c>
      <c r="H5" s="788"/>
      <c r="I5" s="788"/>
      <c r="J5" s="788"/>
      <c r="K5" s="788"/>
      <c r="L5" s="788"/>
      <c r="M5" s="788"/>
      <c r="N5" s="788"/>
    </row>
    <row r="9" spans="1:15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19</v>
      </c>
      <c r="L9" s="259" t="s">
        <v>2489</v>
      </c>
      <c r="M9" s="265" t="s">
        <v>99</v>
      </c>
      <c r="N9" s="260"/>
      <c r="O9" s="260"/>
    </row>
    <row r="10" spans="1:15" ht="30.75">
      <c r="A10" s="266" t="s">
        <v>2999</v>
      </c>
      <c r="B10" s="8">
        <v>80</v>
      </c>
      <c r="C10" s="2" t="s">
        <v>44</v>
      </c>
      <c r="D10" s="153" t="s">
        <v>3000</v>
      </c>
      <c r="E10" s="2" t="s">
        <v>23</v>
      </c>
      <c r="F10" s="2" t="s">
        <v>24</v>
      </c>
      <c r="G10" s="2">
        <v>1</v>
      </c>
      <c r="H10" s="9" t="s">
        <v>3001</v>
      </c>
      <c r="I10" s="9"/>
      <c r="J10" s="9" t="s">
        <v>3002</v>
      </c>
      <c r="K10" s="9"/>
      <c r="L10" s="2" t="s">
        <v>72</v>
      </c>
      <c r="M10">
        <v>10</v>
      </c>
    </row>
    <row r="11" spans="1:15" ht="30.75">
      <c r="A11" s="7">
        <v>45104</v>
      </c>
      <c r="B11" s="8">
        <v>80</v>
      </c>
      <c r="C11" t="s">
        <v>57</v>
      </c>
      <c r="D11" s="153">
        <v>45104</v>
      </c>
      <c r="E11" s="2" t="s">
        <v>23</v>
      </c>
      <c r="F11" s="2" t="s">
        <v>28</v>
      </c>
      <c r="G11">
        <v>2</v>
      </c>
      <c r="H11" s="76" t="s">
        <v>1297</v>
      </c>
      <c r="I11" s="9"/>
      <c r="J11" s="9" t="s">
        <v>3003</v>
      </c>
      <c r="K11" s="9"/>
      <c r="L11" s="2" t="s">
        <v>26</v>
      </c>
      <c r="M11">
        <v>2</v>
      </c>
    </row>
    <row r="12" spans="1:15" ht="30.75">
      <c r="A12" s="7">
        <v>45162</v>
      </c>
      <c r="B12" s="8">
        <v>80</v>
      </c>
      <c r="C12" t="s">
        <v>47</v>
      </c>
      <c r="D12" s="153">
        <v>45134</v>
      </c>
      <c r="E12" s="2" t="s">
        <v>23</v>
      </c>
      <c r="F12" s="2" t="s">
        <v>24</v>
      </c>
      <c r="G12">
        <v>3</v>
      </c>
      <c r="H12" s="76" t="s">
        <v>3004</v>
      </c>
      <c r="I12" s="9"/>
      <c r="J12" s="9" t="s">
        <v>3005</v>
      </c>
      <c r="K12" s="9"/>
      <c r="L12" s="2" t="s">
        <v>26</v>
      </c>
      <c r="M12">
        <v>2</v>
      </c>
    </row>
    <row r="13" spans="1:15" ht="30.75">
      <c r="A13" s="153">
        <v>45162</v>
      </c>
      <c r="B13" s="154">
        <v>80</v>
      </c>
      <c r="C13" t="s">
        <v>50</v>
      </c>
      <c r="D13" s="153">
        <v>45166</v>
      </c>
      <c r="E13" s="2" t="s">
        <v>23</v>
      </c>
      <c r="F13" t="s">
        <v>24</v>
      </c>
      <c r="G13">
        <v>4</v>
      </c>
      <c r="H13" s="76" t="s">
        <v>3006</v>
      </c>
      <c r="I13" s="9"/>
      <c r="J13" s="9" t="s">
        <v>3007</v>
      </c>
      <c r="K13" s="9"/>
      <c r="L13" s="2" t="s">
        <v>26</v>
      </c>
      <c r="M13">
        <v>2.2000000000000002</v>
      </c>
    </row>
    <row r="14" spans="1:15" ht="30.75">
      <c r="A14" s="153">
        <v>45198</v>
      </c>
      <c r="B14" s="154">
        <v>80</v>
      </c>
      <c r="C14" t="s">
        <v>22</v>
      </c>
      <c r="D14" s="153">
        <v>45198</v>
      </c>
      <c r="E14" s="2" t="s">
        <v>23</v>
      </c>
      <c r="F14" t="s">
        <v>24</v>
      </c>
      <c r="G14">
        <v>5</v>
      </c>
      <c r="H14" s="76" t="s">
        <v>3008</v>
      </c>
      <c r="I14" s="9"/>
      <c r="J14" s="9" t="s">
        <v>3009</v>
      </c>
      <c r="K14" s="9"/>
      <c r="L14" s="2" t="s">
        <v>26</v>
      </c>
      <c r="M14">
        <v>2.2000000000000002</v>
      </c>
    </row>
    <row r="15" spans="1:15" ht="30.75">
      <c r="A15" s="153">
        <v>45230</v>
      </c>
      <c r="B15" s="154">
        <v>80</v>
      </c>
      <c r="C15" t="s">
        <v>54</v>
      </c>
      <c r="D15" s="153">
        <v>45230</v>
      </c>
      <c r="E15" s="2" t="s">
        <v>23</v>
      </c>
      <c r="F15" t="s">
        <v>28</v>
      </c>
      <c r="G15">
        <v>6</v>
      </c>
      <c r="H15" s="76" t="s">
        <v>3010</v>
      </c>
      <c r="I15" s="9"/>
      <c r="J15" s="9" t="s">
        <v>3011</v>
      </c>
      <c r="K15" s="9" t="s">
        <v>3012</v>
      </c>
      <c r="L15" s="2" t="s">
        <v>26</v>
      </c>
      <c r="M15">
        <v>1.2</v>
      </c>
      <c r="O15" t="s">
        <v>36</v>
      </c>
    </row>
    <row r="16" spans="1:15" ht="30.75">
      <c r="A16" s="7">
        <v>45286</v>
      </c>
      <c r="B16" s="8">
        <v>80</v>
      </c>
      <c r="C16" s="2" t="s">
        <v>27</v>
      </c>
      <c r="D16" s="7">
        <v>45260</v>
      </c>
      <c r="E16" s="2" t="s">
        <v>23</v>
      </c>
      <c r="F16" s="2" t="s">
        <v>24</v>
      </c>
      <c r="G16" s="2">
        <v>7</v>
      </c>
      <c r="H16" s="76" t="s">
        <v>3013</v>
      </c>
      <c r="I16" s="9"/>
      <c r="J16" s="9" t="s">
        <v>3014</v>
      </c>
      <c r="K16" s="9" t="s">
        <v>3015</v>
      </c>
      <c r="L16" s="2" t="s">
        <v>26</v>
      </c>
      <c r="M16">
        <v>1</v>
      </c>
    </row>
    <row r="17" spans="1:19" ht="30.75">
      <c r="A17" s="7">
        <v>45286</v>
      </c>
      <c r="B17" s="8">
        <v>90</v>
      </c>
      <c r="C17" t="s">
        <v>30</v>
      </c>
      <c r="D17" s="153">
        <v>45289</v>
      </c>
      <c r="E17" s="2" t="s">
        <v>23</v>
      </c>
      <c r="F17" s="2" t="s">
        <v>24</v>
      </c>
      <c r="G17">
        <v>8</v>
      </c>
      <c r="H17" s="76" t="s">
        <v>3016</v>
      </c>
      <c r="I17" s="9"/>
      <c r="J17" s="9" t="s">
        <v>3017</v>
      </c>
      <c r="K17" s="9" t="s">
        <v>3018</v>
      </c>
      <c r="L17" t="s">
        <v>26</v>
      </c>
      <c r="M17">
        <v>2.2000000000000002</v>
      </c>
      <c r="S17" t="s">
        <v>36</v>
      </c>
    </row>
    <row r="18" spans="1:19" ht="30.75">
      <c r="A18" s="153">
        <v>44957</v>
      </c>
      <c r="B18" s="154">
        <v>80</v>
      </c>
      <c r="C18" t="s">
        <v>32</v>
      </c>
      <c r="D18" s="153">
        <v>45322</v>
      </c>
      <c r="E18" s="2" t="s">
        <v>23</v>
      </c>
      <c r="F18" t="s">
        <v>24</v>
      </c>
      <c r="G18">
        <v>9</v>
      </c>
      <c r="H18" s="76" t="s">
        <v>3019</v>
      </c>
      <c r="I18" s="9"/>
      <c r="J18" s="9" t="s">
        <v>3020</v>
      </c>
      <c r="K18" s="9" t="s">
        <v>3021</v>
      </c>
      <c r="L18" t="s">
        <v>26</v>
      </c>
      <c r="M18">
        <v>1.2</v>
      </c>
    </row>
    <row r="19" spans="1:19" ht="30.75">
      <c r="A19" s="153">
        <v>45362</v>
      </c>
      <c r="B19" s="154">
        <v>80</v>
      </c>
      <c r="C19" t="s">
        <v>34</v>
      </c>
      <c r="D19" s="153">
        <v>45351</v>
      </c>
      <c r="E19" s="2" t="s">
        <v>23</v>
      </c>
      <c r="F19" t="s">
        <v>24</v>
      </c>
      <c r="G19">
        <v>10</v>
      </c>
      <c r="H19" s="76" t="s">
        <v>3022</v>
      </c>
      <c r="I19" s="9"/>
      <c r="J19" s="9" t="s">
        <v>3023</v>
      </c>
      <c r="K19" s="9" t="s">
        <v>3024</v>
      </c>
      <c r="L19" t="s">
        <v>26</v>
      </c>
      <c r="M19">
        <v>2.2000000000000002</v>
      </c>
    </row>
    <row r="20" spans="1:19" ht="30.75">
      <c r="A20" s="153">
        <v>45383</v>
      </c>
      <c r="B20" s="154">
        <v>80</v>
      </c>
      <c r="C20" t="s">
        <v>38</v>
      </c>
      <c r="D20" s="153">
        <v>45377</v>
      </c>
      <c r="E20" s="2" t="s">
        <v>23</v>
      </c>
      <c r="F20" t="s">
        <v>24</v>
      </c>
      <c r="G20">
        <v>11</v>
      </c>
      <c r="H20" s="76" t="s">
        <v>3025</v>
      </c>
      <c r="I20" s="9"/>
      <c r="J20" s="9" t="s">
        <v>3026</v>
      </c>
      <c r="K20" s="9" t="s">
        <v>3027</v>
      </c>
      <c r="L20" t="s">
        <v>26</v>
      </c>
      <c r="M20">
        <v>2.2000000000000002</v>
      </c>
    </row>
    <row r="21" spans="1:19" ht="30.75">
      <c r="A21" s="153">
        <v>45410</v>
      </c>
      <c r="B21" s="154">
        <v>80</v>
      </c>
      <c r="C21" t="s">
        <v>41</v>
      </c>
      <c r="D21" s="153">
        <v>45412</v>
      </c>
      <c r="E21" s="2" t="s">
        <v>23</v>
      </c>
      <c r="F21" t="s">
        <v>24</v>
      </c>
      <c r="G21">
        <v>12</v>
      </c>
      <c r="H21" s="76" t="s">
        <v>3028</v>
      </c>
      <c r="I21" s="9"/>
      <c r="J21" s="9" t="s">
        <v>3029</v>
      </c>
      <c r="K21" s="9" t="s">
        <v>3030</v>
      </c>
      <c r="L21" t="s">
        <v>26</v>
      </c>
      <c r="M21">
        <v>1.8</v>
      </c>
    </row>
    <row r="22" spans="1:19" ht="30.75">
      <c r="A22" s="153">
        <v>45429</v>
      </c>
      <c r="B22" s="154">
        <v>80</v>
      </c>
      <c r="C22" t="s">
        <v>44</v>
      </c>
      <c r="D22" s="153">
        <v>45443</v>
      </c>
      <c r="E22" s="2" t="s">
        <v>23</v>
      </c>
      <c r="F22" t="s">
        <v>24</v>
      </c>
      <c r="G22">
        <v>13</v>
      </c>
      <c r="H22" s="76" t="s">
        <v>3031</v>
      </c>
      <c r="I22" s="9"/>
      <c r="J22" s="9" t="s">
        <v>3032</v>
      </c>
      <c r="K22" s="9" t="s">
        <v>3033</v>
      </c>
      <c r="L22" t="s">
        <v>26</v>
      </c>
      <c r="M22">
        <v>1.8</v>
      </c>
    </row>
    <row r="23" spans="1:19" ht="30.75">
      <c r="A23" s="153">
        <v>45471</v>
      </c>
      <c r="B23" s="154">
        <v>80</v>
      </c>
      <c r="C23" t="s">
        <v>57</v>
      </c>
      <c r="D23" s="153">
        <v>45471</v>
      </c>
      <c r="E23" s="2" t="s">
        <v>23</v>
      </c>
      <c r="F23" t="s">
        <v>24</v>
      </c>
      <c r="G23">
        <v>14</v>
      </c>
      <c r="H23" s="76" t="s">
        <v>3034</v>
      </c>
      <c r="I23" s="9"/>
      <c r="J23" s="9" t="s">
        <v>3035</v>
      </c>
      <c r="K23" s="9" t="s">
        <v>3036</v>
      </c>
      <c r="L23" t="s">
        <v>26</v>
      </c>
      <c r="M23">
        <v>1.8</v>
      </c>
    </row>
    <row r="24" spans="1:19" ht="30.75">
      <c r="A24" s="153">
        <v>45519</v>
      </c>
      <c r="B24" s="154">
        <v>80</v>
      </c>
      <c r="C24" t="s">
        <v>47</v>
      </c>
      <c r="D24" s="153">
        <v>45504</v>
      </c>
      <c r="E24" s="2" t="s">
        <v>23</v>
      </c>
      <c r="F24" t="s">
        <v>24</v>
      </c>
      <c r="G24">
        <v>15</v>
      </c>
      <c r="H24" s="76" t="s">
        <v>3037</v>
      </c>
      <c r="I24" s="9"/>
      <c r="J24" s="9" t="s">
        <v>3038</v>
      </c>
      <c r="K24" s="9" t="s">
        <v>3039</v>
      </c>
      <c r="L24" t="s">
        <v>72</v>
      </c>
      <c r="M24">
        <v>2.2000000000000002</v>
      </c>
    </row>
    <row r="25" spans="1:19" ht="30.75">
      <c r="A25" s="153">
        <v>45535</v>
      </c>
      <c r="B25" s="154">
        <v>80</v>
      </c>
      <c r="C25" t="s">
        <v>50</v>
      </c>
      <c r="D25" s="153">
        <v>45535</v>
      </c>
      <c r="E25" s="2" t="s">
        <v>23</v>
      </c>
      <c r="F25" t="s">
        <v>24</v>
      </c>
      <c r="G25">
        <v>16</v>
      </c>
      <c r="H25" s="76" t="s">
        <v>3040</v>
      </c>
      <c r="I25" s="9"/>
      <c r="J25" s="9" t="s">
        <v>3041</v>
      </c>
      <c r="K25" s="9" t="s">
        <v>3042</v>
      </c>
      <c r="L25" t="s">
        <v>72</v>
      </c>
      <c r="M25">
        <v>2.2000000000000002</v>
      </c>
    </row>
    <row r="26" spans="1:19" ht="30.75">
      <c r="A26" s="153">
        <v>45563</v>
      </c>
      <c r="B26" s="154">
        <v>80</v>
      </c>
      <c r="C26" t="s">
        <v>22</v>
      </c>
      <c r="D26" s="153">
        <v>45563</v>
      </c>
      <c r="E26" s="2" t="s">
        <v>23</v>
      </c>
      <c r="F26" t="s">
        <v>28</v>
      </c>
      <c r="G26">
        <v>17</v>
      </c>
      <c r="H26" s="76" t="s">
        <v>1188</v>
      </c>
      <c r="I26" s="9"/>
      <c r="J26">
        <v>40220</v>
      </c>
      <c r="K26">
        <v>42412</v>
      </c>
      <c r="L26" t="s">
        <v>26</v>
      </c>
      <c r="M26">
        <v>4</v>
      </c>
    </row>
    <row r="27" spans="1:19" ht="30.75">
      <c r="A27" s="153">
        <v>45596</v>
      </c>
      <c r="B27" s="154">
        <v>80</v>
      </c>
      <c r="C27" t="s">
        <v>54</v>
      </c>
      <c r="D27" s="153">
        <v>45596</v>
      </c>
      <c r="E27" s="2" t="s">
        <v>23</v>
      </c>
      <c r="F27" t="s">
        <v>24</v>
      </c>
      <c r="G27">
        <v>18</v>
      </c>
      <c r="H27" s="76" t="s">
        <v>3043</v>
      </c>
      <c r="I27" s="9"/>
      <c r="J27">
        <v>41313</v>
      </c>
      <c r="K27">
        <v>43454</v>
      </c>
      <c r="L27" t="s">
        <v>192</v>
      </c>
      <c r="M27">
        <v>5.4</v>
      </c>
    </row>
    <row r="28" spans="1:19" ht="30.75">
      <c r="A28" s="153">
        <v>45624</v>
      </c>
      <c r="B28">
        <v>80</v>
      </c>
      <c r="C28" t="s">
        <v>27</v>
      </c>
      <c r="D28" s="153">
        <v>45625</v>
      </c>
      <c r="E28" s="2" t="s">
        <v>23</v>
      </c>
      <c r="F28" t="s">
        <v>24</v>
      </c>
      <c r="G28">
        <v>19</v>
      </c>
      <c r="H28" s="76" t="s">
        <v>3044</v>
      </c>
      <c r="I28" s="9"/>
      <c r="J28">
        <v>42236</v>
      </c>
      <c r="K28">
        <v>44279</v>
      </c>
      <c r="L28" t="s">
        <v>72</v>
      </c>
      <c r="M28">
        <v>4.3</v>
      </c>
    </row>
    <row r="29" spans="1:19" ht="30.75">
      <c r="A29" s="542">
        <v>45654</v>
      </c>
      <c r="B29" s="543">
        <v>80</v>
      </c>
      <c r="C29" s="544" t="s">
        <v>30</v>
      </c>
      <c r="D29" s="542">
        <v>45654</v>
      </c>
      <c r="E29" s="545" t="s">
        <v>23</v>
      </c>
      <c r="F29" s="544" t="s">
        <v>24</v>
      </c>
      <c r="G29" s="544">
        <v>20</v>
      </c>
      <c r="H29" s="546" t="s">
        <v>3045</v>
      </c>
      <c r="I29" s="547"/>
      <c r="J29" s="544">
        <v>43210</v>
      </c>
      <c r="K29" s="544">
        <v>45452</v>
      </c>
      <c r="L29" s="544" t="s">
        <v>72</v>
      </c>
      <c r="M29">
        <v>6</v>
      </c>
    </row>
    <row r="30" spans="1:19" ht="30.75">
      <c r="A30" s="544" t="s">
        <v>274</v>
      </c>
      <c r="B30" s="543">
        <v>80</v>
      </c>
      <c r="C30" s="544" t="s">
        <v>32</v>
      </c>
      <c r="D30" s="544" t="s">
        <v>75</v>
      </c>
      <c r="E30" s="545" t="s">
        <v>23</v>
      </c>
      <c r="F30" s="545" t="s">
        <v>24</v>
      </c>
      <c r="G30" s="544">
        <v>21</v>
      </c>
      <c r="H30" s="546" t="s">
        <v>1206</v>
      </c>
      <c r="I30" s="547"/>
      <c r="J30" s="544">
        <v>44414</v>
      </c>
      <c r="K30" s="544"/>
      <c r="L30" s="544" t="s">
        <v>72</v>
      </c>
      <c r="M30">
        <v>2.5</v>
      </c>
    </row>
    <row r="31" spans="1:19" ht="30.75">
      <c r="A31" s="528">
        <v>45715</v>
      </c>
      <c r="B31" s="543">
        <v>80</v>
      </c>
      <c r="C31" s="544" t="s">
        <v>34</v>
      </c>
      <c r="D31" s="528">
        <v>45716</v>
      </c>
      <c r="E31" s="545" t="s">
        <v>23</v>
      </c>
      <c r="F31" s="531" t="s">
        <v>24</v>
      </c>
      <c r="G31" s="526"/>
      <c r="H31" s="527" t="s">
        <v>3046</v>
      </c>
      <c r="I31" s="526"/>
      <c r="J31" s="526">
        <v>45458</v>
      </c>
      <c r="L31" s="526" t="s">
        <v>72</v>
      </c>
      <c r="M31" s="526">
        <v>3.2</v>
      </c>
    </row>
    <row r="32" spans="1:19" ht="30.75">
      <c r="A32" s="528">
        <v>45744</v>
      </c>
      <c r="B32" s="543">
        <v>80</v>
      </c>
      <c r="C32" s="526" t="s">
        <v>38</v>
      </c>
      <c r="D32" s="528">
        <v>45744</v>
      </c>
      <c r="E32" s="545" t="s">
        <v>23</v>
      </c>
      <c r="F32" s="531" t="s">
        <v>24</v>
      </c>
      <c r="G32" s="526"/>
      <c r="H32" s="527" t="s">
        <v>3047</v>
      </c>
      <c r="I32" s="526"/>
      <c r="J32" s="526">
        <v>46582</v>
      </c>
      <c r="L32" s="526" t="s">
        <v>72</v>
      </c>
      <c r="M32" s="526">
        <v>2.5</v>
      </c>
    </row>
    <row r="33" spans="1:13" ht="30.75">
      <c r="A33" s="528">
        <v>45776</v>
      </c>
      <c r="B33" s="543">
        <v>80</v>
      </c>
      <c r="C33" s="526" t="s">
        <v>41</v>
      </c>
      <c r="D33" s="528">
        <v>45776</v>
      </c>
      <c r="E33" s="545" t="s">
        <v>23</v>
      </c>
      <c r="F33" s="526" t="s">
        <v>28</v>
      </c>
      <c r="G33" s="526"/>
      <c r="H33" s="527" t="s">
        <v>3048</v>
      </c>
      <c r="I33" s="526"/>
      <c r="J33" s="526">
        <v>47618</v>
      </c>
      <c r="L33" s="526" t="s">
        <v>26</v>
      </c>
      <c r="M33" s="526">
        <v>2.7</v>
      </c>
    </row>
    <row r="34" spans="1:13" ht="30.75">
      <c r="A34" s="528">
        <v>45805</v>
      </c>
      <c r="B34" s="543">
        <v>80</v>
      </c>
      <c r="C34" s="526" t="s">
        <v>44</v>
      </c>
      <c r="D34" s="528">
        <v>45805</v>
      </c>
      <c r="E34" s="545" t="s">
        <v>23</v>
      </c>
      <c r="F34" s="531" t="s">
        <v>24</v>
      </c>
      <c r="G34" s="526"/>
      <c r="H34" s="527" t="s">
        <v>3049</v>
      </c>
      <c r="I34" s="526"/>
      <c r="J34" s="526">
        <v>49971</v>
      </c>
      <c r="L34" s="526" t="s">
        <v>72</v>
      </c>
      <c r="M34" s="526">
        <v>1.5</v>
      </c>
    </row>
    <row r="35" spans="1:13" ht="30.75">
      <c r="A35" s="528">
        <v>45836</v>
      </c>
      <c r="B35" s="543">
        <v>80</v>
      </c>
      <c r="C35" s="526" t="s">
        <v>57</v>
      </c>
      <c r="D35" s="528">
        <v>45836</v>
      </c>
      <c r="E35" s="545" t="s">
        <v>23</v>
      </c>
      <c r="F35" s="531" t="s">
        <v>24</v>
      </c>
      <c r="G35" s="526"/>
      <c r="H35" s="527" t="s">
        <v>3050</v>
      </c>
      <c r="I35" s="526"/>
      <c r="J35" s="526">
        <v>49972</v>
      </c>
      <c r="L35" s="526" t="s">
        <v>72</v>
      </c>
      <c r="M35" s="526">
        <v>2</v>
      </c>
    </row>
    <row r="36" spans="1:13" ht="30.75">
      <c r="A36" s="528">
        <v>45870</v>
      </c>
      <c r="B36" s="543">
        <v>80</v>
      </c>
      <c r="C36" s="526" t="s">
        <v>47</v>
      </c>
      <c r="D36" s="528">
        <v>45869</v>
      </c>
      <c r="E36" s="545" t="s">
        <v>23</v>
      </c>
      <c r="F36" s="531" t="s">
        <v>24</v>
      </c>
      <c r="G36" s="526"/>
      <c r="H36" s="527" t="s">
        <v>3051</v>
      </c>
      <c r="I36" s="526"/>
      <c r="J36" s="526">
        <v>49973</v>
      </c>
      <c r="L36" s="526" t="s">
        <v>72</v>
      </c>
      <c r="M36" s="526">
        <v>1.5</v>
      </c>
    </row>
    <row r="37" spans="1:13" ht="30.75">
      <c r="A37" s="528">
        <v>45897</v>
      </c>
      <c r="B37" s="543">
        <v>80</v>
      </c>
      <c r="C37" s="526" t="s">
        <v>50</v>
      </c>
      <c r="D37" s="528">
        <v>45897</v>
      </c>
      <c r="E37" s="545" t="s">
        <v>23</v>
      </c>
      <c r="F37" s="531" t="s">
        <v>24</v>
      </c>
      <c r="G37" s="526"/>
      <c r="H37" s="527" t="s">
        <v>3052</v>
      </c>
      <c r="I37" s="526"/>
      <c r="J37" s="526">
        <v>51300</v>
      </c>
      <c r="L37" s="526" t="s">
        <v>72</v>
      </c>
      <c r="M37" s="526">
        <v>2</v>
      </c>
    </row>
    <row r="38" spans="1:13" ht="30.75">
      <c r="A38" s="528">
        <v>45929</v>
      </c>
      <c r="B38" s="543">
        <v>80</v>
      </c>
      <c r="C38" s="526" t="s">
        <v>22</v>
      </c>
      <c r="D38" s="528">
        <v>45929</v>
      </c>
      <c r="E38" s="545" t="s">
        <v>23</v>
      </c>
      <c r="F38" s="531" t="s">
        <v>24</v>
      </c>
      <c r="G38" s="526"/>
      <c r="H38" s="527">
        <v>38097</v>
      </c>
      <c r="I38" s="526"/>
      <c r="J38" s="526">
        <v>52113</v>
      </c>
      <c r="L38" s="526" t="s">
        <v>72</v>
      </c>
      <c r="M38" s="526">
        <v>1</v>
      </c>
    </row>
    <row r="39" spans="1:13" ht="30.75">
      <c r="A39" s="528">
        <v>45961</v>
      </c>
      <c r="B39" s="543">
        <v>80</v>
      </c>
      <c r="C39" s="526" t="s">
        <v>54</v>
      </c>
      <c r="D39" s="528">
        <v>45960</v>
      </c>
      <c r="E39" s="545" t="s">
        <v>23</v>
      </c>
      <c r="F39" s="531" t="s">
        <v>24</v>
      </c>
      <c r="G39" s="526"/>
      <c r="H39" s="527" t="s">
        <v>3053</v>
      </c>
      <c r="I39" s="526"/>
      <c r="J39" s="526">
        <v>53313</v>
      </c>
      <c r="L39" s="526" t="s">
        <v>72</v>
      </c>
      <c r="M39" s="526">
        <v>1</v>
      </c>
    </row>
    <row r="40" spans="1:13" ht="30.75">
      <c r="A40" s="528">
        <v>45988</v>
      </c>
      <c r="B40" s="543">
        <v>80</v>
      </c>
      <c r="C40" s="526" t="s">
        <v>27</v>
      </c>
      <c r="D40" s="528">
        <v>45988</v>
      </c>
      <c r="E40" s="545" t="s">
        <v>23</v>
      </c>
      <c r="F40" t="s">
        <v>28</v>
      </c>
      <c r="G40" s="526"/>
      <c r="H40" s="527" t="s">
        <v>3054</v>
      </c>
      <c r="I40" s="526"/>
      <c r="J40" s="526">
        <v>54606</v>
      </c>
      <c r="L40" s="526" t="s">
        <v>26</v>
      </c>
      <c r="M40" s="526">
        <v>1</v>
      </c>
    </row>
    <row r="41" spans="1:13" ht="30.75">
      <c r="A41" s="528">
        <v>46056</v>
      </c>
      <c r="B41" s="543">
        <v>80</v>
      </c>
      <c r="C41" s="526" t="s">
        <v>32</v>
      </c>
      <c r="D41" s="528">
        <v>46052</v>
      </c>
      <c r="E41" s="545" t="s">
        <v>23</v>
      </c>
      <c r="F41" s="531" t="s">
        <v>24</v>
      </c>
      <c r="G41" s="526"/>
      <c r="H41" s="527" t="s">
        <v>3055</v>
      </c>
      <c r="I41" s="526"/>
      <c r="J41" s="526">
        <v>56451</v>
      </c>
      <c r="L41" s="526" t="s">
        <v>72</v>
      </c>
      <c r="M41" s="526">
        <v>1</v>
      </c>
    </row>
    <row r="42" spans="1:13" ht="30.75">
      <c r="A42" s="528">
        <v>46083</v>
      </c>
      <c r="B42" s="154">
        <v>80</v>
      </c>
      <c r="C42" s="526" t="s">
        <v>34</v>
      </c>
      <c r="D42" s="528">
        <v>46081</v>
      </c>
      <c r="E42" s="545" t="s">
        <v>23</v>
      </c>
      <c r="F42" s="531" t="s">
        <v>24</v>
      </c>
      <c r="G42" s="526"/>
      <c r="H42" s="527" t="s">
        <v>3056</v>
      </c>
      <c r="I42" s="526"/>
      <c r="J42" s="526">
        <v>58364</v>
      </c>
      <c r="L42" s="526" t="s">
        <v>72</v>
      </c>
      <c r="M42" s="526">
        <v>1.1000000000000001</v>
      </c>
    </row>
    <row r="43" spans="1:13" ht="30.75">
      <c r="A43" s="528">
        <v>46119</v>
      </c>
      <c r="B43" s="154">
        <v>80</v>
      </c>
      <c r="C43" s="526" t="s">
        <v>38</v>
      </c>
      <c r="D43" s="528">
        <v>46111</v>
      </c>
      <c r="E43" s="545" t="s">
        <v>23</v>
      </c>
      <c r="F43" s="531" t="s">
        <v>24</v>
      </c>
      <c r="G43" s="526"/>
      <c r="H43" s="527" t="s">
        <v>3057</v>
      </c>
      <c r="I43" s="526"/>
      <c r="J43" s="526">
        <v>59559</v>
      </c>
      <c r="L43" s="526" t="s">
        <v>72</v>
      </c>
      <c r="M43" s="526">
        <v>1</v>
      </c>
    </row>
    <row r="44" spans="1:13" ht="30.75">
      <c r="A44" s="528">
        <v>46144</v>
      </c>
      <c r="B44" s="154">
        <v>80</v>
      </c>
      <c r="C44" s="526" t="s">
        <v>41</v>
      </c>
      <c r="D44" s="528">
        <v>46142</v>
      </c>
      <c r="E44" s="545" t="s">
        <v>23</v>
      </c>
      <c r="F44" s="531" t="s">
        <v>24</v>
      </c>
      <c r="G44" s="526"/>
      <c r="H44" s="527" t="s">
        <v>3058</v>
      </c>
      <c r="I44" s="526"/>
      <c r="J44" s="526">
        <v>60962</v>
      </c>
      <c r="L44" s="526" t="s">
        <v>72</v>
      </c>
      <c r="M44" s="526">
        <v>1</v>
      </c>
    </row>
    <row r="45" spans="1:13" ht="30.75">
      <c r="A45" s="528">
        <v>46170</v>
      </c>
      <c r="B45" s="154">
        <v>80</v>
      </c>
      <c r="C45" s="526" t="s">
        <v>44</v>
      </c>
      <c r="D45" s="526"/>
      <c r="E45" s="545" t="s">
        <v>23</v>
      </c>
      <c r="F45" s="531" t="s">
        <v>24</v>
      </c>
      <c r="G45" s="526"/>
      <c r="H45" s="527" t="s">
        <v>3059</v>
      </c>
      <c r="I45" s="526"/>
      <c r="J45" s="526"/>
      <c r="L45" s="526" t="s">
        <v>72</v>
      </c>
      <c r="M45" s="526"/>
    </row>
    <row r="46" spans="1:13" ht="30.75">
      <c r="A46" s="526"/>
      <c r="B46" s="526"/>
      <c r="C46" s="526"/>
      <c r="D46" s="526"/>
      <c r="E46" s="545" t="s">
        <v>23</v>
      </c>
      <c r="F46" s="526"/>
      <c r="G46" s="526"/>
      <c r="H46" s="527"/>
      <c r="I46" s="526"/>
      <c r="J46" s="526"/>
      <c r="L46" s="526"/>
      <c r="M46" s="526"/>
    </row>
    <row r="47" spans="1:13" ht="30.75">
      <c r="A47" s="526"/>
      <c r="B47" s="526"/>
      <c r="C47" s="526"/>
      <c r="D47" s="526"/>
      <c r="E47" s="545" t="s">
        <v>23</v>
      </c>
      <c r="F47" s="526"/>
      <c r="G47" s="526"/>
      <c r="H47" s="527"/>
      <c r="I47" s="526"/>
      <c r="J47" s="526"/>
      <c r="L47" s="526"/>
      <c r="M47" s="526"/>
    </row>
    <row r="48" spans="1:13" ht="30.75">
      <c r="A48" s="526"/>
      <c r="B48" s="526"/>
      <c r="C48" s="526"/>
      <c r="D48" s="526"/>
      <c r="E48" s="545" t="s">
        <v>23</v>
      </c>
      <c r="F48" s="526"/>
      <c r="G48" s="526"/>
      <c r="H48" s="527"/>
      <c r="I48" s="526"/>
      <c r="J48" s="526"/>
      <c r="L48" s="526"/>
      <c r="M48" s="526"/>
    </row>
    <row r="433" spans="2:3">
      <c r="B433" t="s">
        <v>2286</v>
      </c>
      <c r="C433" t="s">
        <v>2287</v>
      </c>
    </row>
  </sheetData>
  <mergeCells count="7">
    <mergeCell ref="B5:C5"/>
    <mergeCell ref="G5:N5"/>
    <mergeCell ref="A1:F1"/>
    <mergeCell ref="B2:F2"/>
    <mergeCell ref="H2:L2"/>
    <mergeCell ref="F3:N3"/>
    <mergeCell ref="B4:E4"/>
  </mergeCells>
  <dataValidations count="2">
    <dataValidation type="list" allowBlank="1" showInputMessage="1" showErrorMessage="1" sqref="C10:C48" xr:uid="{F232AE2A-9F2F-40BE-9478-49BCA7DF7B68}">
      <formula1>"ENERO,FEBRERO,MARZO,ABRIL,MAYO,JUNIO,JULIO,AGOSTO,SEPTIEMBRE,OCTUBRE,NOVIEMBRE,DICIEMBRE"</formula1>
    </dataValidation>
    <dataValidation type="list" allowBlank="1" showInputMessage="1" showErrorMessage="1" sqref="F10:F48" xr:uid="{49E2D774-BBBA-45AC-BE99-EB7C96F4446F}">
      <formula1>"EFECTIVO, CHEQUE, TRANSFERENCIA,DEPOSITO"</formula1>
    </dataValidation>
  </dataValidations>
  <hyperlinks>
    <hyperlink ref="B4:E4" r:id="rId1" display="alexandervirgo171717@gmail.com" xr:uid="{97E16B17-DB71-43F8-A509-C2AA064FA053}"/>
  </hyperlinks>
  <pageMargins left="0.7" right="0.7" top="0.75" bottom="0.75" header="0.3" footer="0.3"/>
  <tableParts count="1">
    <tablePart r:id="rId2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722F-501A-47CA-898B-37A4A2485FB9}">
  <dimension ref="A1:R433"/>
  <sheetViews>
    <sheetView topLeftCell="A12" workbookViewId="0">
      <selection activeCell="K29" sqref="K29"/>
    </sheetView>
  </sheetViews>
  <sheetFormatPr defaultRowHeight="15"/>
  <cols>
    <col min="1" max="1" width="13.140625" customWidth="1"/>
    <col min="2" max="2" width="9.42578125" bestFit="1" customWidth="1"/>
    <col min="3" max="3" width="10.7109375" bestFit="1" customWidth="1"/>
    <col min="4" max="4" width="11.42578125" bestFit="1" customWidth="1"/>
    <col min="6" max="6" width="15.28515625" bestFit="1" customWidth="1"/>
    <col min="12" max="12" width="16.140625" customWidth="1"/>
    <col min="14" max="14" width="17.5703125" bestFit="1" customWidth="1"/>
  </cols>
  <sheetData>
    <row r="1" spans="1:14" ht="23.25">
      <c r="A1" s="789" t="s">
        <v>3060</v>
      </c>
      <c r="B1" s="788"/>
      <c r="C1" s="788"/>
      <c r="D1" s="788"/>
      <c r="E1" s="788"/>
      <c r="F1" s="788"/>
    </row>
    <row r="2" spans="1:14" ht="45.75">
      <c r="A2" s="2" t="s">
        <v>1729</v>
      </c>
      <c r="B2" s="790" t="s">
        <v>3061</v>
      </c>
      <c r="C2" s="790"/>
      <c r="D2" s="790"/>
      <c r="E2" s="790"/>
      <c r="F2" s="790"/>
      <c r="G2" s="256"/>
      <c r="H2" s="799" t="s">
        <v>341</v>
      </c>
      <c r="I2" s="799"/>
      <c r="J2" s="799"/>
      <c r="K2" s="799"/>
      <c r="L2" s="799"/>
    </row>
    <row r="3" spans="1:14" ht="18.75">
      <c r="A3" s="2" t="s">
        <v>1</v>
      </c>
      <c r="B3" s="790">
        <v>20611971495</v>
      </c>
      <c r="C3" s="790"/>
      <c r="D3" s="790"/>
      <c r="E3" s="790"/>
      <c r="F3" s="790"/>
      <c r="G3" s="637"/>
      <c r="H3" s="637"/>
      <c r="I3" s="637"/>
      <c r="J3" s="637"/>
      <c r="K3" s="637"/>
      <c r="L3" s="637"/>
      <c r="M3" s="637"/>
    </row>
    <row r="4" spans="1:14" ht="30.75">
      <c r="A4" s="2" t="s">
        <v>2277</v>
      </c>
      <c r="B4" s="798"/>
      <c r="C4" s="798"/>
      <c r="D4" s="798"/>
      <c r="E4" s="798"/>
    </row>
    <row r="5" spans="1:14" ht="41.25">
      <c r="A5" s="257" t="s">
        <v>4</v>
      </c>
      <c r="B5" s="786">
        <v>46135</v>
      </c>
      <c r="C5" s="787"/>
      <c r="F5" s="258"/>
      <c r="G5" s="806" t="s">
        <v>3062</v>
      </c>
      <c r="H5" s="788"/>
      <c r="I5" s="788"/>
      <c r="J5" s="788"/>
      <c r="K5" s="788"/>
      <c r="L5" s="788"/>
      <c r="M5" s="788"/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252</v>
      </c>
      <c r="L9" s="259" t="s">
        <v>18</v>
      </c>
      <c r="M9" s="265" t="s">
        <v>2779</v>
      </c>
      <c r="N9" s="260"/>
    </row>
    <row r="10" spans="1:14" ht="30.75">
      <c r="A10" s="266">
        <v>45535</v>
      </c>
      <c r="B10" s="8">
        <v>118</v>
      </c>
      <c r="C10" s="2" t="s">
        <v>50</v>
      </c>
      <c r="D10" s="153">
        <v>45535</v>
      </c>
      <c r="E10" s="2" t="s">
        <v>23</v>
      </c>
      <c r="F10" s="2" t="s">
        <v>28</v>
      </c>
      <c r="G10" s="2">
        <v>1</v>
      </c>
      <c r="H10" s="9" t="s">
        <v>3063</v>
      </c>
      <c r="I10" s="9"/>
      <c r="J10" s="9" t="s">
        <v>3064</v>
      </c>
      <c r="K10" s="9" t="s">
        <v>3065</v>
      </c>
      <c r="L10" s="2" t="s">
        <v>26</v>
      </c>
      <c r="M10">
        <v>13</v>
      </c>
    </row>
    <row r="11" spans="1:14" ht="30.75">
      <c r="A11" s="153">
        <v>45565</v>
      </c>
      <c r="B11" s="8">
        <v>118</v>
      </c>
      <c r="C11" t="s">
        <v>22</v>
      </c>
      <c r="D11" s="153">
        <v>45565</v>
      </c>
      <c r="E11" s="2" t="s">
        <v>23</v>
      </c>
      <c r="F11" s="2" t="s">
        <v>28</v>
      </c>
      <c r="G11">
        <v>2</v>
      </c>
      <c r="H11" s="76" t="s">
        <v>3066</v>
      </c>
      <c r="I11" s="9"/>
      <c r="J11" s="9" t="s">
        <v>3067</v>
      </c>
      <c r="K11" s="9" t="s">
        <v>3068</v>
      </c>
      <c r="L11" s="2" t="s">
        <v>26</v>
      </c>
      <c r="M11">
        <v>8.5</v>
      </c>
    </row>
    <row r="12" spans="1:14" ht="30.75">
      <c r="A12" s="153">
        <v>45596</v>
      </c>
      <c r="B12" s="8">
        <v>118</v>
      </c>
      <c r="C12" t="s">
        <v>54</v>
      </c>
      <c r="D12" s="153">
        <v>45596</v>
      </c>
      <c r="E12" s="2" t="s">
        <v>23</v>
      </c>
      <c r="F12" s="2" t="s">
        <v>28</v>
      </c>
      <c r="G12">
        <v>3</v>
      </c>
      <c r="H12" s="76" t="s">
        <v>3069</v>
      </c>
      <c r="I12" s="9"/>
      <c r="J12" s="9" t="s">
        <v>3070</v>
      </c>
      <c r="K12" s="9" t="s">
        <v>3071</v>
      </c>
      <c r="L12" s="2" t="s">
        <v>26</v>
      </c>
      <c r="M12">
        <v>13.58</v>
      </c>
    </row>
    <row r="13" spans="1:14" ht="30.75">
      <c r="A13" s="153">
        <v>45626</v>
      </c>
      <c r="B13" s="154">
        <v>118</v>
      </c>
      <c r="C13" t="s">
        <v>27</v>
      </c>
      <c r="D13" s="153">
        <v>45626</v>
      </c>
      <c r="E13" s="2" t="s">
        <v>23</v>
      </c>
      <c r="F13" t="s">
        <v>28</v>
      </c>
      <c r="G13">
        <v>4</v>
      </c>
      <c r="H13" s="76" t="s">
        <v>3072</v>
      </c>
      <c r="I13" s="9"/>
      <c r="J13" s="9" t="s">
        <v>3073</v>
      </c>
      <c r="K13" s="9" t="s">
        <v>3074</v>
      </c>
      <c r="L13" s="2" t="s">
        <v>26</v>
      </c>
      <c r="M13">
        <v>12.5</v>
      </c>
    </row>
    <row r="14" spans="1:14" ht="30.75">
      <c r="A14" s="153">
        <v>45656</v>
      </c>
      <c r="B14" s="154">
        <v>118</v>
      </c>
      <c r="C14" t="s">
        <v>30</v>
      </c>
      <c r="D14" s="153">
        <v>45656</v>
      </c>
      <c r="E14" s="2" t="s">
        <v>23</v>
      </c>
      <c r="F14" t="s">
        <v>28</v>
      </c>
      <c r="G14">
        <v>5</v>
      </c>
      <c r="H14" s="76" t="s">
        <v>3075</v>
      </c>
      <c r="I14" s="9"/>
      <c r="J14" s="9" t="s">
        <v>3076</v>
      </c>
      <c r="K14" s="9" t="s">
        <v>3077</v>
      </c>
      <c r="L14" s="2" t="s">
        <v>26</v>
      </c>
      <c r="M14" t="s">
        <v>3078</v>
      </c>
    </row>
    <row r="15" spans="1:14" ht="30.75">
      <c r="A15" s="153">
        <v>45677</v>
      </c>
      <c r="B15" s="154">
        <v>118</v>
      </c>
      <c r="C15" t="s">
        <v>32</v>
      </c>
      <c r="D15" s="153">
        <v>45687</v>
      </c>
      <c r="E15" s="2" t="s">
        <v>23</v>
      </c>
      <c r="F15" t="s">
        <v>28</v>
      </c>
      <c r="G15">
        <v>6</v>
      </c>
      <c r="H15" s="76" t="s">
        <v>3079</v>
      </c>
      <c r="I15" s="9"/>
      <c r="J15" s="9" t="s">
        <v>3080</v>
      </c>
      <c r="K15" s="9"/>
      <c r="L15" s="2" t="s">
        <v>26</v>
      </c>
      <c r="M15">
        <v>5.2</v>
      </c>
      <c r="N15" t="s">
        <v>36</v>
      </c>
    </row>
    <row r="16" spans="1:14" ht="30.75">
      <c r="A16" s="7">
        <v>45716</v>
      </c>
      <c r="B16" s="154">
        <v>118</v>
      </c>
      <c r="C16" s="2" t="s">
        <v>34</v>
      </c>
      <c r="D16" s="7">
        <v>45716</v>
      </c>
      <c r="E16" s="2" t="s">
        <v>23</v>
      </c>
      <c r="F16" s="2" t="s">
        <v>28</v>
      </c>
      <c r="G16">
        <v>7</v>
      </c>
      <c r="H16" s="76" t="s">
        <v>3081</v>
      </c>
      <c r="I16" s="9"/>
      <c r="J16" s="9" t="s">
        <v>2272</v>
      </c>
      <c r="K16" s="9"/>
      <c r="L16" s="2" t="s">
        <v>26</v>
      </c>
      <c r="M16">
        <v>7.8</v>
      </c>
    </row>
    <row r="17" spans="1:18" ht="30.75">
      <c r="A17" s="153">
        <v>45747</v>
      </c>
      <c r="B17" s="154">
        <v>118</v>
      </c>
      <c r="C17" t="s">
        <v>38</v>
      </c>
      <c r="D17" s="153">
        <v>45747</v>
      </c>
      <c r="E17" s="2" t="s">
        <v>23</v>
      </c>
      <c r="F17" s="2" t="s">
        <v>28</v>
      </c>
      <c r="G17">
        <v>8</v>
      </c>
      <c r="H17" s="76" t="s">
        <v>3082</v>
      </c>
      <c r="I17" s="9"/>
      <c r="J17" s="9" t="s">
        <v>3083</v>
      </c>
      <c r="K17" s="9"/>
      <c r="L17" t="s">
        <v>26</v>
      </c>
      <c r="M17">
        <v>6.5</v>
      </c>
      <c r="R17" t="s">
        <v>36</v>
      </c>
    </row>
    <row r="18" spans="1:18" ht="30.75">
      <c r="A18" s="153">
        <v>45810</v>
      </c>
      <c r="B18" s="154">
        <v>118</v>
      </c>
      <c r="C18" t="s">
        <v>44</v>
      </c>
      <c r="D18" s="153">
        <v>45808</v>
      </c>
      <c r="E18" s="2" t="s">
        <v>23</v>
      </c>
      <c r="F18" t="s">
        <v>28</v>
      </c>
      <c r="G18">
        <v>9</v>
      </c>
      <c r="H18" s="76" t="s">
        <v>3084</v>
      </c>
      <c r="I18" s="9"/>
      <c r="J18" s="9" t="s">
        <v>3085</v>
      </c>
      <c r="K18" s="9"/>
      <c r="L18" t="s">
        <v>26</v>
      </c>
      <c r="M18">
        <v>12.5</v>
      </c>
    </row>
    <row r="19" spans="1:18" ht="30.75">
      <c r="A19" s="153">
        <v>45838</v>
      </c>
      <c r="B19" s="154">
        <v>118</v>
      </c>
      <c r="C19" t="s">
        <v>57</v>
      </c>
      <c r="D19" s="153">
        <v>45835</v>
      </c>
      <c r="E19" s="2" t="s">
        <v>23</v>
      </c>
      <c r="F19" t="s">
        <v>24</v>
      </c>
      <c r="G19">
        <v>10</v>
      </c>
      <c r="H19" s="76" t="s">
        <v>3086</v>
      </c>
      <c r="I19" s="9"/>
      <c r="J19" s="9" t="s">
        <v>3087</v>
      </c>
      <c r="K19" s="9"/>
      <c r="L19" t="s">
        <v>73</v>
      </c>
      <c r="M19">
        <v>5.4</v>
      </c>
    </row>
    <row r="20" spans="1:18" ht="30.75">
      <c r="A20" s="153">
        <v>45898</v>
      </c>
      <c r="B20" s="154">
        <v>118</v>
      </c>
      <c r="C20" t="s">
        <v>50</v>
      </c>
      <c r="D20" s="153">
        <v>45898</v>
      </c>
      <c r="E20" s="2" t="s">
        <v>23</v>
      </c>
      <c r="F20" t="s">
        <v>28</v>
      </c>
      <c r="G20">
        <v>11</v>
      </c>
      <c r="H20" s="76" t="s">
        <v>3088</v>
      </c>
      <c r="I20" s="9"/>
      <c r="J20" s="9" t="s">
        <v>3089</v>
      </c>
      <c r="K20" s="9"/>
      <c r="L20" t="s">
        <v>26</v>
      </c>
      <c r="M20">
        <v>12</v>
      </c>
    </row>
    <row r="21" spans="1:18" ht="30.75">
      <c r="A21" s="153">
        <v>45930</v>
      </c>
      <c r="B21" s="154">
        <v>118</v>
      </c>
      <c r="C21" t="s">
        <v>22</v>
      </c>
      <c r="D21" s="153">
        <v>45930</v>
      </c>
      <c r="E21" s="2" t="s">
        <v>23</v>
      </c>
      <c r="F21" t="s">
        <v>28</v>
      </c>
      <c r="G21">
        <v>12</v>
      </c>
      <c r="H21" s="76" t="s">
        <v>3090</v>
      </c>
      <c r="I21" s="9"/>
      <c r="J21" s="9" t="s">
        <v>3091</v>
      </c>
      <c r="K21" s="9"/>
      <c r="L21" t="s">
        <v>26</v>
      </c>
      <c r="M21">
        <v>11</v>
      </c>
    </row>
    <row r="22" spans="1:18" ht="30.75">
      <c r="A22" s="153">
        <v>45961</v>
      </c>
      <c r="B22" s="154">
        <v>118</v>
      </c>
      <c r="C22" t="s">
        <v>54</v>
      </c>
      <c r="D22" s="153">
        <v>45961</v>
      </c>
      <c r="E22" s="2" t="s">
        <v>23</v>
      </c>
      <c r="F22" t="s">
        <v>28</v>
      </c>
      <c r="G22">
        <v>13</v>
      </c>
      <c r="H22" s="76" t="s">
        <v>3092</v>
      </c>
      <c r="I22" s="9"/>
      <c r="J22" s="9" t="s">
        <v>3093</v>
      </c>
      <c r="K22" s="9"/>
      <c r="L22" t="s">
        <v>26</v>
      </c>
      <c r="M22">
        <v>10</v>
      </c>
    </row>
    <row r="23" spans="1:18" ht="30.75">
      <c r="A23" s="153">
        <v>46053</v>
      </c>
      <c r="B23" s="154">
        <v>118</v>
      </c>
      <c r="C23" t="s">
        <v>32</v>
      </c>
      <c r="D23" s="153">
        <v>46053</v>
      </c>
      <c r="E23" s="2" t="s">
        <v>23</v>
      </c>
      <c r="F23" t="s">
        <v>28</v>
      </c>
      <c r="H23" s="76" t="s">
        <v>3094</v>
      </c>
      <c r="I23" s="9"/>
      <c r="J23" s="9" t="s">
        <v>3095</v>
      </c>
      <c r="K23" s="9"/>
      <c r="L23" t="s">
        <v>26</v>
      </c>
      <c r="M23">
        <v>15</v>
      </c>
    </row>
    <row r="24" spans="1:18" ht="30.75">
      <c r="A24" s="153">
        <v>46084</v>
      </c>
      <c r="B24" s="154">
        <v>118</v>
      </c>
      <c r="C24" t="s">
        <v>34</v>
      </c>
      <c r="D24" s="153">
        <v>46081</v>
      </c>
      <c r="E24" s="2" t="s">
        <v>23</v>
      </c>
      <c r="F24" t="s">
        <v>28</v>
      </c>
      <c r="H24" s="76" t="s">
        <v>3096</v>
      </c>
      <c r="I24" s="9"/>
      <c r="J24" s="9" t="s">
        <v>3097</v>
      </c>
      <c r="K24" s="9"/>
      <c r="L24" s="2" t="s">
        <v>3098</v>
      </c>
      <c r="M24">
        <v>10</v>
      </c>
    </row>
    <row r="25" spans="1:18" ht="30.75">
      <c r="A25" s="153">
        <v>46112</v>
      </c>
      <c r="B25" s="154">
        <v>118</v>
      </c>
      <c r="C25" t="s">
        <v>38</v>
      </c>
      <c r="D25" s="153">
        <v>46112</v>
      </c>
      <c r="E25" s="2" t="s">
        <v>23</v>
      </c>
      <c r="F25" t="s">
        <v>28</v>
      </c>
      <c r="H25" s="76" t="s">
        <v>3099</v>
      </c>
      <c r="I25" s="9"/>
      <c r="J25" s="9" t="s">
        <v>3100</v>
      </c>
      <c r="K25" s="9"/>
      <c r="L25" t="s">
        <v>26</v>
      </c>
      <c r="M25">
        <v>11.3</v>
      </c>
    </row>
    <row r="26" spans="1:18" ht="30.75">
      <c r="A26" s="153">
        <v>46142</v>
      </c>
      <c r="B26" s="154">
        <v>118</v>
      </c>
      <c r="C26" t="s">
        <v>41</v>
      </c>
      <c r="D26" s="153">
        <v>46141</v>
      </c>
      <c r="E26" s="2" t="s">
        <v>23</v>
      </c>
      <c r="F26" t="s">
        <v>28</v>
      </c>
      <c r="H26" s="76" t="s">
        <v>3101</v>
      </c>
      <c r="I26" s="101" t="s">
        <v>3102</v>
      </c>
      <c r="J26">
        <v>61001</v>
      </c>
      <c r="L26" t="s">
        <v>26</v>
      </c>
      <c r="M26">
        <v>13</v>
      </c>
      <c r="N26" s="290" t="s">
        <v>76</v>
      </c>
    </row>
    <row r="27" spans="1:18" ht="30.75">
      <c r="E27" s="2" t="s">
        <v>23</v>
      </c>
      <c r="H27" s="76"/>
      <c r="I27" s="9"/>
    </row>
    <row r="28" spans="1:18" ht="30.75">
      <c r="E28" s="2" t="s">
        <v>23</v>
      </c>
      <c r="H28" s="76"/>
      <c r="I28" s="9"/>
    </row>
    <row r="29" spans="1:18" ht="30.75">
      <c r="E29" s="2" t="s">
        <v>23</v>
      </c>
      <c r="H29" s="76"/>
      <c r="I29" s="9"/>
    </row>
    <row r="30" spans="1:18" ht="30.75">
      <c r="E30" s="2" t="s">
        <v>23</v>
      </c>
      <c r="H30" s="76"/>
      <c r="I30" s="9"/>
    </row>
    <row r="31" spans="1:18" ht="30.75">
      <c r="A31" s="526"/>
      <c r="B31" s="526"/>
      <c r="C31" s="526"/>
      <c r="D31" s="526"/>
      <c r="E31" s="2" t="s">
        <v>23</v>
      </c>
      <c r="F31" s="526"/>
      <c r="G31" s="526"/>
      <c r="H31" s="527"/>
      <c r="I31" s="526"/>
      <c r="J31" s="526"/>
      <c r="L31" s="526"/>
      <c r="M31" s="526"/>
    </row>
    <row r="32" spans="1:18" ht="30.75">
      <c r="A32" s="526"/>
      <c r="B32" s="526"/>
      <c r="C32" s="526"/>
      <c r="D32" s="526"/>
      <c r="E32" s="2" t="s">
        <v>23</v>
      </c>
      <c r="F32" s="526"/>
      <c r="G32" s="526"/>
      <c r="H32" s="527"/>
      <c r="I32" s="526"/>
      <c r="J32" s="526"/>
      <c r="L32" s="526"/>
      <c r="M32" s="526"/>
    </row>
    <row r="33" spans="1:13" ht="30.75">
      <c r="A33" s="526"/>
      <c r="B33" s="526"/>
      <c r="C33" s="526"/>
      <c r="D33" s="526"/>
      <c r="E33" s="2" t="s">
        <v>23</v>
      </c>
      <c r="F33" s="526"/>
      <c r="G33" s="526"/>
      <c r="H33" s="527"/>
      <c r="I33" s="526"/>
      <c r="J33" s="526"/>
      <c r="L33" s="526"/>
      <c r="M33" s="526"/>
    </row>
    <row r="34" spans="1:13" ht="30.75">
      <c r="A34" s="526"/>
      <c r="B34" s="526"/>
      <c r="C34" s="526"/>
      <c r="D34" s="526"/>
      <c r="E34" s="2" t="s">
        <v>23</v>
      </c>
      <c r="F34" s="526"/>
      <c r="G34" s="526"/>
      <c r="H34" s="527"/>
      <c r="I34" s="526"/>
      <c r="J34" s="526"/>
      <c r="L34" s="526"/>
      <c r="M34" s="526"/>
    </row>
    <row r="35" spans="1:13" ht="30.75">
      <c r="A35" s="526"/>
      <c r="B35" s="526"/>
      <c r="C35" s="526"/>
      <c r="D35" s="526"/>
      <c r="E35" s="2" t="s">
        <v>23</v>
      </c>
      <c r="F35" s="526"/>
      <c r="G35" s="526"/>
      <c r="H35" s="527"/>
      <c r="I35" s="526"/>
      <c r="J35" s="526"/>
      <c r="L35" s="526"/>
      <c r="M35" s="526"/>
    </row>
    <row r="36" spans="1:13" ht="30.75">
      <c r="A36" s="526"/>
      <c r="B36" s="526"/>
      <c r="C36" s="526"/>
      <c r="D36" s="526"/>
      <c r="E36" s="2" t="s">
        <v>23</v>
      </c>
      <c r="F36" s="526"/>
      <c r="G36" s="526"/>
      <c r="H36" s="527"/>
      <c r="I36" s="526"/>
      <c r="J36" s="526"/>
      <c r="L36" s="526"/>
      <c r="M36" s="526"/>
    </row>
    <row r="37" spans="1:13" ht="30.75">
      <c r="A37" s="526"/>
      <c r="B37" s="526"/>
      <c r="C37" s="526"/>
      <c r="D37" s="526"/>
      <c r="E37" s="2" t="s">
        <v>23</v>
      </c>
      <c r="F37" s="526"/>
      <c r="G37" s="526"/>
      <c r="H37" s="527"/>
      <c r="I37" s="526"/>
      <c r="J37" s="526"/>
      <c r="L37" s="526"/>
      <c r="M37" s="526"/>
    </row>
    <row r="38" spans="1:13" ht="30.75">
      <c r="A38" s="526"/>
      <c r="B38" s="526"/>
      <c r="C38" s="526"/>
      <c r="D38" s="526"/>
      <c r="E38" s="2" t="s">
        <v>23</v>
      </c>
      <c r="F38" s="526"/>
      <c r="G38" s="526"/>
      <c r="H38" s="527"/>
      <c r="I38" s="526"/>
      <c r="J38" s="526"/>
      <c r="L38" s="526"/>
      <c r="M38" s="526"/>
    </row>
    <row r="39" spans="1:13" ht="30.75">
      <c r="A39" s="526"/>
      <c r="B39" s="526"/>
      <c r="C39" s="526"/>
      <c r="D39" s="526"/>
      <c r="E39" s="2" t="s">
        <v>23</v>
      </c>
      <c r="F39" s="526"/>
      <c r="G39" s="526"/>
      <c r="H39" s="527"/>
      <c r="I39" s="526"/>
      <c r="J39" s="526"/>
      <c r="L39" s="526"/>
      <c r="M39" s="526"/>
    </row>
    <row r="40" spans="1:13" ht="30.75">
      <c r="A40" s="526"/>
      <c r="B40" s="526"/>
      <c r="C40" s="526"/>
      <c r="D40" s="526"/>
      <c r="E40" s="2" t="s">
        <v>23</v>
      </c>
      <c r="F40" s="526"/>
      <c r="G40" s="526"/>
      <c r="H40" s="527"/>
      <c r="I40" s="526"/>
      <c r="J40" s="526"/>
      <c r="L40" s="526"/>
      <c r="M40" s="526"/>
    </row>
    <row r="41" spans="1:13" ht="30.75">
      <c r="A41" s="526"/>
      <c r="B41" s="526"/>
      <c r="C41" s="526"/>
      <c r="D41" s="526"/>
      <c r="E41" s="2" t="s">
        <v>23</v>
      </c>
      <c r="F41" s="526"/>
      <c r="G41" s="526"/>
      <c r="H41" s="527"/>
      <c r="I41" s="526"/>
      <c r="J41" s="526"/>
      <c r="L41" s="526"/>
      <c r="M41" s="526"/>
    </row>
    <row r="42" spans="1:13" ht="30.75">
      <c r="A42" s="526"/>
      <c r="B42" s="526"/>
      <c r="C42" s="526"/>
      <c r="D42" s="526"/>
      <c r="E42" s="2" t="s">
        <v>23</v>
      </c>
      <c r="F42" s="526"/>
      <c r="G42" s="526"/>
      <c r="H42" s="527"/>
      <c r="I42" s="526"/>
      <c r="J42" s="526"/>
      <c r="L42" s="526"/>
      <c r="M42" s="526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L2"/>
    <mergeCell ref="B3:F3"/>
    <mergeCell ref="B4:E4"/>
  </mergeCells>
  <dataValidations count="2">
    <dataValidation type="list" allowBlank="1" showInputMessage="1" showErrorMessage="1" sqref="F10:F42" xr:uid="{29021636-3789-4629-AA6B-AB9762F1FD6E}">
      <formula1>"EFECTIVO, CHEQUE, TRANSFERENCIA,DEPOSITO"</formula1>
    </dataValidation>
    <dataValidation type="list" allowBlank="1" showInputMessage="1" showErrorMessage="1" sqref="C10:C42" xr:uid="{8183B6A5-994D-4069-885B-FF27F1B9F234}">
      <formula1>"ENERO,FEBRERO,MARZO,ABRIL,MAYO,JUNIO,JULIO,AGOSTO,SEPTIEMBRE,OCTUBRE,NOVIEMBRE,DICIEMBRE"</formula1>
    </dataValidation>
  </dataValidations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54F9-51B2-4C41-981C-C78921BF15C3}">
  <dimension ref="A1:S433"/>
  <sheetViews>
    <sheetView workbookViewId="0">
      <selection sqref="A1:F1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9.140625" customWidth="1"/>
    <col min="12" max="12" width="16.85546875" customWidth="1"/>
  </cols>
  <sheetData>
    <row r="1" spans="1:15" ht="23.25" customHeight="1">
      <c r="A1" s="789" t="s">
        <v>3103</v>
      </c>
      <c r="B1" s="788"/>
      <c r="C1" s="788"/>
      <c r="D1" s="788"/>
      <c r="E1" s="788"/>
      <c r="F1" s="788"/>
    </row>
    <row r="2" spans="1:15" ht="18.75" customHeight="1">
      <c r="A2" s="2" t="s">
        <v>1729</v>
      </c>
      <c r="B2" s="790" t="s">
        <v>3104</v>
      </c>
      <c r="C2" s="790"/>
      <c r="D2" s="790"/>
      <c r="E2" s="790"/>
      <c r="F2" s="790"/>
      <c r="G2" s="256"/>
      <c r="H2" s="799" t="s">
        <v>341</v>
      </c>
      <c r="I2" s="799"/>
      <c r="J2" s="799"/>
      <c r="K2" s="799"/>
      <c r="L2" s="799"/>
    </row>
    <row r="3" spans="1:15" ht="15.75">
      <c r="A3" s="2" t="s">
        <v>1</v>
      </c>
      <c r="B3" s="2">
        <v>10400033701</v>
      </c>
      <c r="F3" s="794"/>
      <c r="G3" s="794"/>
      <c r="H3" s="794"/>
      <c r="I3" s="794"/>
      <c r="J3" s="794"/>
      <c r="K3" s="794"/>
      <c r="L3" s="794"/>
      <c r="M3" s="794"/>
      <c r="N3" s="794"/>
    </row>
    <row r="4" spans="1:15" ht="15" customHeight="1">
      <c r="A4" s="2" t="s">
        <v>2277</v>
      </c>
      <c r="B4" s="798" t="s">
        <v>3105</v>
      </c>
      <c r="C4" s="798"/>
      <c r="D4" s="798"/>
      <c r="E4" s="798"/>
    </row>
    <row r="5" spans="1:15" ht="23.25" customHeight="1">
      <c r="A5" s="257" t="s">
        <v>4</v>
      </c>
      <c r="B5" s="786" t="s">
        <v>3106</v>
      </c>
      <c r="C5" s="787"/>
      <c r="F5" s="258"/>
      <c r="G5" s="788" t="s">
        <v>3107</v>
      </c>
      <c r="H5" s="788"/>
      <c r="I5" s="788"/>
      <c r="J5" s="788"/>
      <c r="K5" s="788"/>
      <c r="L5" s="788"/>
      <c r="M5" s="788"/>
      <c r="N5" s="788"/>
    </row>
    <row r="9" spans="1:15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19</v>
      </c>
      <c r="L9" s="259" t="s">
        <v>3108</v>
      </c>
      <c r="M9" s="265" t="s">
        <v>99</v>
      </c>
      <c r="N9" s="260"/>
      <c r="O9" s="260"/>
    </row>
    <row r="10" spans="1:15" ht="30.75">
      <c r="A10" s="266" t="s">
        <v>3109</v>
      </c>
      <c r="B10" s="8">
        <v>94.4</v>
      </c>
      <c r="C10" s="2" t="s">
        <v>22</v>
      </c>
      <c r="D10" s="153">
        <v>45197</v>
      </c>
      <c r="E10" s="2" t="s">
        <v>23</v>
      </c>
      <c r="F10" s="2" t="s">
        <v>24</v>
      </c>
      <c r="G10" s="2">
        <v>1</v>
      </c>
      <c r="H10" s="9" t="s">
        <v>3110</v>
      </c>
      <c r="I10" s="9"/>
      <c r="J10" s="9" t="s">
        <v>3111</v>
      </c>
      <c r="K10" s="9"/>
      <c r="L10" s="2" t="s">
        <v>26</v>
      </c>
      <c r="M10">
        <v>3.2</v>
      </c>
    </row>
    <row r="11" spans="1:15" ht="30.75">
      <c r="A11" s="7">
        <v>45229</v>
      </c>
      <c r="B11" s="8">
        <v>94.4</v>
      </c>
      <c r="C11" t="s">
        <v>54</v>
      </c>
      <c r="D11" s="153">
        <v>45229</v>
      </c>
      <c r="E11" s="2" t="s">
        <v>23</v>
      </c>
      <c r="F11" s="2" t="s">
        <v>28</v>
      </c>
      <c r="G11">
        <v>2</v>
      </c>
      <c r="H11" s="76" t="s">
        <v>3112</v>
      </c>
      <c r="I11" s="9"/>
      <c r="J11" s="9" t="s">
        <v>3113</v>
      </c>
      <c r="K11" s="9" t="s">
        <v>3114</v>
      </c>
      <c r="L11" s="2" t="s">
        <v>26</v>
      </c>
      <c r="M11">
        <v>2.2000000000000002</v>
      </c>
    </row>
    <row r="12" spans="1:15" ht="30.75">
      <c r="A12" s="7">
        <v>45259</v>
      </c>
      <c r="B12" s="8">
        <v>94.4</v>
      </c>
      <c r="C12" t="s">
        <v>27</v>
      </c>
      <c r="D12" s="153">
        <v>45259</v>
      </c>
      <c r="E12" s="2" t="s">
        <v>23</v>
      </c>
      <c r="F12" s="2" t="s">
        <v>24</v>
      </c>
      <c r="G12">
        <v>3</v>
      </c>
      <c r="H12" s="76" t="s">
        <v>3115</v>
      </c>
      <c r="I12" s="9"/>
      <c r="J12" s="9" t="s">
        <v>3116</v>
      </c>
      <c r="K12" s="9" t="s">
        <v>3117</v>
      </c>
      <c r="L12" s="2" t="s">
        <v>26</v>
      </c>
      <c r="M12">
        <v>2.2000000000000002</v>
      </c>
    </row>
    <row r="13" spans="1:15" ht="30.75">
      <c r="A13" s="153">
        <v>45288</v>
      </c>
      <c r="B13" s="154">
        <v>94.4</v>
      </c>
      <c r="C13" t="s">
        <v>30</v>
      </c>
      <c r="D13" s="153">
        <v>45288</v>
      </c>
      <c r="E13" s="2" t="s">
        <v>23</v>
      </c>
      <c r="F13" t="s">
        <v>28</v>
      </c>
      <c r="G13">
        <v>4</v>
      </c>
      <c r="H13" s="76" t="s">
        <v>3118</v>
      </c>
      <c r="I13" s="9"/>
      <c r="J13" s="9" t="s">
        <v>3119</v>
      </c>
      <c r="K13" s="9" t="s">
        <v>3120</v>
      </c>
      <c r="L13" s="2" t="s">
        <v>26</v>
      </c>
      <c r="M13">
        <v>2.2000000000000002</v>
      </c>
    </row>
    <row r="14" spans="1:15" ht="30.75">
      <c r="A14" s="153">
        <v>45321</v>
      </c>
      <c r="B14" s="154">
        <v>94.4</v>
      </c>
      <c r="C14" t="s">
        <v>32</v>
      </c>
      <c r="D14" s="153">
        <v>45321</v>
      </c>
      <c r="E14" s="2" t="s">
        <v>23</v>
      </c>
      <c r="F14" t="s">
        <v>28</v>
      </c>
      <c r="G14">
        <v>5</v>
      </c>
      <c r="H14" s="76" t="s">
        <v>3121</v>
      </c>
      <c r="I14" s="9"/>
      <c r="J14" s="9" t="s">
        <v>3122</v>
      </c>
      <c r="K14" s="9" t="s">
        <v>3123</v>
      </c>
      <c r="L14" s="2" t="s">
        <v>26</v>
      </c>
      <c r="M14">
        <v>2</v>
      </c>
    </row>
    <row r="15" spans="1:15" ht="30.75">
      <c r="A15" s="153">
        <v>45363</v>
      </c>
      <c r="B15" s="154">
        <v>94.4</v>
      </c>
      <c r="C15" t="s">
        <v>34</v>
      </c>
      <c r="D15" s="153">
        <v>45351</v>
      </c>
      <c r="E15" s="2" t="s">
        <v>23</v>
      </c>
      <c r="F15" t="s">
        <v>24</v>
      </c>
      <c r="G15">
        <v>6</v>
      </c>
      <c r="H15" s="76" t="s">
        <v>3124</v>
      </c>
      <c r="I15" s="9"/>
      <c r="J15" s="9" t="s">
        <v>3125</v>
      </c>
      <c r="K15" s="9" t="s">
        <v>3126</v>
      </c>
      <c r="L15" s="2" t="s">
        <v>26</v>
      </c>
      <c r="M15">
        <v>3.2</v>
      </c>
      <c r="O15" t="s">
        <v>36</v>
      </c>
    </row>
    <row r="16" spans="1:15" ht="30.75">
      <c r="A16" s="99">
        <v>45565</v>
      </c>
      <c r="B16" s="530">
        <v>94.4</v>
      </c>
      <c r="C16" s="531" t="s">
        <v>38</v>
      </c>
      <c r="D16" s="532">
        <v>45378</v>
      </c>
      <c r="E16" s="531" t="s">
        <v>23</v>
      </c>
      <c r="F16" s="531" t="s">
        <v>24</v>
      </c>
      <c r="G16" s="531">
        <v>7</v>
      </c>
      <c r="H16" s="527" t="s">
        <v>3127</v>
      </c>
      <c r="I16" s="533"/>
      <c r="J16" s="533" t="s">
        <v>3128</v>
      </c>
      <c r="K16" s="533" t="s">
        <v>3129</v>
      </c>
      <c r="L16" s="100" t="s">
        <v>26</v>
      </c>
      <c r="M16" s="526">
        <v>2.2000000000000002</v>
      </c>
    </row>
    <row r="17" spans="1:19" ht="30.75">
      <c r="A17" s="7">
        <v>45411</v>
      </c>
      <c r="B17" s="8">
        <v>94.4</v>
      </c>
      <c r="C17" t="s">
        <v>41</v>
      </c>
      <c r="D17" s="153">
        <v>45411</v>
      </c>
      <c r="E17" s="2" t="s">
        <v>23</v>
      </c>
      <c r="F17" s="2" t="s">
        <v>24</v>
      </c>
      <c r="G17">
        <v>8</v>
      </c>
      <c r="H17" s="76" t="s">
        <v>3130</v>
      </c>
      <c r="I17" s="9"/>
      <c r="J17" s="9" t="s">
        <v>3131</v>
      </c>
      <c r="K17" s="9" t="s">
        <v>3132</v>
      </c>
      <c r="L17" t="s">
        <v>3133</v>
      </c>
      <c r="M17">
        <v>2.2000000000000002</v>
      </c>
      <c r="S17" t="s">
        <v>36</v>
      </c>
    </row>
    <row r="18" spans="1:19" ht="30.75">
      <c r="A18" s="519" t="s">
        <v>3134</v>
      </c>
      <c r="B18" s="509">
        <v>94.4</v>
      </c>
      <c r="C18" s="290" t="s">
        <v>44</v>
      </c>
      <c r="D18" s="507">
        <v>45442</v>
      </c>
      <c r="E18" s="100" t="s">
        <v>23</v>
      </c>
      <c r="F18" s="100" t="s">
        <v>24</v>
      </c>
      <c r="G18" s="290">
        <v>9</v>
      </c>
      <c r="H18" s="174" t="s">
        <v>3135</v>
      </c>
      <c r="I18" s="101"/>
      <c r="J18" s="101" t="s">
        <v>3136</v>
      </c>
      <c r="K18" s="101" t="s">
        <v>3137</v>
      </c>
      <c r="L18" s="519" t="s">
        <v>1805</v>
      </c>
      <c r="M18" s="290">
        <v>2.8</v>
      </c>
    </row>
    <row r="19" spans="1:19" ht="30.75">
      <c r="A19" s="153">
        <v>45470</v>
      </c>
      <c r="B19" s="508" t="s">
        <v>2201</v>
      </c>
      <c r="C19" t="s">
        <v>57</v>
      </c>
      <c r="D19" s="153">
        <v>45470</v>
      </c>
      <c r="E19" s="2" t="s">
        <v>23</v>
      </c>
      <c r="F19" t="s">
        <v>28</v>
      </c>
      <c r="G19">
        <v>10</v>
      </c>
      <c r="H19" s="76">
        <v>25820</v>
      </c>
      <c r="I19" s="9"/>
      <c r="J19" s="9" t="s">
        <v>3138</v>
      </c>
      <c r="K19" s="9" t="s">
        <v>3139</v>
      </c>
      <c r="L19" t="s">
        <v>26</v>
      </c>
      <c r="M19">
        <v>2.8</v>
      </c>
    </row>
    <row r="20" spans="1:19" ht="30.75">
      <c r="A20" s="519" t="s">
        <v>3134</v>
      </c>
      <c r="B20" s="509">
        <v>94.4</v>
      </c>
      <c r="C20" s="290" t="s">
        <v>47</v>
      </c>
      <c r="D20" s="507">
        <v>45503</v>
      </c>
      <c r="E20" s="100" t="s">
        <v>23</v>
      </c>
      <c r="F20" s="100" t="s">
        <v>24</v>
      </c>
      <c r="G20" s="290"/>
      <c r="H20" s="174" t="s">
        <v>2878</v>
      </c>
      <c r="I20" s="101"/>
      <c r="J20" s="101" t="s">
        <v>3140</v>
      </c>
      <c r="K20" s="101" t="s">
        <v>3141</v>
      </c>
      <c r="L20" s="519" t="s">
        <v>1805</v>
      </c>
      <c r="M20" s="290">
        <v>3.1</v>
      </c>
    </row>
    <row r="21" spans="1:19" ht="30.75">
      <c r="B21" s="154"/>
      <c r="E21" s="2" t="s">
        <v>23</v>
      </c>
      <c r="H21" s="76"/>
      <c r="I21" s="9"/>
      <c r="J21" s="9"/>
      <c r="K21" s="9"/>
    </row>
    <row r="22" spans="1:19" ht="30.75">
      <c r="E22" s="2" t="s">
        <v>23</v>
      </c>
      <c r="H22" s="76"/>
      <c r="I22" s="9"/>
      <c r="J22" s="9"/>
      <c r="K22" s="9"/>
    </row>
    <row r="23" spans="1:19" ht="30.75">
      <c r="E23" s="2" t="s">
        <v>23</v>
      </c>
      <c r="H23" s="76"/>
      <c r="I23" s="9"/>
      <c r="J23" s="9"/>
      <c r="K23" s="9"/>
    </row>
    <row r="24" spans="1:19" ht="30.75">
      <c r="E24" s="2" t="s">
        <v>23</v>
      </c>
      <c r="H24" s="76"/>
      <c r="I24" s="9"/>
      <c r="J24" s="9"/>
      <c r="K24" s="9"/>
    </row>
    <row r="25" spans="1:19" ht="30.75">
      <c r="E25" s="2" t="s">
        <v>23</v>
      </c>
      <c r="H25" s="76"/>
      <c r="I25" s="9"/>
      <c r="J25" s="9"/>
      <c r="K25" s="9"/>
    </row>
    <row r="26" spans="1:19" ht="30.75">
      <c r="E26" s="2" t="s">
        <v>23</v>
      </c>
      <c r="H26" s="76"/>
      <c r="I26" s="9"/>
    </row>
    <row r="27" spans="1:19">
      <c r="H27" s="76"/>
      <c r="I27" s="9"/>
    </row>
    <row r="28" spans="1:19">
      <c r="H28" s="76"/>
      <c r="I28" s="9"/>
    </row>
    <row r="29" spans="1:19">
      <c r="H29" s="76"/>
      <c r="I29" s="9"/>
    </row>
    <row r="30" spans="1:19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N5"/>
    <mergeCell ref="A1:F1"/>
    <mergeCell ref="B2:F2"/>
    <mergeCell ref="H2:L2"/>
    <mergeCell ref="F3:N3"/>
    <mergeCell ref="B4:E4"/>
  </mergeCells>
  <dataValidations count="2">
    <dataValidation type="list" allowBlank="1" showInputMessage="1" showErrorMessage="1" sqref="C10:C30" xr:uid="{49034048-8D83-4426-915F-3C2705F68AD6}">
      <formula1>"ENERO,FEBRERO,MARZO,ABRIL,MAYO,JUNIO,JULIO,AGOSTO,SEPTIEMBRE,OCTUBRE,NOVIEMBRE,DICIEMBRE"</formula1>
    </dataValidation>
    <dataValidation type="list" allowBlank="1" showInputMessage="1" showErrorMessage="1" sqref="F10:F30" xr:uid="{02C0E4F8-B287-436C-85A6-98B028020C64}">
      <formula1>"EFECTIVO, CHEQUE, TRANSFERENCIA,DEPOSITO"</formula1>
    </dataValidation>
  </dataValidations>
  <hyperlinks>
    <hyperlink ref="B4:E4" r:id="rId1" display="luviasaraviahernandez@gmail.com " xr:uid="{A73CE932-411A-46D6-AAEA-3B1822E9737F}"/>
  </hyperlinks>
  <pageMargins left="0.7" right="0.7" top="0.75" bottom="0.75" header="0.3" footer="0.3"/>
  <tableParts count="1">
    <tablePart r:id="rId2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9B0A-5A3E-4465-AD51-FDB854C490B7}">
  <dimension ref="A1:S433"/>
  <sheetViews>
    <sheetView topLeftCell="A35" workbookViewId="0">
      <selection activeCell="R45" sqref="R45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9.140625" customWidth="1"/>
    <col min="12" max="12" width="15.28515625" customWidth="1"/>
    <col min="14" max="14" width="17.5703125" bestFit="1" customWidth="1"/>
  </cols>
  <sheetData>
    <row r="1" spans="1:15" ht="23.25" customHeight="1">
      <c r="A1" s="789" t="s">
        <v>3142</v>
      </c>
      <c r="B1" s="788"/>
      <c r="C1" s="788"/>
      <c r="D1" s="788"/>
      <c r="E1" s="788"/>
      <c r="F1" s="788"/>
    </row>
    <row r="2" spans="1:15" ht="18.75" customHeight="1">
      <c r="A2" s="2" t="s">
        <v>1729</v>
      </c>
      <c r="B2" s="790" t="s">
        <v>3143</v>
      </c>
      <c r="C2" s="790"/>
      <c r="D2" s="790"/>
      <c r="E2" s="790"/>
      <c r="F2" s="790"/>
      <c r="G2" s="256"/>
      <c r="H2" s="693" t="s">
        <v>3144</v>
      </c>
      <c r="I2" s="693"/>
      <c r="J2" s="693"/>
      <c r="K2" s="693"/>
      <c r="L2" s="693"/>
    </row>
    <row r="3" spans="1:15" ht="18.75">
      <c r="A3" s="2" t="s">
        <v>1</v>
      </c>
      <c r="B3" s="790">
        <v>10408266896</v>
      </c>
      <c r="C3" s="790"/>
      <c r="D3" s="790"/>
      <c r="E3" s="790"/>
      <c r="F3" s="790"/>
      <c r="G3" s="637"/>
      <c r="H3" s="637"/>
      <c r="I3" s="637"/>
      <c r="J3" s="637" t="s">
        <v>36</v>
      </c>
      <c r="K3" s="637"/>
      <c r="L3" s="637" t="s">
        <v>36</v>
      </c>
      <c r="M3" s="637"/>
      <c r="N3" s="637"/>
    </row>
    <row r="4" spans="1:15" ht="15" customHeight="1">
      <c r="A4" s="2" t="s">
        <v>2277</v>
      </c>
      <c r="B4" s="798" t="s">
        <v>3145</v>
      </c>
      <c r="C4" s="798"/>
      <c r="D4" s="798"/>
      <c r="E4" s="798"/>
    </row>
    <row r="5" spans="1:15" ht="23.25" customHeight="1">
      <c r="A5" s="257" t="s">
        <v>4</v>
      </c>
      <c r="B5" s="786">
        <v>45988</v>
      </c>
      <c r="C5" s="787"/>
      <c r="F5" s="258"/>
      <c r="G5" s="806" t="s">
        <v>3146</v>
      </c>
      <c r="H5" s="788"/>
      <c r="I5" s="788"/>
      <c r="J5" s="788"/>
      <c r="K5" s="788"/>
      <c r="L5" s="788"/>
      <c r="M5" s="788"/>
      <c r="N5" s="788"/>
    </row>
    <row r="9" spans="1:15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99</v>
      </c>
      <c r="L9" s="259" t="s">
        <v>18</v>
      </c>
      <c r="M9" s="265" t="s">
        <v>2779</v>
      </c>
      <c r="N9" s="550" t="s">
        <v>19</v>
      </c>
      <c r="O9" s="260"/>
    </row>
    <row r="10" spans="1:15" ht="30.75">
      <c r="A10" s="266">
        <v>45196</v>
      </c>
      <c r="B10" s="8">
        <v>200</v>
      </c>
      <c r="C10" s="2" t="s">
        <v>54</v>
      </c>
      <c r="D10" s="153">
        <v>45227</v>
      </c>
      <c r="E10" s="2" t="s">
        <v>23</v>
      </c>
      <c r="F10" s="2" t="s">
        <v>24</v>
      </c>
      <c r="G10" s="2">
        <v>1</v>
      </c>
      <c r="H10" s="76" t="s">
        <v>3147</v>
      </c>
      <c r="I10" s="9"/>
      <c r="J10" s="9" t="s">
        <v>3148</v>
      </c>
      <c r="K10" s="9" t="s">
        <v>3149</v>
      </c>
      <c r="L10" s="2" t="s">
        <v>72</v>
      </c>
      <c r="M10">
        <v>1</v>
      </c>
      <c r="N10" s="526"/>
    </row>
    <row r="11" spans="1:15" ht="30.75">
      <c r="A11" s="266">
        <v>45196</v>
      </c>
      <c r="B11" s="8">
        <v>200</v>
      </c>
      <c r="C11" t="s">
        <v>27</v>
      </c>
      <c r="D11" s="153">
        <v>45260</v>
      </c>
      <c r="E11" s="2" t="s">
        <v>23</v>
      </c>
      <c r="F11" s="2" t="s">
        <v>24</v>
      </c>
      <c r="G11">
        <v>2</v>
      </c>
      <c r="H11" s="76" t="s">
        <v>3147</v>
      </c>
      <c r="I11" s="9"/>
      <c r="J11" s="9" t="s">
        <v>3150</v>
      </c>
      <c r="K11" s="9" t="s">
        <v>3151</v>
      </c>
      <c r="L11" s="2" t="s">
        <v>72</v>
      </c>
      <c r="M11">
        <v>2.2000000000000002</v>
      </c>
      <c r="N11" s="526"/>
    </row>
    <row r="12" spans="1:15" ht="30.75">
      <c r="A12" s="266">
        <v>45196</v>
      </c>
      <c r="B12" s="8">
        <v>200</v>
      </c>
      <c r="C12" t="s">
        <v>30</v>
      </c>
      <c r="D12" s="153">
        <v>45289</v>
      </c>
      <c r="E12" s="2" t="s">
        <v>23</v>
      </c>
      <c r="F12" s="2" t="s">
        <v>24</v>
      </c>
      <c r="G12">
        <v>3</v>
      </c>
      <c r="H12" s="76" t="s">
        <v>3147</v>
      </c>
      <c r="I12" s="9"/>
      <c r="J12" s="9" t="s">
        <v>3152</v>
      </c>
      <c r="K12" s="9" t="s">
        <v>3153</v>
      </c>
      <c r="L12" s="2" t="s">
        <v>72</v>
      </c>
      <c r="M12">
        <v>2.2000000000000002</v>
      </c>
      <c r="N12" s="526"/>
    </row>
    <row r="13" spans="1:15" ht="30.75">
      <c r="A13" s="153">
        <v>45314</v>
      </c>
      <c r="B13" s="154">
        <v>200</v>
      </c>
      <c r="C13" t="s">
        <v>32</v>
      </c>
      <c r="D13" s="153">
        <v>45322</v>
      </c>
      <c r="E13" s="2" t="s">
        <v>23</v>
      </c>
      <c r="F13" t="s">
        <v>24</v>
      </c>
      <c r="G13">
        <v>4</v>
      </c>
      <c r="H13" s="76" t="s">
        <v>3154</v>
      </c>
      <c r="I13" s="9"/>
      <c r="J13" s="9" t="s">
        <v>3155</v>
      </c>
      <c r="K13" s="9" t="s">
        <v>3156</v>
      </c>
      <c r="L13" s="2" t="s">
        <v>26</v>
      </c>
      <c r="M13">
        <v>4.2</v>
      </c>
      <c r="N13" s="526"/>
    </row>
    <row r="14" spans="1:15" ht="30.75">
      <c r="A14" s="153">
        <v>45351</v>
      </c>
      <c r="B14" s="154">
        <v>200</v>
      </c>
      <c r="C14" t="s">
        <v>34</v>
      </c>
      <c r="D14" s="153">
        <v>45351</v>
      </c>
      <c r="E14" s="2" t="s">
        <v>23</v>
      </c>
      <c r="F14" t="s">
        <v>28</v>
      </c>
      <c r="G14">
        <v>5</v>
      </c>
      <c r="H14" s="76" t="s">
        <v>3157</v>
      </c>
      <c r="I14" s="9"/>
      <c r="J14" s="9" t="s">
        <v>3158</v>
      </c>
      <c r="K14" s="9" t="s">
        <v>3159</v>
      </c>
      <c r="L14" s="2" t="s">
        <v>26</v>
      </c>
      <c r="M14">
        <v>3.2</v>
      </c>
      <c r="N14" s="526"/>
    </row>
    <row r="15" spans="1:15" ht="30.75">
      <c r="A15" s="153">
        <v>45378</v>
      </c>
      <c r="B15" s="154">
        <v>200</v>
      </c>
      <c r="C15" t="s">
        <v>38</v>
      </c>
      <c r="D15" s="153">
        <v>45378</v>
      </c>
      <c r="E15" s="2" t="s">
        <v>23</v>
      </c>
      <c r="F15" t="s">
        <v>28</v>
      </c>
      <c r="G15">
        <v>6</v>
      </c>
      <c r="H15" s="76" t="s">
        <v>3160</v>
      </c>
      <c r="I15" s="9"/>
      <c r="J15" s="9" t="s">
        <v>3161</v>
      </c>
      <c r="K15" s="9" t="s">
        <v>3162</v>
      </c>
      <c r="L15" s="2" t="s">
        <v>26</v>
      </c>
      <c r="M15">
        <v>3.2</v>
      </c>
      <c r="N15" s="526"/>
      <c r="O15" t="s">
        <v>36</v>
      </c>
    </row>
    <row r="16" spans="1:15" ht="30.75">
      <c r="A16" s="7">
        <v>45412</v>
      </c>
      <c r="B16" s="8">
        <v>200</v>
      </c>
      <c r="C16" s="2" t="s">
        <v>41</v>
      </c>
      <c r="D16" s="7">
        <v>45412</v>
      </c>
      <c r="E16" s="2" t="s">
        <v>23</v>
      </c>
      <c r="F16" s="2" t="s">
        <v>28</v>
      </c>
      <c r="G16" s="2">
        <v>7</v>
      </c>
      <c r="H16" s="76" t="s">
        <v>3163</v>
      </c>
      <c r="I16" s="9"/>
      <c r="J16" s="9" t="s">
        <v>3164</v>
      </c>
      <c r="K16" s="9" t="s">
        <v>3165</v>
      </c>
      <c r="L16" s="2" t="s">
        <v>26</v>
      </c>
      <c r="M16">
        <v>8.8000000000000007</v>
      </c>
      <c r="N16" s="526"/>
    </row>
    <row r="17" spans="1:19" ht="30.75">
      <c r="A17" s="7">
        <v>45443</v>
      </c>
      <c r="B17" s="8">
        <v>200</v>
      </c>
      <c r="C17" t="s">
        <v>44</v>
      </c>
      <c r="D17" s="153">
        <v>45443</v>
      </c>
      <c r="E17" s="2" t="s">
        <v>23</v>
      </c>
      <c r="F17" s="2" t="s">
        <v>28</v>
      </c>
      <c r="G17">
        <v>8</v>
      </c>
      <c r="H17" s="76" t="s">
        <v>3166</v>
      </c>
      <c r="I17" s="9"/>
      <c r="J17" s="9" t="s">
        <v>3167</v>
      </c>
      <c r="K17" s="9" t="s">
        <v>3168</v>
      </c>
      <c r="L17" t="s">
        <v>26</v>
      </c>
      <c r="M17">
        <v>4.8</v>
      </c>
      <c r="N17" s="526"/>
      <c r="S17" t="s">
        <v>36</v>
      </c>
    </row>
    <row r="18" spans="1:19" ht="30.75">
      <c r="A18" s="153">
        <v>45471</v>
      </c>
      <c r="B18" s="154">
        <v>200</v>
      </c>
      <c r="C18" t="s">
        <v>57</v>
      </c>
      <c r="D18" s="153">
        <v>45471</v>
      </c>
      <c r="E18" s="2" t="s">
        <v>23</v>
      </c>
      <c r="F18" t="s">
        <v>28</v>
      </c>
      <c r="G18">
        <v>9</v>
      </c>
      <c r="H18" s="76">
        <v>25829</v>
      </c>
      <c r="I18" s="9"/>
      <c r="J18" s="9" t="s">
        <v>3169</v>
      </c>
      <c r="K18" s="9" t="s">
        <v>3170</v>
      </c>
      <c r="L18" t="s">
        <v>26</v>
      </c>
      <c r="M18">
        <v>6.3</v>
      </c>
      <c r="N18" s="526"/>
    </row>
    <row r="19" spans="1:19" ht="30.75">
      <c r="A19" s="153">
        <v>45504</v>
      </c>
      <c r="B19" s="154">
        <v>200</v>
      </c>
      <c r="C19" t="s">
        <v>47</v>
      </c>
      <c r="D19" s="153">
        <v>45504</v>
      </c>
      <c r="E19" s="2" t="s">
        <v>23</v>
      </c>
      <c r="F19" t="s">
        <v>28</v>
      </c>
      <c r="G19">
        <v>10</v>
      </c>
      <c r="H19" s="76" t="s">
        <v>3171</v>
      </c>
      <c r="I19" s="9"/>
      <c r="J19" s="9" t="s">
        <v>3172</v>
      </c>
      <c r="K19" s="9" t="s">
        <v>3173</v>
      </c>
      <c r="L19" t="s">
        <v>26</v>
      </c>
      <c r="M19">
        <v>6.3</v>
      </c>
      <c r="N19" s="526"/>
    </row>
    <row r="20" spans="1:19" ht="30.75">
      <c r="A20" s="153">
        <v>45533</v>
      </c>
      <c r="B20" s="154">
        <v>200</v>
      </c>
      <c r="C20" t="s">
        <v>50</v>
      </c>
      <c r="D20" s="153">
        <v>45533</v>
      </c>
      <c r="E20" s="2" t="s">
        <v>23</v>
      </c>
      <c r="F20" t="s">
        <v>28</v>
      </c>
      <c r="G20">
        <v>11</v>
      </c>
      <c r="H20" s="76" t="s">
        <v>3174</v>
      </c>
      <c r="I20" s="9"/>
      <c r="J20" s="9" t="s">
        <v>3175</v>
      </c>
      <c r="K20" s="9"/>
      <c r="L20" t="s">
        <v>26</v>
      </c>
      <c r="M20">
        <v>8.1999999999999993</v>
      </c>
      <c r="N20" s="526"/>
    </row>
    <row r="21" spans="1:19" ht="30.75">
      <c r="A21" s="153">
        <v>45567</v>
      </c>
      <c r="B21" s="154">
        <v>200</v>
      </c>
      <c r="C21" t="s">
        <v>22</v>
      </c>
      <c r="D21" s="153">
        <v>45565</v>
      </c>
      <c r="E21" s="2" t="s">
        <v>23</v>
      </c>
      <c r="F21" t="s">
        <v>28</v>
      </c>
      <c r="G21">
        <v>12</v>
      </c>
      <c r="H21" s="76" t="s">
        <v>3176</v>
      </c>
      <c r="I21" s="9"/>
      <c r="J21" s="9" t="s">
        <v>3177</v>
      </c>
      <c r="K21" s="9" t="s">
        <v>3178</v>
      </c>
      <c r="L21" t="s">
        <v>26</v>
      </c>
      <c r="M21">
        <v>8.8000000000000007</v>
      </c>
      <c r="N21" s="526"/>
    </row>
    <row r="22" spans="1:19" ht="30.75">
      <c r="A22" s="153">
        <v>45595</v>
      </c>
      <c r="B22" s="154">
        <v>200</v>
      </c>
      <c r="C22" t="s">
        <v>54</v>
      </c>
      <c r="D22" s="153">
        <v>45595</v>
      </c>
      <c r="E22" s="2" t="s">
        <v>23</v>
      </c>
      <c r="F22" t="s">
        <v>28</v>
      </c>
      <c r="G22">
        <v>13</v>
      </c>
      <c r="H22" s="76" t="s">
        <v>3179</v>
      </c>
      <c r="I22" s="9"/>
      <c r="J22" s="9" t="s">
        <v>3180</v>
      </c>
      <c r="K22" s="9" t="s">
        <v>3181</v>
      </c>
      <c r="L22" t="s">
        <v>26</v>
      </c>
      <c r="M22">
        <v>6.8</v>
      </c>
      <c r="N22" s="526"/>
    </row>
    <row r="23" spans="1:19" ht="30.75">
      <c r="A23" t="s">
        <v>3182</v>
      </c>
      <c r="B23" s="154">
        <v>200</v>
      </c>
      <c r="C23" t="s">
        <v>27</v>
      </c>
      <c r="D23" s="153">
        <v>45624</v>
      </c>
      <c r="E23" s="2" t="s">
        <v>23</v>
      </c>
      <c r="F23" t="s">
        <v>28</v>
      </c>
      <c r="G23">
        <v>14</v>
      </c>
      <c r="H23" s="76" t="s">
        <v>3183</v>
      </c>
      <c r="I23" s="9"/>
      <c r="J23" s="9" t="s">
        <v>3184</v>
      </c>
      <c r="K23" s="9" t="s">
        <v>3185</v>
      </c>
      <c r="L23" t="s">
        <v>26</v>
      </c>
      <c r="M23">
        <v>7.1</v>
      </c>
      <c r="N23" s="526"/>
    </row>
    <row r="24" spans="1:19" ht="30.75">
      <c r="A24" t="s">
        <v>3186</v>
      </c>
      <c r="B24" s="154">
        <v>200</v>
      </c>
      <c r="C24" t="s">
        <v>30</v>
      </c>
      <c r="D24" s="153">
        <v>45657</v>
      </c>
      <c r="E24" s="2" t="s">
        <v>23</v>
      </c>
      <c r="F24" t="s">
        <v>28</v>
      </c>
      <c r="G24">
        <v>15</v>
      </c>
      <c r="H24" s="76" t="s">
        <v>3187</v>
      </c>
      <c r="I24" s="9"/>
      <c r="J24" s="9" t="s">
        <v>3099</v>
      </c>
      <c r="K24" s="9" t="s">
        <v>3188</v>
      </c>
      <c r="L24" t="s">
        <v>26</v>
      </c>
      <c r="M24">
        <v>7.1</v>
      </c>
      <c r="N24" s="526"/>
    </row>
    <row r="25" spans="1:19" ht="30.75">
      <c r="A25" t="s">
        <v>274</v>
      </c>
      <c r="B25" s="154">
        <v>200</v>
      </c>
      <c r="C25" t="s">
        <v>32</v>
      </c>
      <c r="D25" t="s">
        <v>274</v>
      </c>
      <c r="E25" s="2" t="s">
        <v>23</v>
      </c>
      <c r="F25" t="s">
        <v>28</v>
      </c>
      <c r="G25">
        <v>16</v>
      </c>
      <c r="H25" s="76" t="s">
        <v>3189</v>
      </c>
      <c r="I25" s="9"/>
      <c r="J25" s="9" t="s">
        <v>3190</v>
      </c>
      <c r="K25" s="9"/>
      <c r="L25" t="s">
        <v>26</v>
      </c>
      <c r="M25">
        <v>10</v>
      </c>
      <c r="N25" s="526"/>
    </row>
    <row r="26" spans="1:19" ht="30.75">
      <c r="A26" s="153">
        <v>45717</v>
      </c>
      <c r="B26" s="154">
        <v>200</v>
      </c>
      <c r="C26" t="s">
        <v>34</v>
      </c>
      <c r="D26" s="153">
        <v>45716</v>
      </c>
      <c r="E26" s="2" t="s">
        <v>23</v>
      </c>
      <c r="F26" s="2" t="s">
        <v>24</v>
      </c>
      <c r="H26" s="76" t="s">
        <v>3191</v>
      </c>
      <c r="I26" s="9"/>
      <c r="J26">
        <v>45571</v>
      </c>
      <c r="L26" t="s">
        <v>72</v>
      </c>
      <c r="M26">
        <v>8.8000000000000007</v>
      </c>
      <c r="N26" s="526"/>
    </row>
    <row r="27" spans="1:19" ht="30.75">
      <c r="A27" s="153">
        <v>45744</v>
      </c>
      <c r="B27" s="154">
        <v>200</v>
      </c>
      <c r="C27" t="s">
        <v>38</v>
      </c>
      <c r="D27" s="153">
        <v>45744</v>
      </c>
      <c r="E27" s="2" t="s">
        <v>23</v>
      </c>
      <c r="F27" s="2" t="s">
        <v>28</v>
      </c>
      <c r="H27" s="76" t="s">
        <v>3192</v>
      </c>
      <c r="I27" s="9"/>
      <c r="J27">
        <v>46455</v>
      </c>
      <c r="L27" t="s">
        <v>26</v>
      </c>
      <c r="M27">
        <v>7.3</v>
      </c>
      <c r="N27" s="526"/>
    </row>
    <row r="28" spans="1:19" ht="30.75">
      <c r="A28" s="153">
        <v>45777</v>
      </c>
      <c r="B28" s="154">
        <v>200</v>
      </c>
      <c r="C28" t="s">
        <v>41</v>
      </c>
      <c r="D28" s="153">
        <v>45777</v>
      </c>
      <c r="E28" s="2" t="s">
        <v>23</v>
      </c>
      <c r="F28" t="s">
        <v>28</v>
      </c>
      <c r="H28" s="76" t="s">
        <v>3193</v>
      </c>
      <c r="I28" s="9"/>
      <c r="J28">
        <v>48885</v>
      </c>
      <c r="L28" t="s">
        <v>26</v>
      </c>
      <c r="M28">
        <v>7.1</v>
      </c>
      <c r="N28" s="526"/>
    </row>
    <row r="29" spans="1:19" ht="30.75">
      <c r="A29" s="153">
        <v>45807</v>
      </c>
      <c r="B29" s="154">
        <v>200</v>
      </c>
      <c r="C29" t="s">
        <v>44</v>
      </c>
      <c r="D29" s="153">
        <v>45807</v>
      </c>
      <c r="E29" s="2" t="s">
        <v>23</v>
      </c>
      <c r="F29" t="s">
        <v>28</v>
      </c>
      <c r="H29" s="76" t="s">
        <v>3194</v>
      </c>
      <c r="I29" s="9"/>
      <c r="J29">
        <v>48526</v>
      </c>
      <c r="L29" t="s">
        <v>26</v>
      </c>
      <c r="M29">
        <v>8.4</v>
      </c>
      <c r="N29" s="526"/>
    </row>
    <row r="30" spans="1:19" ht="30.75">
      <c r="A30" s="153">
        <v>45838</v>
      </c>
      <c r="B30" s="154">
        <v>200</v>
      </c>
      <c r="C30" t="s">
        <v>57</v>
      </c>
      <c r="D30" s="153">
        <v>45838</v>
      </c>
      <c r="E30" s="2" t="s">
        <v>23</v>
      </c>
      <c r="F30" t="s">
        <v>28</v>
      </c>
      <c r="H30" s="76" t="s">
        <v>3195</v>
      </c>
      <c r="I30" s="9"/>
      <c r="J30">
        <v>49966</v>
      </c>
      <c r="L30" t="s">
        <v>26</v>
      </c>
      <c r="M30">
        <v>6.1</v>
      </c>
      <c r="N30" s="526"/>
    </row>
    <row r="31" spans="1:19" ht="30.75">
      <c r="A31" s="528">
        <v>45869</v>
      </c>
      <c r="B31" s="154">
        <v>200</v>
      </c>
      <c r="C31" t="s">
        <v>47</v>
      </c>
      <c r="D31" s="528">
        <v>45869</v>
      </c>
      <c r="E31" s="2" t="s">
        <v>23</v>
      </c>
      <c r="F31" s="526" t="s">
        <v>28</v>
      </c>
      <c r="G31" s="526"/>
      <c r="H31" s="527" t="s">
        <v>3196</v>
      </c>
      <c r="I31" s="526"/>
      <c r="J31" s="526">
        <v>50148</v>
      </c>
      <c r="L31" s="526" t="s">
        <v>26</v>
      </c>
      <c r="M31" s="526">
        <v>9.8000000000000007</v>
      </c>
      <c r="N31" s="526"/>
    </row>
    <row r="32" spans="1:19" ht="30.75">
      <c r="A32" s="528">
        <v>45898</v>
      </c>
      <c r="B32" s="154">
        <v>200</v>
      </c>
      <c r="C32" t="s">
        <v>50</v>
      </c>
      <c r="D32" s="528">
        <v>45898</v>
      </c>
      <c r="E32" s="2" t="s">
        <v>23</v>
      </c>
      <c r="F32" s="526" t="s">
        <v>28</v>
      </c>
      <c r="G32" s="526"/>
      <c r="H32" s="527" t="s">
        <v>3197</v>
      </c>
      <c r="I32" s="526"/>
      <c r="J32" s="526">
        <v>50468</v>
      </c>
      <c r="L32" s="526" t="s">
        <v>26</v>
      </c>
      <c r="M32" s="526">
        <v>9.8000000000000007</v>
      </c>
      <c r="N32" s="526"/>
    </row>
    <row r="33" spans="1:14" ht="30.75">
      <c r="A33" s="528">
        <v>45930</v>
      </c>
      <c r="B33" s="154">
        <v>200</v>
      </c>
      <c r="C33" t="s">
        <v>22</v>
      </c>
      <c r="D33" s="528">
        <v>45930</v>
      </c>
      <c r="E33" s="2" t="s">
        <v>23</v>
      </c>
      <c r="F33" s="526" t="s">
        <v>28</v>
      </c>
      <c r="G33" s="526"/>
      <c r="H33" s="527" t="s">
        <v>3198</v>
      </c>
      <c r="I33" s="526"/>
      <c r="J33" s="526">
        <v>52202</v>
      </c>
      <c r="L33" s="526" t="s">
        <v>26</v>
      </c>
      <c r="M33" s="526">
        <v>8.8000000000000007</v>
      </c>
      <c r="N33" s="526"/>
    </row>
    <row r="34" spans="1:14" ht="30.75">
      <c r="A34" s="528">
        <v>45961</v>
      </c>
      <c r="B34" s="154">
        <v>200</v>
      </c>
      <c r="C34" t="s">
        <v>54</v>
      </c>
      <c r="D34" s="528">
        <v>45961</v>
      </c>
      <c r="E34" s="2" t="s">
        <v>23</v>
      </c>
      <c r="F34" s="526" t="s">
        <v>28</v>
      </c>
      <c r="G34" s="526"/>
      <c r="H34" s="527" t="s">
        <v>3199</v>
      </c>
      <c r="I34" s="526"/>
      <c r="J34" s="526">
        <v>53404</v>
      </c>
      <c r="L34" s="526" t="s">
        <v>26</v>
      </c>
      <c r="M34" s="526">
        <v>8.1</v>
      </c>
      <c r="N34" s="526"/>
    </row>
    <row r="35" spans="1:14" ht="30.75">
      <c r="A35" s="528">
        <v>45990</v>
      </c>
      <c r="B35" s="154">
        <v>200</v>
      </c>
      <c r="C35" t="s">
        <v>27</v>
      </c>
      <c r="D35" s="528">
        <v>45990</v>
      </c>
      <c r="E35" s="2" t="s">
        <v>23</v>
      </c>
      <c r="F35" s="526" t="s">
        <v>28</v>
      </c>
      <c r="G35" s="526"/>
      <c r="H35" s="527" t="s">
        <v>3200</v>
      </c>
      <c r="I35" s="290">
        <v>1488</v>
      </c>
      <c r="J35" s="526">
        <v>54495</v>
      </c>
      <c r="L35" s="526" t="s">
        <v>26</v>
      </c>
      <c r="M35" s="526">
        <v>9.8000000000000007</v>
      </c>
      <c r="N35" s="290" t="s">
        <v>76</v>
      </c>
    </row>
    <row r="36" spans="1:14" ht="30.75">
      <c r="A36" s="528">
        <v>46021</v>
      </c>
      <c r="B36" s="154">
        <v>200</v>
      </c>
      <c r="C36" t="s">
        <v>30</v>
      </c>
      <c r="D36" s="528">
        <v>46021</v>
      </c>
      <c r="E36" s="2" t="s">
        <v>23</v>
      </c>
      <c r="F36" s="531" t="s">
        <v>24</v>
      </c>
      <c r="G36" s="526"/>
      <c r="H36" s="527" t="s">
        <v>3201</v>
      </c>
      <c r="I36" s="526"/>
      <c r="J36" s="526">
        <v>55767</v>
      </c>
      <c r="L36" s="526" t="s">
        <v>72</v>
      </c>
      <c r="M36" s="526">
        <v>8.1</v>
      </c>
      <c r="N36" s="526"/>
    </row>
    <row r="37" spans="1:14" ht="30.75">
      <c r="A37" s="528">
        <v>46057</v>
      </c>
      <c r="B37" s="154">
        <v>200</v>
      </c>
      <c r="C37" t="s">
        <v>32</v>
      </c>
      <c r="D37" s="528">
        <v>46053</v>
      </c>
      <c r="E37" s="2" t="s">
        <v>23</v>
      </c>
      <c r="F37" s="531" t="s">
        <v>24</v>
      </c>
      <c r="G37" s="526"/>
      <c r="H37" s="527" t="s">
        <v>3202</v>
      </c>
      <c r="I37" s="526"/>
      <c r="J37" s="526">
        <v>57038</v>
      </c>
      <c r="L37" s="526" t="s">
        <v>72</v>
      </c>
      <c r="M37" s="526">
        <v>9.9</v>
      </c>
      <c r="N37" s="526"/>
    </row>
    <row r="38" spans="1:14" ht="30.75">
      <c r="A38" s="528">
        <v>46081</v>
      </c>
      <c r="B38" s="154">
        <v>200</v>
      </c>
      <c r="C38" t="s">
        <v>34</v>
      </c>
      <c r="D38" s="528">
        <v>46081</v>
      </c>
      <c r="E38" s="2" t="s">
        <v>23</v>
      </c>
      <c r="F38" s="531" t="s">
        <v>24</v>
      </c>
      <c r="G38" s="526"/>
      <c r="H38" s="527" t="s">
        <v>3203</v>
      </c>
      <c r="I38" s="526"/>
      <c r="J38" s="526">
        <v>58329</v>
      </c>
      <c r="L38" s="526" t="s">
        <v>72</v>
      </c>
      <c r="M38" s="526">
        <v>7.7</v>
      </c>
      <c r="N38" s="526"/>
    </row>
    <row r="39" spans="1:14" ht="30.75">
      <c r="A39" s="528">
        <v>46111</v>
      </c>
      <c r="B39" s="154">
        <v>200</v>
      </c>
      <c r="C39" t="s">
        <v>38</v>
      </c>
      <c r="D39" s="528">
        <v>46111</v>
      </c>
      <c r="E39" s="2" t="s">
        <v>23</v>
      </c>
      <c r="F39" s="526" t="s">
        <v>28</v>
      </c>
      <c r="G39" s="526"/>
      <c r="H39" s="527" t="s">
        <v>3204</v>
      </c>
      <c r="I39" s="526"/>
      <c r="J39" s="526">
        <v>59562</v>
      </c>
      <c r="L39" s="526" t="s">
        <v>26</v>
      </c>
      <c r="M39" s="526">
        <v>8.4</v>
      </c>
      <c r="N39" s="526"/>
    </row>
    <row r="40" spans="1:14" ht="30.75">
      <c r="A40" s="528">
        <v>46142</v>
      </c>
      <c r="B40" s="154">
        <v>200</v>
      </c>
      <c r="C40" t="s">
        <v>41</v>
      </c>
      <c r="D40" s="528">
        <v>46142</v>
      </c>
      <c r="E40" s="2" t="s">
        <v>23</v>
      </c>
      <c r="F40" s="526" t="s">
        <v>28</v>
      </c>
      <c r="G40" s="526"/>
      <c r="H40" s="527" t="s">
        <v>3205</v>
      </c>
      <c r="I40" s="526"/>
      <c r="J40" s="526">
        <v>60954</v>
      </c>
      <c r="L40" s="526" t="s">
        <v>26</v>
      </c>
      <c r="M40" s="526">
        <v>6.7</v>
      </c>
      <c r="N40" s="526"/>
    </row>
    <row r="41" spans="1:14" ht="30.75">
      <c r="A41" s="526"/>
      <c r="B41" s="154">
        <v>200</v>
      </c>
      <c r="C41" t="s">
        <v>44</v>
      </c>
      <c r="D41" s="528">
        <v>46172</v>
      </c>
      <c r="E41" s="2" t="s">
        <v>23</v>
      </c>
      <c r="F41" s="531" t="s">
        <v>24</v>
      </c>
      <c r="G41" s="526"/>
      <c r="H41" s="527" t="s">
        <v>3206</v>
      </c>
      <c r="I41" s="526"/>
      <c r="J41" s="526">
        <v>62278</v>
      </c>
      <c r="L41" s="541" t="s">
        <v>1805</v>
      </c>
      <c r="M41" s="526">
        <v>7.1</v>
      </c>
      <c r="N41" s="526"/>
    </row>
    <row r="42" spans="1:14" ht="30.75">
      <c r="A42" s="526"/>
      <c r="B42" s="526"/>
      <c r="C42" s="526"/>
      <c r="D42" s="526"/>
      <c r="E42" s="2" t="s">
        <v>23</v>
      </c>
      <c r="F42" s="526"/>
      <c r="G42" s="526"/>
      <c r="H42" s="527"/>
      <c r="I42" s="526"/>
      <c r="J42" s="526"/>
      <c r="L42" s="526"/>
      <c r="M42" s="526"/>
      <c r="N42" s="526"/>
    </row>
    <row r="43" spans="1:14" ht="30.75">
      <c r="A43" s="526"/>
      <c r="B43" s="526"/>
      <c r="C43" s="526"/>
      <c r="D43" s="526"/>
      <c r="E43" s="2" t="s">
        <v>23</v>
      </c>
      <c r="F43" s="526"/>
      <c r="G43" s="526"/>
      <c r="H43" s="527"/>
      <c r="I43" s="526"/>
      <c r="J43" s="526"/>
      <c r="L43" s="526"/>
      <c r="M43" s="526"/>
      <c r="N43" s="526"/>
    </row>
    <row r="44" spans="1:14" ht="30.75">
      <c r="A44" s="526"/>
      <c r="B44" s="526"/>
      <c r="C44" s="526"/>
      <c r="D44" s="526"/>
      <c r="E44" s="2" t="s">
        <v>23</v>
      </c>
      <c r="F44" s="526"/>
      <c r="G44" s="526"/>
      <c r="H44" s="527"/>
      <c r="I44" s="526"/>
      <c r="J44" s="526"/>
      <c r="L44" s="526"/>
      <c r="M44" s="526"/>
      <c r="N44" s="526"/>
    </row>
    <row r="45" spans="1:14" ht="30.75">
      <c r="A45" s="526"/>
      <c r="B45" s="526"/>
      <c r="C45" s="526"/>
      <c r="D45" s="526"/>
      <c r="E45" s="2" t="s">
        <v>23</v>
      </c>
      <c r="F45" s="526"/>
      <c r="G45" s="526"/>
      <c r="H45" s="527"/>
      <c r="I45" s="526"/>
      <c r="J45" s="526"/>
      <c r="L45" s="526"/>
      <c r="M45" s="526"/>
      <c r="N45" s="526"/>
    </row>
    <row r="46" spans="1:14" ht="30.75">
      <c r="A46" s="526"/>
      <c r="B46" s="526"/>
      <c r="C46" s="526"/>
      <c r="D46" s="526"/>
      <c r="E46" s="2" t="s">
        <v>23</v>
      </c>
      <c r="F46" s="526"/>
      <c r="G46" s="526"/>
      <c r="H46" s="527"/>
      <c r="I46" s="526"/>
      <c r="J46" s="526"/>
      <c r="L46" s="526"/>
      <c r="M46" s="526"/>
      <c r="N46" s="526"/>
    </row>
    <row r="47" spans="1:14" ht="30.75">
      <c r="A47" s="526"/>
      <c r="B47" s="526"/>
      <c r="C47" s="526"/>
      <c r="D47" s="526"/>
      <c r="E47" s="2" t="s">
        <v>23</v>
      </c>
      <c r="F47" s="526"/>
      <c r="G47" s="526"/>
      <c r="H47" s="527"/>
      <c r="I47" s="526"/>
      <c r="J47" s="526"/>
      <c r="L47" s="526"/>
      <c r="M47" s="526"/>
      <c r="N47" s="526"/>
    </row>
    <row r="48" spans="1:14" ht="30.75">
      <c r="A48" s="526"/>
      <c r="B48" s="526"/>
      <c r="C48" s="526"/>
      <c r="D48" s="526"/>
      <c r="E48" s="2" t="s">
        <v>23</v>
      </c>
      <c r="F48" s="526"/>
      <c r="G48" s="526"/>
      <c r="H48" s="527"/>
      <c r="I48" s="526"/>
      <c r="J48" s="526"/>
      <c r="L48" s="526"/>
      <c r="M48" s="526"/>
      <c r="N48" s="526"/>
    </row>
    <row r="49" spans="1:14" ht="30.75">
      <c r="A49" s="526"/>
      <c r="B49" s="526"/>
      <c r="C49" s="526"/>
      <c r="D49" s="526"/>
      <c r="E49" s="2" t="s">
        <v>23</v>
      </c>
      <c r="F49" s="526"/>
      <c r="G49" s="526"/>
      <c r="H49" s="527"/>
      <c r="I49" s="526"/>
      <c r="J49" s="526"/>
      <c r="L49" s="526"/>
      <c r="M49" s="526"/>
      <c r="N49" s="526"/>
    </row>
    <row r="50" spans="1:14" ht="30.75">
      <c r="A50" s="526"/>
      <c r="B50" s="526"/>
      <c r="C50" s="526"/>
      <c r="D50" s="526"/>
      <c r="E50" s="2" t="s">
        <v>23</v>
      </c>
      <c r="F50" s="526"/>
      <c r="G50" s="526"/>
      <c r="H50" s="527"/>
      <c r="I50" s="526"/>
      <c r="J50" s="526"/>
      <c r="L50" s="526"/>
      <c r="M50" s="526"/>
      <c r="N50" s="526"/>
    </row>
    <row r="51" spans="1:14" ht="30.75">
      <c r="A51" s="526"/>
      <c r="B51" s="526"/>
      <c r="C51" s="526"/>
      <c r="D51" s="526"/>
      <c r="E51" s="2" t="s">
        <v>23</v>
      </c>
      <c r="F51" s="526"/>
      <c r="G51" s="526"/>
      <c r="H51" s="527"/>
      <c r="I51" s="526"/>
      <c r="J51" s="526"/>
      <c r="L51" s="526"/>
      <c r="M51" s="526"/>
      <c r="N51" s="526"/>
    </row>
    <row r="52" spans="1:14" ht="30.75">
      <c r="A52" s="526"/>
      <c r="B52" s="526"/>
      <c r="C52" s="526"/>
      <c r="D52" s="526"/>
      <c r="E52" s="2" t="s">
        <v>23</v>
      </c>
      <c r="F52" s="526"/>
      <c r="G52" s="526"/>
      <c r="H52" s="527"/>
      <c r="I52" s="526"/>
      <c r="J52" s="526"/>
      <c r="L52" s="526"/>
      <c r="M52" s="526"/>
      <c r="N52" s="526"/>
    </row>
    <row r="53" spans="1:14" ht="30.75">
      <c r="A53" s="526"/>
      <c r="B53" s="526"/>
      <c r="C53" s="526"/>
      <c r="D53" s="526"/>
      <c r="E53" s="2" t="s">
        <v>23</v>
      </c>
      <c r="F53" s="526"/>
      <c r="G53" s="526"/>
      <c r="H53" s="527"/>
      <c r="I53" s="526"/>
      <c r="J53" s="526"/>
      <c r="L53" s="526"/>
      <c r="M53" s="526"/>
      <c r="N53" s="526"/>
    </row>
    <row r="54" spans="1:14" ht="30.75">
      <c r="A54" s="526"/>
      <c r="B54" s="526"/>
      <c r="C54" s="526"/>
      <c r="D54" s="526"/>
      <c r="E54" s="2" t="s">
        <v>23</v>
      </c>
      <c r="F54" s="526"/>
      <c r="G54" s="526"/>
      <c r="H54" s="527"/>
      <c r="I54" s="526"/>
      <c r="J54" s="526"/>
      <c r="L54" s="526"/>
      <c r="M54" s="526"/>
      <c r="N54" s="526"/>
    </row>
    <row r="55" spans="1:14" ht="30.75">
      <c r="A55" s="526"/>
      <c r="B55" s="526"/>
      <c r="C55" s="526"/>
      <c r="D55" s="526"/>
      <c r="E55" s="2" t="s">
        <v>23</v>
      </c>
      <c r="F55" s="526"/>
      <c r="G55" s="526"/>
      <c r="H55" s="527"/>
      <c r="I55" s="526"/>
      <c r="J55" s="526"/>
      <c r="L55" s="526"/>
      <c r="M55" s="526"/>
      <c r="N55" s="526"/>
    </row>
    <row r="56" spans="1:14" ht="30.75">
      <c r="A56" s="526"/>
      <c r="B56" s="526"/>
      <c r="C56" s="526"/>
      <c r="D56" s="526"/>
      <c r="E56" s="2" t="s">
        <v>23</v>
      </c>
      <c r="F56" s="526"/>
      <c r="G56" s="526"/>
      <c r="H56" s="527"/>
      <c r="I56" s="526"/>
      <c r="J56" s="526"/>
      <c r="L56" s="526"/>
      <c r="M56" s="526"/>
      <c r="N56" s="526"/>
    </row>
    <row r="57" spans="1:14" ht="30.75">
      <c r="A57" s="526"/>
      <c r="B57" s="526"/>
      <c r="C57" s="526"/>
      <c r="D57" s="526"/>
      <c r="E57" s="2" t="s">
        <v>23</v>
      </c>
      <c r="F57" s="526"/>
      <c r="G57" s="526"/>
      <c r="H57" s="527"/>
      <c r="I57" s="526"/>
      <c r="J57" s="526"/>
      <c r="L57" s="526"/>
      <c r="M57" s="526"/>
      <c r="N57" s="526"/>
    </row>
    <row r="433" spans="2:3">
      <c r="B433" t="s">
        <v>2286</v>
      </c>
      <c r="C433" t="s">
        <v>2287</v>
      </c>
    </row>
  </sheetData>
  <mergeCells count="7">
    <mergeCell ref="A1:F1"/>
    <mergeCell ref="B2:F2"/>
    <mergeCell ref="H2:L2"/>
    <mergeCell ref="B4:E4"/>
    <mergeCell ref="B5:C5"/>
    <mergeCell ref="G5:N5"/>
    <mergeCell ref="B3:F3"/>
  </mergeCells>
  <dataValidations count="2">
    <dataValidation type="list" allowBlank="1" showInputMessage="1" showErrorMessage="1" sqref="C10:C57" xr:uid="{7AFDDA9F-BA0F-4065-BD20-787E31ED57B0}">
      <formula1>"ENERO,FEBRERO,MARZO,ABRIL,MAYO,JUNIO,JULIO,AGOSTO,SEPTIEMBRE,OCTUBRE,NOVIEMBRE,DICIEMBRE"</formula1>
    </dataValidation>
    <dataValidation type="list" allowBlank="1" showInputMessage="1" showErrorMessage="1" sqref="F10:F57" xr:uid="{E6D68241-3292-4F76-A219-2C9D605A9E87}">
      <formula1>"EFECTIVO, CHEQUE, TRANSFERENCIA,DEPOSITO"</formula1>
    </dataValidation>
  </dataValidations>
  <hyperlinks>
    <hyperlink ref="B4:E4" r:id="rId1" display="administracion@dentalfamilychilca.com" xr:uid="{1E230FE2-5C16-4711-B6EF-54400075D222}"/>
  </hyperlinks>
  <pageMargins left="0.7" right="0.7" top="0.75" bottom="0.75" header="0.3" footer="0.3"/>
  <tableParts count="1">
    <tablePart r:id="rId2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4D0E-2ABD-43CE-8398-C0BB5E7C883E}">
  <dimension ref="A1:R434"/>
  <sheetViews>
    <sheetView topLeftCell="A20" workbookViewId="0">
      <selection activeCell="N37" sqref="N37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7" width="9.140625" bestFit="1" customWidth="1"/>
    <col min="8" max="8" width="11.7109375" bestFit="1" customWidth="1"/>
    <col min="9" max="10" width="9.140625" bestFit="1" customWidth="1"/>
    <col min="11" max="11" width="15.28515625" customWidth="1"/>
    <col min="12" max="12" width="17.7109375" customWidth="1"/>
    <col min="14" max="14" width="17.5703125" bestFit="1" customWidth="1"/>
  </cols>
  <sheetData>
    <row r="1" spans="1:14" ht="23.25" customHeight="1">
      <c r="A1" s="789" t="s">
        <v>3207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3207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20494351855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3208</v>
      </c>
      <c r="C4" s="796"/>
      <c r="D4" s="796"/>
      <c r="E4" s="796"/>
    </row>
    <row r="5" spans="1:14" ht="23.25" customHeight="1">
      <c r="A5" s="257" t="s">
        <v>4</v>
      </c>
      <c r="B5" s="786">
        <v>46058</v>
      </c>
      <c r="C5" s="787"/>
      <c r="F5" s="258"/>
      <c r="G5" s="788" t="s">
        <v>3209</v>
      </c>
      <c r="H5" s="788"/>
      <c r="I5" s="788"/>
      <c r="J5" s="788"/>
      <c r="K5" s="788"/>
      <c r="L5" s="788"/>
      <c r="M5" s="788"/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45314</v>
      </c>
      <c r="B10" s="8">
        <v>94.4</v>
      </c>
      <c r="C10" s="2" t="s">
        <v>32</v>
      </c>
      <c r="D10" s="153">
        <v>45321</v>
      </c>
      <c r="E10" s="2" t="s">
        <v>23</v>
      </c>
      <c r="F10" s="2" t="s">
        <v>24</v>
      </c>
      <c r="G10" s="2">
        <v>1</v>
      </c>
      <c r="H10" s="9" t="s">
        <v>3210</v>
      </c>
      <c r="J10" s="9" t="s">
        <v>3211</v>
      </c>
      <c r="K10" s="2">
        <v>34562</v>
      </c>
      <c r="L10" t="s">
        <v>26</v>
      </c>
      <c r="M10">
        <v>11.3</v>
      </c>
    </row>
    <row r="11" spans="1:14" ht="30.75">
      <c r="A11" s="266">
        <v>45314</v>
      </c>
      <c r="B11" s="8">
        <v>94.4</v>
      </c>
      <c r="C11" s="2" t="s">
        <v>34</v>
      </c>
      <c r="D11" s="153">
        <v>45351</v>
      </c>
      <c r="E11" s="2" t="s">
        <v>23</v>
      </c>
      <c r="F11" s="2" t="s">
        <v>24</v>
      </c>
      <c r="G11" s="2">
        <v>2</v>
      </c>
      <c r="H11" s="9" t="s">
        <v>3210</v>
      </c>
      <c r="I11" s="9"/>
      <c r="J11" s="9" t="s">
        <v>3212</v>
      </c>
      <c r="K11" s="2">
        <v>35479</v>
      </c>
      <c r="L11" t="s">
        <v>26</v>
      </c>
      <c r="M11">
        <v>9.8000000000000007</v>
      </c>
    </row>
    <row r="12" spans="1:14" ht="30.75">
      <c r="A12" s="266">
        <v>45314</v>
      </c>
      <c r="B12" s="8">
        <v>94.4</v>
      </c>
      <c r="C12" s="2" t="s">
        <v>38</v>
      </c>
      <c r="D12" s="153">
        <v>45378</v>
      </c>
      <c r="E12" s="2" t="s">
        <v>23</v>
      </c>
      <c r="F12" s="2" t="s">
        <v>24</v>
      </c>
      <c r="G12" s="2">
        <v>3</v>
      </c>
      <c r="H12" s="9" t="s">
        <v>3210</v>
      </c>
      <c r="I12" s="9"/>
      <c r="J12" s="9" t="s">
        <v>3213</v>
      </c>
      <c r="K12" s="2">
        <v>36290</v>
      </c>
      <c r="L12" t="s">
        <v>26</v>
      </c>
      <c r="M12">
        <v>7.2</v>
      </c>
    </row>
    <row r="13" spans="1:14" ht="30.75">
      <c r="A13" s="153">
        <v>45412</v>
      </c>
      <c r="B13" s="154">
        <v>94.4</v>
      </c>
      <c r="C13" t="s">
        <v>41</v>
      </c>
      <c r="D13" s="153">
        <v>45412</v>
      </c>
      <c r="E13" s="2" t="s">
        <v>23</v>
      </c>
      <c r="F13" t="s">
        <v>24</v>
      </c>
      <c r="H13" s="9" t="s">
        <v>3214</v>
      </c>
      <c r="I13" s="9"/>
      <c r="J13" s="9" t="s">
        <v>3215</v>
      </c>
      <c r="K13" s="2">
        <v>37361</v>
      </c>
      <c r="L13" t="s">
        <v>26</v>
      </c>
      <c r="M13">
        <v>6</v>
      </c>
    </row>
    <row r="14" spans="1:14" ht="30.75">
      <c r="A14" s="153">
        <v>45442</v>
      </c>
      <c r="B14" s="154">
        <v>94.4</v>
      </c>
      <c r="C14" t="s">
        <v>44</v>
      </c>
      <c r="D14" s="153">
        <v>45442</v>
      </c>
      <c r="E14" s="2" t="s">
        <v>23</v>
      </c>
      <c r="F14" t="s">
        <v>28</v>
      </c>
      <c r="H14" s="9">
        <v>24746</v>
      </c>
      <c r="I14" s="9"/>
      <c r="J14" s="9" t="s">
        <v>3216</v>
      </c>
      <c r="K14" s="2">
        <v>38299</v>
      </c>
      <c r="L14" t="s">
        <v>26</v>
      </c>
      <c r="M14">
        <v>8</v>
      </c>
    </row>
    <row r="15" spans="1:14" ht="30.75">
      <c r="A15" s="153">
        <v>45470</v>
      </c>
      <c r="B15" s="154">
        <v>94.4</v>
      </c>
      <c r="C15" t="s">
        <v>57</v>
      </c>
      <c r="D15" s="153">
        <v>45470</v>
      </c>
      <c r="E15" s="2" t="s">
        <v>23</v>
      </c>
      <c r="F15" t="s">
        <v>28</v>
      </c>
      <c r="H15" s="9">
        <v>25822</v>
      </c>
      <c r="I15" s="9"/>
      <c r="J15" s="9" t="s">
        <v>3217</v>
      </c>
      <c r="K15" s="2">
        <v>39228</v>
      </c>
      <c r="L15" t="s">
        <v>26</v>
      </c>
      <c r="M15">
        <v>5.8</v>
      </c>
      <c r="N15" t="s">
        <v>36</v>
      </c>
    </row>
    <row r="16" spans="1:14" ht="30.75">
      <c r="A16" s="7">
        <v>45503</v>
      </c>
      <c r="B16" s="154">
        <v>94.4</v>
      </c>
      <c r="C16" s="2" t="s">
        <v>47</v>
      </c>
      <c r="D16" s="7">
        <v>45503</v>
      </c>
      <c r="E16" s="2" t="s">
        <v>23</v>
      </c>
      <c r="F16" s="2" t="s">
        <v>28</v>
      </c>
      <c r="G16" s="2"/>
      <c r="H16" s="76" t="s">
        <v>3218</v>
      </c>
      <c r="I16" s="9"/>
      <c r="J16" s="9" t="s">
        <v>3219</v>
      </c>
      <c r="K16" s="2">
        <v>40289</v>
      </c>
      <c r="L16" t="s">
        <v>26</v>
      </c>
      <c r="M16">
        <v>5.0999999999999996</v>
      </c>
    </row>
    <row r="17" spans="1:18" ht="30.75">
      <c r="A17" s="7">
        <v>45535</v>
      </c>
      <c r="B17" s="154">
        <v>94.4</v>
      </c>
      <c r="C17" t="s">
        <v>50</v>
      </c>
      <c r="D17" s="153">
        <v>45535</v>
      </c>
      <c r="E17" s="2" t="s">
        <v>23</v>
      </c>
      <c r="F17" s="2" t="s">
        <v>28</v>
      </c>
      <c r="H17" s="76" t="s">
        <v>3220</v>
      </c>
      <c r="I17" s="9"/>
      <c r="J17" s="9" t="s">
        <v>3221</v>
      </c>
      <c r="K17">
        <v>41338</v>
      </c>
      <c r="L17" t="s">
        <v>26</v>
      </c>
      <c r="M17">
        <v>10</v>
      </c>
      <c r="R17" t="s">
        <v>36</v>
      </c>
    </row>
    <row r="18" spans="1:18" ht="30.75">
      <c r="A18" s="153">
        <v>45565</v>
      </c>
      <c r="B18" s="154">
        <v>94.4</v>
      </c>
      <c r="C18" t="s">
        <v>22</v>
      </c>
      <c r="D18" s="153">
        <v>45565</v>
      </c>
      <c r="E18" s="2" t="s">
        <v>23</v>
      </c>
      <c r="F18" t="s">
        <v>28</v>
      </c>
      <c r="H18" s="76" t="s">
        <v>3222</v>
      </c>
      <c r="I18" s="9"/>
      <c r="J18" s="9" t="s">
        <v>3223</v>
      </c>
      <c r="K18">
        <v>42395</v>
      </c>
      <c r="L18" t="s">
        <v>26</v>
      </c>
      <c r="M18">
        <v>9.5</v>
      </c>
    </row>
    <row r="19" spans="1:18" ht="30.75">
      <c r="A19" s="153">
        <v>45596</v>
      </c>
      <c r="B19" s="154">
        <v>94.4</v>
      </c>
      <c r="C19" t="s">
        <v>54</v>
      </c>
      <c r="D19" s="153">
        <v>45596</v>
      </c>
      <c r="E19" s="2" t="s">
        <v>23</v>
      </c>
      <c r="F19" t="s">
        <v>28</v>
      </c>
      <c r="H19" s="310">
        <v>29108</v>
      </c>
      <c r="I19" s="9"/>
      <c r="J19" s="9" t="s">
        <v>3224</v>
      </c>
      <c r="K19">
        <v>43477</v>
      </c>
      <c r="L19" t="s">
        <v>26</v>
      </c>
      <c r="M19">
        <v>6.4</v>
      </c>
    </row>
    <row r="20" spans="1:18" ht="30.75">
      <c r="A20" s="153">
        <v>45626</v>
      </c>
      <c r="B20" s="154">
        <v>94.4</v>
      </c>
      <c r="C20" t="s">
        <v>27</v>
      </c>
      <c r="D20" s="153">
        <v>45626</v>
      </c>
      <c r="E20" s="2" t="s">
        <v>23</v>
      </c>
      <c r="F20" t="s">
        <v>28</v>
      </c>
      <c r="H20" s="76" t="s">
        <v>3225</v>
      </c>
      <c r="I20" s="9"/>
      <c r="J20" s="9" t="s">
        <v>3226</v>
      </c>
      <c r="K20">
        <v>44303</v>
      </c>
      <c r="L20" t="s">
        <v>26</v>
      </c>
      <c r="M20">
        <v>6.52</v>
      </c>
    </row>
    <row r="21" spans="1:18" ht="30.75">
      <c r="A21" t="s">
        <v>1231</v>
      </c>
      <c r="B21" s="154">
        <v>94.4</v>
      </c>
      <c r="C21" t="s">
        <v>30</v>
      </c>
      <c r="D21" s="153">
        <v>45656</v>
      </c>
      <c r="E21" s="2" t="s">
        <v>23</v>
      </c>
      <c r="F21" t="s">
        <v>28</v>
      </c>
      <c r="H21" s="76" t="s">
        <v>3227</v>
      </c>
      <c r="I21" s="9"/>
      <c r="J21" s="9" t="s">
        <v>3228</v>
      </c>
      <c r="K21">
        <v>45430</v>
      </c>
      <c r="L21" t="s">
        <v>26</v>
      </c>
      <c r="M21">
        <v>7.8</v>
      </c>
    </row>
    <row r="22" spans="1:18" ht="30.75">
      <c r="A22" t="s">
        <v>3229</v>
      </c>
      <c r="B22" s="154">
        <v>94.4</v>
      </c>
      <c r="C22" t="s">
        <v>32</v>
      </c>
      <c r="D22" s="153">
        <v>45687</v>
      </c>
      <c r="E22" s="2" t="s">
        <v>23</v>
      </c>
      <c r="F22" t="s">
        <v>28</v>
      </c>
      <c r="H22" s="76" t="s">
        <v>3230</v>
      </c>
      <c r="I22" s="9"/>
      <c r="J22" s="9" t="s">
        <v>3231</v>
      </c>
      <c r="L22" t="s">
        <v>26</v>
      </c>
      <c r="M22">
        <v>6.8</v>
      </c>
    </row>
    <row r="23" spans="1:18" ht="30.75">
      <c r="A23" s="153">
        <v>45716</v>
      </c>
      <c r="B23" s="154">
        <v>94.4</v>
      </c>
      <c r="C23" t="s">
        <v>34</v>
      </c>
      <c r="D23" s="153">
        <v>45716</v>
      </c>
      <c r="E23" s="2" t="s">
        <v>23</v>
      </c>
      <c r="F23" t="s">
        <v>28</v>
      </c>
      <c r="H23" s="76" t="s">
        <v>3232</v>
      </c>
      <c r="I23" s="9"/>
      <c r="J23" s="9" t="s">
        <v>3233</v>
      </c>
      <c r="L23" t="s">
        <v>26</v>
      </c>
      <c r="M23">
        <v>7.6</v>
      </c>
    </row>
    <row r="24" spans="1:18" ht="30.75">
      <c r="A24" s="153">
        <v>45747</v>
      </c>
      <c r="B24" s="154">
        <v>94.4</v>
      </c>
      <c r="C24" t="s">
        <v>38</v>
      </c>
      <c r="D24" s="153">
        <v>45747</v>
      </c>
      <c r="E24" s="2" t="s">
        <v>23</v>
      </c>
      <c r="F24" t="s">
        <v>28</v>
      </c>
      <c r="H24" s="76" t="s">
        <v>3234</v>
      </c>
      <c r="I24" s="9"/>
      <c r="J24" s="9" t="s">
        <v>3235</v>
      </c>
      <c r="L24" t="s">
        <v>26</v>
      </c>
      <c r="M24" t="s">
        <v>3236</v>
      </c>
    </row>
    <row r="25" spans="1:18" ht="30.75">
      <c r="A25" s="153">
        <v>45777</v>
      </c>
      <c r="B25" s="154">
        <v>94.4</v>
      </c>
      <c r="C25" t="s">
        <v>41</v>
      </c>
      <c r="D25" s="153">
        <v>45777</v>
      </c>
      <c r="E25" s="2" t="s">
        <v>23</v>
      </c>
      <c r="F25" t="s">
        <v>28</v>
      </c>
      <c r="H25" s="76" t="s">
        <v>3237</v>
      </c>
      <c r="I25" s="9"/>
      <c r="J25" s="9" t="s">
        <v>3238</v>
      </c>
      <c r="L25" t="s">
        <v>26</v>
      </c>
      <c r="M25">
        <v>5.9</v>
      </c>
    </row>
    <row r="26" spans="1:18" ht="30.75">
      <c r="A26" s="153">
        <v>45810</v>
      </c>
      <c r="B26" s="154">
        <v>94.4</v>
      </c>
      <c r="C26" t="s">
        <v>44</v>
      </c>
      <c r="D26" s="528">
        <v>45808</v>
      </c>
      <c r="E26" s="2" t="s">
        <v>23</v>
      </c>
      <c r="F26" s="526" t="s">
        <v>28</v>
      </c>
      <c r="G26" s="526"/>
      <c r="H26" s="76" t="s">
        <v>3239</v>
      </c>
      <c r="I26" s="533"/>
      <c r="J26" s="533" t="s">
        <v>3240</v>
      </c>
      <c r="K26" s="526"/>
      <c r="L26" s="526" t="s">
        <v>26</v>
      </c>
      <c r="M26" s="526">
        <v>4.7</v>
      </c>
    </row>
    <row r="27" spans="1:18" ht="30.75">
      <c r="A27" s="153">
        <v>45835</v>
      </c>
      <c r="B27" s="154">
        <v>94.4</v>
      </c>
      <c r="C27" t="s">
        <v>57</v>
      </c>
      <c r="D27" s="153">
        <v>45835</v>
      </c>
      <c r="E27" s="2" t="s">
        <v>23</v>
      </c>
      <c r="F27" t="s">
        <v>28</v>
      </c>
      <c r="H27" s="76" t="s">
        <v>3241</v>
      </c>
      <c r="I27" s="9"/>
      <c r="J27">
        <v>50052</v>
      </c>
      <c r="L27" t="s">
        <v>26</v>
      </c>
      <c r="M27">
        <v>5.4</v>
      </c>
    </row>
    <row r="28" spans="1:18" ht="30.75">
      <c r="A28" s="153">
        <v>45869</v>
      </c>
      <c r="B28" s="154">
        <v>94.4</v>
      </c>
      <c r="C28" t="s">
        <v>47</v>
      </c>
      <c r="D28" s="153">
        <v>45868</v>
      </c>
      <c r="E28" s="2" t="s">
        <v>23</v>
      </c>
      <c r="F28" t="s">
        <v>28</v>
      </c>
      <c r="H28" s="76" t="s">
        <v>3242</v>
      </c>
      <c r="I28" s="9"/>
      <c r="J28">
        <v>50053</v>
      </c>
      <c r="L28" t="s">
        <v>26</v>
      </c>
      <c r="M28">
        <v>8.4</v>
      </c>
    </row>
    <row r="29" spans="1:18" ht="30.75">
      <c r="A29" s="153">
        <v>45898</v>
      </c>
      <c r="B29" s="154">
        <v>94.4</v>
      </c>
      <c r="C29" t="s">
        <v>50</v>
      </c>
      <c r="D29" s="153">
        <v>45898</v>
      </c>
      <c r="E29" s="2" t="s">
        <v>23</v>
      </c>
      <c r="F29" t="s">
        <v>28</v>
      </c>
      <c r="H29" s="76" t="s">
        <v>3243</v>
      </c>
      <c r="I29" s="9"/>
      <c r="J29">
        <v>51311</v>
      </c>
      <c r="L29" t="s">
        <v>26</v>
      </c>
      <c r="M29">
        <v>9.5</v>
      </c>
    </row>
    <row r="30" spans="1:18" ht="30.75">
      <c r="A30" s="153">
        <v>45930</v>
      </c>
      <c r="B30" s="154">
        <v>101.4</v>
      </c>
      <c r="C30" t="s">
        <v>22</v>
      </c>
      <c r="D30" s="153">
        <v>45930</v>
      </c>
      <c r="E30" s="2" t="s">
        <v>23</v>
      </c>
      <c r="F30" t="s">
        <v>28</v>
      </c>
      <c r="H30" s="76" t="s">
        <v>3140</v>
      </c>
      <c r="I30" s="9"/>
      <c r="J30">
        <v>52140</v>
      </c>
      <c r="L30" t="s">
        <v>26</v>
      </c>
      <c r="M30">
        <v>11</v>
      </c>
    </row>
    <row r="31" spans="1:18" ht="30.75">
      <c r="A31" s="153">
        <v>45961</v>
      </c>
      <c r="B31" s="154">
        <v>94.4</v>
      </c>
      <c r="C31" t="s">
        <v>54</v>
      </c>
      <c r="D31" s="153">
        <v>45961</v>
      </c>
      <c r="E31" s="2" t="s">
        <v>23</v>
      </c>
      <c r="F31" t="s">
        <v>28</v>
      </c>
      <c r="H31" s="76" t="s">
        <v>1639</v>
      </c>
      <c r="I31" s="9"/>
      <c r="J31">
        <v>53341</v>
      </c>
      <c r="L31" t="s">
        <v>26</v>
      </c>
      <c r="M31">
        <v>9.6</v>
      </c>
    </row>
    <row r="32" spans="1:18" ht="30.75">
      <c r="A32" s="528">
        <v>45989</v>
      </c>
      <c r="B32" s="154">
        <v>94.4</v>
      </c>
      <c r="C32" t="s">
        <v>27</v>
      </c>
      <c r="D32" s="528">
        <v>45989</v>
      </c>
      <c r="E32" s="2" t="s">
        <v>23</v>
      </c>
      <c r="F32" t="s">
        <v>28</v>
      </c>
      <c r="G32" s="526"/>
      <c r="H32" s="527" t="s">
        <v>3244</v>
      </c>
      <c r="I32" s="526"/>
      <c r="J32" s="526">
        <v>54439</v>
      </c>
      <c r="K32" s="526"/>
      <c r="L32" s="526" t="s">
        <v>26</v>
      </c>
      <c r="M32" s="526">
        <v>10</v>
      </c>
    </row>
    <row r="33" spans="1:14" ht="30.75">
      <c r="A33" s="528">
        <v>46020</v>
      </c>
      <c r="B33" s="154" t="s">
        <v>3245</v>
      </c>
      <c r="C33" t="s">
        <v>30</v>
      </c>
      <c r="D33" s="528">
        <v>46020</v>
      </c>
      <c r="E33" s="2" t="s">
        <v>23</v>
      </c>
      <c r="F33" s="531" t="s">
        <v>24</v>
      </c>
      <c r="G33" s="526"/>
      <c r="H33" s="527" t="s">
        <v>3246</v>
      </c>
      <c r="I33" s="526"/>
      <c r="J33" s="526">
        <v>55707</v>
      </c>
      <c r="K33" s="526"/>
      <c r="L33" s="526" t="s">
        <v>26</v>
      </c>
      <c r="M33" s="526">
        <v>13.9</v>
      </c>
    </row>
    <row r="34" spans="1:14" ht="30.75">
      <c r="A34" s="528">
        <v>46053</v>
      </c>
      <c r="B34" s="526" t="s">
        <v>3247</v>
      </c>
      <c r="C34" t="s">
        <v>32</v>
      </c>
      <c r="D34" s="528">
        <v>46053</v>
      </c>
      <c r="E34" s="2" t="s">
        <v>23</v>
      </c>
      <c r="F34" s="526" t="s">
        <v>28</v>
      </c>
      <c r="G34" s="526"/>
      <c r="H34" s="527" t="s">
        <v>3248</v>
      </c>
      <c r="I34" s="290">
        <v>1633</v>
      </c>
      <c r="J34" s="526">
        <v>56479</v>
      </c>
      <c r="K34" s="526"/>
      <c r="L34" s="526" t="s">
        <v>26</v>
      </c>
      <c r="M34" s="526">
        <v>26.4</v>
      </c>
      <c r="N34" s="290" t="s">
        <v>76</v>
      </c>
    </row>
    <row r="35" spans="1:14" ht="30.75">
      <c r="A35" s="528">
        <v>46081</v>
      </c>
      <c r="B35" s="526" t="s">
        <v>3249</v>
      </c>
      <c r="C35" t="s">
        <v>34</v>
      </c>
      <c r="D35" s="528">
        <v>46081</v>
      </c>
      <c r="E35" s="2" t="s">
        <v>23</v>
      </c>
      <c r="F35" s="526" t="s">
        <v>28</v>
      </c>
      <c r="G35" s="526"/>
      <c r="H35" s="527" t="s">
        <v>3250</v>
      </c>
      <c r="I35" s="526"/>
      <c r="J35" s="526">
        <v>58399</v>
      </c>
      <c r="K35" s="526"/>
      <c r="L35" s="526" t="s">
        <v>26</v>
      </c>
      <c r="M35" s="526">
        <v>21.4</v>
      </c>
    </row>
    <row r="36" spans="1:14" ht="30.75">
      <c r="A36" s="528">
        <v>46112</v>
      </c>
      <c r="B36" s="526" t="s">
        <v>3251</v>
      </c>
      <c r="C36" t="s">
        <v>38</v>
      </c>
      <c r="D36" s="528">
        <v>46112</v>
      </c>
      <c r="E36" s="2" t="s">
        <v>23</v>
      </c>
      <c r="F36" s="526" t="s">
        <v>28</v>
      </c>
      <c r="G36" s="526"/>
      <c r="H36" s="527" t="s">
        <v>3252</v>
      </c>
      <c r="I36" s="526"/>
      <c r="J36" s="526">
        <v>59577</v>
      </c>
      <c r="K36" s="526"/>
      <c r="L36" s="526" t="s">
        <v>26</v>
      </c>
      <c r="M36" s="526">
        <v>20</v>
      </c>
    </row>
    <row r="37" spans="1:14" ht="30.75">
      <c r="A37" s="528">
        <v>46142</v>
      </c>
      <c r="B37" s="154">
        <v>146</v>
      </c>
      <c r="C37" t="s">
        <v>41</v>
      </c>
      <c r="D37" s="528">
        <v>46141</v>
      </c>
      <c r="E37" s="2" t="s">
        <v>23</v>
      </c>
      <c r="F37" s="526" t="s">
        <v>28</v>
      </c>
      <c r="G37" s="526"/>
      <c r="H37" s="527" t="s">
        <v>3253</v>
      </c>
      <c r="I37" s="526"/>
      <c r="J37" s="526">
        <v>60990</v>
      </c>
      <c r="K37" s="526"/>
      <c r="L37" s="526" t="s">
        <v>26</v>
      </c>
      <c r="M37" s="526">
        <v>24.7</v>
      </c>
    </row>
    <row r="38" spans="1:14" ht="30.75">
      <c r="A38" s="526"/>
      <c r="B38" s="526"/>
      <c r="C38" s="526"/>
      <c r="D38" s="526"/>
      <c r="E38" s="2" t="s">
        <v>23</v>
      </c>
      <c r="F38" s="526"/>
      <c r="G38" s="526"/>
      <c r="H38" s="527"/>
      <c r="I38" s="526"/>
      <c r="J38" s="526"/>
      <c r="K38" s="526"/>
      <c r="L38" s="526"/>
      <c r="M38" s="526"/>
    </row>
    <row r="39" spans="1:14" ht="30.75">
      <c r="A39" s="526"/>
      <c r="B39" s="526"/>
      <c r="C39" s="526"/>
      <c r="D39" s="526"/>
      <c r="E39" s="2" t="s">
        <v>23</v>
      </c>
      <c r="F39" s="526"/>
      <c r="G39" s="526"/>
      <c r="H39" s="527"/>
      <c r="I39" s="526"/>
      <c r="J39" s="526"/>
      <c r="K39" s="526"/>
      <c r="L39" s="526"/>
      <c r="M39" s="526"/>
    </row>
    <row r="40" spans="1:14" ht="30.75">
      <c r="A40" s="526"/>
      <c r="B40" s="526"/>
      <c r="C40" s="526"/>
      <c r="D40" s="526"/>
      <c r="E40" s="2" t="s">
        <v>23</v>
      </c>
      <c r="F40" s="526"/>
      <c r="G40" s="526"/>
      <c r="H40" s="527"/>
      <c r="I40" s="526"/>
      <c r="J40" s="526"/>
      <c r="K40" s="526"/>
      <c r="L40" s="526"/>
      <c r="M40" s="526"/>
    </row>
    <row r="41" spans="1:14" ht="30.75">
      <c r="A41" s="526"/>
      <c r="B41" s="526"/>
      <c r="C41" s="526"/>
      <c r="D41" s="526"/>
      <c r="E41" s="2" t="s">
        <v>23</v>
      </c>
      <c r="F41" s="526"/>
      <c r="G41" s="526"/>
      <c r="H41" s="527"/>
      <c r="I41" s="526"/>
      <c r="J41" s="526"/>
      <c r="K41" s="526"/>
      <c r="L41" s="526"/>
      <c r="M41" s="526"/>
    </row>
    <row r="42" spans="1:14" ht="30.75">
      <c r="A42" s="526"/>
      <c r="B42" s="526"/>
      <c r="C42" s="526"/>
      <c r="D42" s="526"/>
      <c r="E42" s="2" t="s">
        <v>23</v>
      </c>
      <c r="F42" s="526"/>
      <c r="G42" s="526"/>
      <c r="H42" s="527"/>
      <c r="I42" s="526"/>
      <c r="J42" s="526"/>
      <c r="K42" s="526"/>
      <c r="L42" s="526"/>
      <c r="M42" s="526"/>
    </row>
    <row r="43" spans="1:14" ht="30.75">
      <c r="A43" s="526"/>
      <c r="B43" s="526"/>
      <c r="C43" s="526"/>
      <c r="D43" s="526"/>
      <c r="E43" s="2" t="s">
        <v>23</v>
      </c>
      <c r="F43" s="526"/>
      <c r="G43" s="526"/>
      <c r="H43" s="527"/>
      <c r="I43" s="526"/>
      <c r="J43" s="526"/>
      <c r="K43" s="526"/>
      <c r="L43" s="526"/>
      <c r="M43" s="526"/>
    </row>
    <row r="44" spans="1:14" ht="30.75">
      <c r="A44" s="526"/>
      <c r="B44" s="526"/>
      <c r="C44" s="526"/>
      <c r="D44" s="526"/>
      <c r="E44" s="2" t="s">
        <v>23</v>
      </c>
      <c r="F44" s="526"/>
      <c r="G44" s="526"/>
      <c r="H44" s="527"/>
      <c r="I44" s="526"/>
      <c r="J44" s="526"/>
      <c r="K44" s="526"/>
      <c r="L44" s="526"/>
      <c r="M44" s="526"/>
    </row>
    <row r="45" spans="1:14" ht="30.75">
      <c r="A45" s="526"/>
      <c r="B45" s="526"/>
      <c r="C45" s="526"/>
      <c r="D45" s="526"/>
      <c r="E45" s="2" t="s">
        <v>23</v>
      </c>
      <c r="F45" s="526"/>
      <c r="G45" s="526"/>
      <c r="H45" s="527"/>
      <c r="I45" s="526"/>
      <c r="J45" s="526"/>
      <c r="K45" s="526"/>
      <c r="L45" s="526"/>
      <c r="M45" s="526"/>
    </row>
    <row r="46" spans="1:14" ht="30.75">
      <c r="A46" s="526"/>
      <c r="B46" s="526"/>
      <c r="C46" s="526"/>
      <c r="D46" s="526"/>
      <c r="E46" s="2" t="s">
        <v>23</v>
      </c>
      <c r="F46" s="526"/>
      <c r="G46" s="526"/>
      <c r="H46" s="527"/>
      <c r="I46" s="526"/>
      <c r="J46" s="526"/>
      <c r="K46" s="526"/>
      <c r="L46" s="526"/>
      <c r="M46" s="526"/>
    </row>
    <row r="47" spans="1:14" ht="30.75">
      <c r="A47" s="526"/>
      <c r="B47" s="526"/>
      <c r="C47" s="526"/>
      <c r="D47" s="526"/>
      <c r="E47" s="2" t="s">
        <v>23</v>
      </c>
      <c r="F47" s="526"/>
      <c r="G47" s="526"/>
      <c r="H47" s="527"/>
      <c r="I47" s="526"/>
      <c r="J47" s="526"/>
      <c r="K47" s="526"/>
      <c r="L47" s="526"/>
      <c r="M47" s="526"/>
    </row>
    <row r="434" spans="2:3">
      <c r="B434" t="s">
        <v>2286</v>
      </c>
      <c r="C434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F10:F47" xr:uid="{5EA42166-03BF-4B42-B35B-A9EA5C2A30C3}">
      <formula1>"EFECTIVO, CHEQUE, TRANSFERENCIA,DEPOSITO"</formula1>
    </dataValidation>
    <dataValidation type="list" allowBlank="1" showInputMessage="1" showErrorMessage="1" sqref="C10:C47" xr:uid="{BD4D9541-B1F5-4829-8689-FC5F18F4F262}">
      <formula1>"ENERO,FEBRERO,MARZO,ABRIL,MAYO,JUNIO,JULIO,AGOSTO,SEPTIEMBRE,OCTUBRE,NOVIEMBRE,DICIEMBRE"</formula1>
    </dataValidation>
  </dataValidations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BDDA-D20F-4B26-BF07-115311D9EC61}">
  <dimension ref="A1:R433"/>
  <sheetViews>
    <sheetView workbookViewId="0">
      <selection activeCell="H4" sqref="H4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0.7109375" customWidth="1"/>
  </cols>
  <sheetData>
    <row r="1" spans="1:14" ht="80.25" customHeight="1">
      <c r="A1" s="788" t="s">
        <v>3254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3255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10421950054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3256</v>
      </c>
      <c r="C4" s="796"/>
      <c r="D4" s="796"/>
      <c r="E4" s="796"/>
    </row>
    <row r="5" spans="1:14" ht="23.25" customHeight="1">
      <c r="A5" s="257" t="s">
        <v>4</v>
      </c>
      <c r="B5" s="786">
        <v>45418</v>
      </c>
      <c r="C5" s="787"/>
      <c r="F5" s="258"/>
      <c r="G5" s="788" t="s">
        <v>3257</v>
      </c>
      <c r="H5" s="788"/>
      <c r="I5" s="788"/>
      <c r="J5" s="788"/>
      <c r="K5" s="788"/>
      <c r="L5" s="788"/>
      <c r="M5" s="788"/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45418</v>
      </c>
      <c r="B10" s="8">
        <v>120</v>
      </c>
      <c r="C10" s="2"/>
      <c r="D10" s="153" t="s">
        <v>36</v>
      </c>
      <c r="E10" s="2" t="s">
        <v>23</v>
      </c>
      <c r="F10" s="2" t="s">
        <v>24</v>
      </c>
      <c r="G10" s="2" t="s">
        <v>36</v>
      </c>
      <c r="H10" s="9" t="s">
        <v>3258</v>
      </c>
      <c r="I10" s="9"/>
      <c r="J10" s="9" t="s">
        <v>36</v>
      </c>
      <c r="K10" s="2" t="s">
        <v>36</v>
      </c>
      <c r="L10" t="s">
        <v>26</v>
      </c>
    </row>
    <row r="11" spans="1:14" ht="30.75">
      <c r="A11" s="7"/>
      <c r="B11" s="8"/>
      <c r="D11" s="153" t="s">
        <v>36</v>
      </c>
      <c r="E11" s="2" t="s">
        <v>23</v>
      </c>
      <c r="F11" s="2"/>
      <c r="H11" s="76"/>
      <c r="I11" s="9"/>
      <c r="J11" s="9" t="s">
        <v>36</v>
      </c>
      <c r="K11" s="2"/>
    </row>
    <row r="12" spans="1:14" ht="30.75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.75">
      <c r="B13" s="154"/>
      <c r="E13" s="2" t="s">
        <v>23</v>
      </c>
      <c r="H13" s="76"/>
      <c r="I13" s="9"/>
      <c r="J13" s="9"/>
      <c r="K13" s="2"/>
    </row>
    <row r="14" spans="1:14" ht="30.75">
      <c r="B14" s="154"/>
      <c r="E14" s="2" t="s">
        <v>23</v>
      </c>
      <c r="H14" s="76"/>
      <c r="I14" s="9"/>
      <c r="J14" s="9"/>
      <c r="K14" s="2"/>
    </row>
    <row r="15" spans="1:14" ht="30.75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.75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.75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.75">
      <c r="B18" s="154"/>
      <c r="E18" s="2" t="s">
        <v>23</v>
      </c>
      <c r="H18" s="76"/>
      <c r="I18" s="9"/>
      <c r="J18" s="9"/>
    </row>
    <row r="19" spans="1:18" ht="30.75">
      <c r="B19" s="154"/>
      <c r="E19" s="2" t="s">
        <v>23</v>
      </c>
      <c r="H19" s="76"/>
      <c r="I19" s="9"/>
      <c r="J19" s="9"/>
    </row>
    <row r="20" spans="1:18" ht="30.75">
      <c r="B20" s="154"/>
      <c r="E20" s="2" t="s">
        <v>23</v>
      </c>
      <c r="H20" s="76"/>
      <c r="I20" s="9"/>
      <c r="J20" s="9"/>
    </row>
    <row r="21" spans="1:18" ht="30.75">
      <c r="B21" s="154"/>
      <c r="E21" s="2" t="s">
        <v>23</v>
      </c>
      <c r="H21" s="76"/>
      <c r="I21" s="9"/>
      <c r="J21" s="9"/>
    </row>
    <row r="22" spans="1:18" ht="30.75">
      <c r="E22" s="2" t="s">
        <v>23</v>
      </c>
      <c r="H22" s="76"/>
      <c r="I22" s="9"/>
      <c r="J22" s="9"/>
    </row>
    <row r="23" spans="1:18" ht="30.75">
      <c r="E23" s="2" t="s">
        <v>23</v>
      </c>
      <c r="H23" s="76"/>
      <c r="I23" s="9"/>
      <c r="J23" s="9"/>
    </row>
    <row r="24" spans="1:18" ht="30.75">
      <c r="E24" s="2" t="s">
        <v>23</v>
      </c>
      <c r="H24" s="76"/>
      <c r="I24" s="9"/>
      <c r="J24" s="9"/>
    </row>
    <row r="25" spans="1:18" ht="30.75">
      <c r="E25" s="2" t="s">
        <v>23</v>
      </c>
      <c r="H25" s="76"/>
      <c r="I25" s="9"/>
      <c r="J25" s="9"/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24C6C103-3C2D-412B-A86C-FFBE23786E57}">
      <formula1>"ENERO,FEBRERO,MARZO,ABRIL,MAYO,JUNIO,JULIO,AGOSTO,SEPTIEMBRE,OCTUBRE,NOVIEMBRE,DICIEMBRE"</formula1>
    </dataValidation>
    <dataValidation type="list" allowBlank="1" showInputMessage="1" showErrorMessage="1" sqref="F10:F30" xr:uid="{F006FF42-A121-4B3E-92ED-3638593253EB}">
      <formula1>"EFECTIVO, CHEQUE, TRANSFERENCIA,DEPOSITO"</formula1>
    </dataValidation>
  </dataValidations>
  <hyperlinks>
    <hyperlink ref="B4:E4" r:id="rId1" display="Vanessatr_19@hotmail.com" xr:uid="{1CFEE11E-2D6B-4AD5-AF10-22E3D84DB9E0}"/>
  </hyperlinks>
  <pageMargins left="0.7" right="0.7" top="0.75" bottom="0.75" header="0.3" footer="0.3"/>
  <tableParts count="1">
    <tablePart r:id="rId2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9043-0D0E-4DBE-8949-7287052A9BA3}">
  <dimension ref="A1:R433"/>
  <sheetViews>
    <sheetView topLeftCell="A22" workbookViewId="0">
      <selection activeCell="B32" sqref="B32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0.7109375" customWidth="1"/>
    <col min="14" max="14" width="17.5703125" bestFit="1" customWidth="1"/>
  </cols>
  <sheetData>
    <row r="1" spans="1:14" ht="23.25" customHeight="1">
      <c r="A1" s="789" t="s">
        <v>3259</v>
      </c>
      <c r="B1" s="789"/>
      <c r="C1" s="789"/>
      <c r="D1" s="789"/>
      <c r="E1" s="789"/>
      <c r="F1" s="789"/>
    </row>
    <row r="2" spans="1:14" ht="18.75" customHeight="1">
      <c r="A2" s="2" t="s">
        <v>1729</v>
      </c>
      <c r="B2" s="790" t="s">
        <v>3260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 t="s">
        <v>3261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8" t="s">
        <v>3262</v>
      </c>
      <c r="C4" s="798"/>
      <c r="D4" s="798"/>
      <c r="E4" s="798"/>
    </row>
    <row r="5" spans="1:14" ht="23.25" customHeight="1">
      <c r="A5" s="257" t="s">
        <v>4</v>
      </c>
      <c r="B5" s="786">
        <v>46080</v>
      </c>
      <c r="C5" s="787"/>
      <c r="F5" s="258"/>
      <c r="G5" s="788" t="s">
        <v>3263</v>
      </c>
      <c r="H5" s="788"/>
      <c r="I5" s="788"/>
      <c r="J5" s="788"/>
      <c r="K5" s="788"/>
      <c r="L5" s="788"/>
      <c r="M5" s="788"/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497">
        <v>45434</v>
      </c>
      <c r="B10" s="498">
        <v>118</v>
      </c>
      <c r="C10" s="499" t="s">
        <v>57</v>
      </c>
      <c r="D10" s="500">
        <v>45470</v>
      </c>
      <c r="E10" s="499" t="s">
        <v>23</v>
      </c>
      <c r="F10" s="499" t="s">
        <v>24</v>
      </c>
      <c r="G10" s="499"/>
      <c r="H10" s="501" t="s">
        <v>3264</v>
      </c>
      <c r="I10" s="502"/>
      <c r="J10" s="502" t="s">
        <v>3265</v>
      </c>
      <c r="K10" s="502" t="s">
        <v>3266</v>
      </c>
      <c r="L10" s="499" t="s">
        <v>26</v>
      </c>
      <c r="M10" s="503">
        <v>8</v>
      </c>
    </row>
    <row r="11" spans="1:14" ht="30.75">
      <c r="A11" s="7">
        <v>45511</v>
      </c>
      <c r="B11" s="8">
        <v>118</v>
      </c>
      <c r="C11" t="s">
        <v>47</v>
      </c>
      <c r="D11" s="153">
        <v>45503</v>
      </c>
      <c r="E11" s="2" t="s">
        <v>23</v>
      </c>
      <c r="F11" s="2" t="s">
        <v>24</v>
      </c>
      <c r="H11" s="76" t="s">
        <v>3267</v>
      </c>
      <c r="I11" s="9"/>
      <c r="J11" s="9" t="s">
        <v>3090</v>
      </c>
      <c r="K11" s="2">
        <v>40290</v>
      </c>
      <c r="L11" t="s">
        <v>3133</v>
      </c>
      <c r="M11">
        <v>2.8</v>
      </c>
    </row>
    <row r="12" spans="1:14" ht="30.75">
      <c r="A12" s="7">
        <v>45541</v>
      </c>
      <c r="B12" s="498">
        <v>118</v>
      </c>
      <c r="C12" s="499" t="s">
        <v>50</v>
      </c>
      <c r="D12" s="500">
        <v>45535</v>
      </c>
      <c r="E12" s="2" t="s">
        <v>23</v>
      </c>
      <c r="F12" s="2" t="s">
        <v>24</v>
      </c>
      <c r="H12" s="76" t="s">
        <v>3268</v>
      </c>
      <c r="I12" s="9"/>
      <c r="J12" s="9" t="s">
        <v>3269</v>
      </c>
      <c r="K12" s="2">
        <v>41339</v>
      </c>
      <c r="L12" t="s">
        <v>72</v>
      </c>
      <c r="M12">
        <v>8</v>
      </c>
    </row>
    <row r="13" spans="1:14" ht="30.75">
      <c r="A13" s="153">
        <v>45593</v>
      </c>
      <c r="B13" s="154">
        <v>118</v>
      </c>
      <c r="C13" t="s">
        <v>22</v>
      </c>
      <c r="D13" s="153">
        <v>45565</v>
      </c>
      <c r="E13" s="2" t="s">
        <v>23</v>
      </c>
      <c r="F13" s="2" t="s">
        <v>24</v>
      </c>
      <c r="H13" s="76" t="s">
        <v>3270</v>
      </c>
      <c r="I13" s="9"/>
      <c r="J13" s="9" t="s">
        <v>3271</v>
      </c>
      <c r="K13" s="2">
        <v>42396</v>
      </c>
      <c r="L13" t="s">
        <v>72</v>
      </c>
      <c r="M13">
        <v>5.5</v>
      </c>
    </row>
    <row r="14" spans="1:14" ht="30.75">
      <c r="A14" s="153">
        <v>45637</v>
      </c>
      <c r="B14" s="154">
        <v>118</v>
      </c>
      <c r="C14" t="s">
        <v>54</v>
      </c>
      <c r="D14" s="153">
        <v>45596</v>
      </c>
      <c r="E14" s="2" t="s">
        <v>23</v>
      </c>
      <c r="F14" t="s">
        <v>24</v>
      </c>
      <c r="H14" s="76" t="s">
        <v>3272</v>
      </c>
      <c r="I14" s="9"/>
      <c r="J14" s="9" t="s">
        <v>3273</v>
      </c>
      <c r="K14" s="2">
        <v>43478</v>
      </c>
      <c r="L14" t="s">
        <v>72</v>
      </c>
      <c r="M14">
        <v>5.5</v>
      </c>
    </row>
    <row r="15" spans="1:14" ht="30.75">
      <c r="A15" s="153">
        <v>45637</v>
      </c>
      <c r="B15" s="154">
        <v>118</v>
      </c>
      <c r="C15" t="s">
        <v>27</v>
      </c>
      <c r="D15" s="153">
        <v>45626</v>
      </c>
      <c r="E15" s="2" t="s">
        <v>23</v>
      </c>
      <c r="F15" t="s">
        <v>24</v>
      </c>
      <c r="H15" s="76" t="s">
        <v>3274</v>
      </c>
      <c r="I15" s="9"/>
      <c r="J15" s="9" t="s">
        <v>3275</v>
      </c>
      <c r="K15" s="2">
        <v>44304</v>
      </c>
      <c r="L15" t="s">
        <v>72</v>
      </c>
      <c r="M15">
        <v>6.5</v>
      </c>
      <c r="N15" t="s">
        <v>36</v>
      </c>
    </row>
    <row r="16" spans="1:14" ht="30.75">
      <c r="A16" s="7" t="s">
        <v>1845</v>
      </c>
      <c r="B16" s="8">
        <v>118</v>
      </c>
      <c r="C16" s="2" t="s">
        <v>30</v>
      </c>
      <c r="D16" s="7">
        <v>45656</v>
      </c>
      <c r="E16" s="2" t="s">
        <v>23</v>
      </c>
      <c r="F16" s="2" t="s">
        <v>24</v>
      </c>
      <c r="G16" s="2"/>
      <c r="H16" s="76" t="s">
        <v>3276</v>
      </c>
      <c r="I16" s="9"/>
      <c r="J16" s="9" t="s">
        <v>3277</v>
      </c>
      <c r="K16" s="2">
        <v>45431</v>
      </c>
      <c r="L16" t="s">
        <v>72</v>
      </c>
      <c r="M16">
        <v>5.5</v>
      </c>
    </row>
    <row r="17" spans="1:18" ht="30.75">
      <c r="A17" s="7" t="s">
        <v>1845</v>
      </c>
      <c r="B17" s="8">
        <v>118</v>
      </c>
      <c r="C17" t="s">
        <v>32</v>
      </c>
      <c r="D17" t="s">
        <v>274</v>
      </c>
      <c r="E17" s="2" t="s">
        <v>23</v>
      </c>
      <c r="F17" s="2" t="s">
        <v>24</v>
      </c>
      <c r="H17" s="76">
        <v>31526</v>
      </c>
      <c r="I17" s="9"/>
      <c r="J17" s="9" t="s">
        <v>3278</v>
      </c>
      <c r="L17" t="s">
        <v>72</v>
      </c>
      <c r="M17">
        <v>7.5</v>
      </c>
      <c r="R17" t="s">
        <v>36</v>
      </c>
    </row>
    <row r="18" spans="1:18" ht="30.75">
      <c r="A18" s="153">
        <v>45720</v>
      </c>
      <c r="B18" s="8">
        <v>118</v>
      </c>
      <c r="C18" t="s">
        <v>34</v>
      </c>
      <c r="D18" s="153">
        <v>45716</v>
      </c>
      <c r="E18" s="2" t="s">
        <v>23</v>
      </c>
      <c r="F18" s="2" t="s">
        <v>24</v>
      </c>
      <c r="H18" s="76" t="s">
        <v>3279</v>
      </c>
      <c r="I18" s="9"/>
      <c r="J18" s="9" t="s">
        <v>1652</v>
      </c>
      <c r="L18" t="s">
        <v>192</v>
      </c>
      <c r="M18">
        <v>3.2</v>
      </c>
    </row>
    <row r="19" spans="1:18" ht="30.75">
      <c r="A19" s="153">
        <v>45752</v>
      </c>
      <c r="B19" s="8">
        <v>118</v>
      </c>
      <c r="C19" t="s">
        <v>38</v>
      </c>
      <c r="D19" s="153">
        <v>45747</v>
      </c>
      <c r="E19" s="2" t="s">
        <v>23</v>
      </c>
      <c r="F19" s="2" t="s">
        <v>24</v>
      </c>
      <c r="H19" s="76" t="s">
        <v>3280</v>
      </c>
      <c r="I19" s="9"/>
      <c r="J19" s="9" t="s">
        <v>3281</v>
      </c>
      <c r="L19" s="2" t="s">
        <v>73</v>
      </c>
      <c r="M19">
        <v>3.8</v>
      </c>
    </row>
    <row r="20" spans="1:18" ht="30.75">
      <c r="A20" s="153">
        <v>45791</v>
      </c>
      <c r="B20" s="8">
        <v>118</v>
      </c>
      <c r="C20" t="s">
        <v>41</v>
      </c>
      <c r="D20" s="153">
        <v>45777</v>
      </c>
      <c r="E20" s="2" t="s">
        <v>23</v>
      </c>
      <c r="F20" s="2" t="s">
        <v>24</v>
      </c>
      <c r="H20" s="76" t="s">
        <v>3282</v>
      </c>
      <c r="I20" s="9"/>
      <c r="J20" s="9" t="s">
        <v>3283</v>
      </c>
      <c r="L20" t="s">
        <v>72</v>
      </c>
      <c r="M20">
        <v>1.5</v>
      </c>
    </row>
    <row r="21" spans="1:18" ht="30.75">
      <c r="A21" s="153">
        <v>45816</v>
      </c>
      <c r="B21" s="8">
        <v>118</v>
      </c>
      <c r="C21" t="s">
        <v>44</v>
      </c>
      <c r="D21" s="153">
        <v>45808</v>
      </c>
      <c r="E21" s="2" t="s">
        <v>23</v>
      </c>
      <c r="F21" s="2" t="s">
        <v>24</v>
      </c>
      <c r="H21" s="76" t="s">
        <v>3284</v>
      </c>
      <c r="I21" s="9"/>
      <c r="J21" s="9" t="s">
        <v>3285</v>
      </c>
      <c r="L21" t="s">
        <v>72</v>
      </c>
      <c r="M21">
        <v>1.6</v>
      </c>
    </row>
    <row r="22" spans="1:18" ht="30.75">
      <c r="A22" s="153">
        <v>45849</v>
      </c>
      <c r="B22" s="8">
        <v>118</v>
      </c>
      <c r="C22" t="s">
        <v>57</v>
      </c>
      <c r="D22" s="153">
        <v>45835</v>
      </c>
      <c r="E22" s="2" t="s">
        <v>23</v>
      </c>
      <c r="F22" s="2" t="s">
        <v>24</v>
      </c>
      <c r="H22" s="76" t="s">
        <v>3286</v>
      </c>
      <c r="I22" s="9"/>
      <c r="J22" s="9" t="s">
        <v>3287</v>
      </c>
      <c r="L22" t="s">
        <v>72</v>
      </c>
      <c r="M22">
        <v>1</v>
      </c>
    </row>
    <row r="23" spans="1:18" ht="30.75">
      <c r="A23" s="153">
        <v>45879</v>
      </c>
      <c r="B23" s="8">
        <v>118</v>
      </c>
      <c r="C23" t="s">
        <v>47</v>
      </c>
      <c r="D23" s="153">
        <v>45868</v>
      </c>
      <c r="E23" s="2" t="s">
        <v>23</v>
      </c>
      <c r="F23" s="2" t="s">
        <v>24</v>
      </c>
      <c r="H23" s="76" t="s">
        <v>3288</v>
      </c>
      <c r="I23" s="9"/>
      <c r="J23" s="9" t="s">
        <v>3289</v>
      </c>
      <c r="L23" t="s">
        <v>72</v>
      </c>
      <c r="M23">
        <v>1.1000000000000001</v>
      </c>
    </row>
    <row r="24" spans="1:18" ht="30.75">
      <c r="A24" s="153">
        <v>45925</v>
      </c>
      <c r="B24" s="8">
        <v>118</v>
      </c>
      <c r="C24" t="s">
        <v>50</v>
      </c>
      <c r="D24" s="153">
        <v>45898</v>
      </c>
      <c r="E24" s="2" t="s">
        <v>23</v>
      </c>
      <c r="F24" s="2" t="s">
        <v>24</v>
      </c>
      <c r="H24" s="76" t="s">
        <v>3290</v>
      </c>
      <c r="I24" s="9"/>
      <c r="J24" s="9" t="s">
        <v>3291</v>
      </c>
      <c r="L24" t="s">
        <v>72</v>
      </c>
      <c r="M24">
        <v>1</v>
      </c>
    </row>
    <row r="25" spans="1:18" ht="30.75">
      <c r="A25" s="153">
        <v>45966</v>
      </c>
      <c r="B25" s="8">
        <v>118</v>
      </c>
      <c r="C25" t="s">
        <v>22</v>
      </c>
      <c r="D25" s="153">
        <v>45930</v>
      </c>
      <c r="E25" s="2" t="s">
        <v>23</v>
      </c>
      <c r="F25" s="2" t="s">
        <v>24</v>
      </c>
      <c r="H25" s="76" t="s">
        <v>3292</v>
      </c>
      <c r="I25" s="9"/>
      <c r="J25" s="9" t="s">
        <v>3293</v>
      </c>
      <c r="L25" t="s">
        <v>72</v>
      </c>
      <c r="M25">
        <v>1.7</v>
      </c>
    </row>
    <row r="26" spans="1:18" ht="30.75">
      <c r="A26" s="153">
        <v>45975</v>
      </c>
      <c r="B26" s="8">
        <v>118</v>
      </c>
      <c r="C26" t="s">
        <v>54</v>
      </c>
      <c r="D26" s="153">
        <v>45961</v>
      </c>
      <c r="E26" s="2" t="s">
        <v>23</v>
      </c>
      <c r="F26" s="2" t="s">
        <v>24</v>
      </c>
      <c r="H26" s="76" t="s">
        <v>3294</v>
      </c>
      <c r="I26" s="9"/>
      <c r="J26">
        <v>53342</v>
      </c>
      <c r="L26" t="s">
        <v>72</v>
      </c>
      <c r="M26">
        <v>1.2</v>
      </c>
    </row>
    <row r="27" spans="1:18" ht="30.75">
      <c r="A27" s="153">
        <v>46002</v>
      </c>
      <c r="B27" s="8">
        <v>118</v>
      </c>
      <c r="C27" t="s">
        <v>27</v>
      </c>
      <c r="D27" s="153">
        <v>45989</v>
      </c>
      <c r="E27" s="2" t="s">
        <v>23</v>
      </c>
      <c r="F27" s="2" t="s">
        <v>24</v>
      </c>
      <c r="H27" s="76" t="s">
        <v>3295</v>
      </c>
      <c r="I27" s="9"/>
      <c r="J27">
        <v>54440</v>
      </c>
      <c r="L27" t="s">
        <v>72</v>
      </c>
      <c r="M27">
        <v>1.6</v>
      </c>
    </row>
    <row r="28" spans="1:18" ht="30.75">
      <c r="A28" s="153">
        <v>46031</v>
      </c>
      <c r="B28" s="8">
        <v>118</v>
      </c>
      <c r="C28" t="s">
        <v>30</v>
      </c>
      <c r="D28" s="153">
        <v>46020</v>
      </c>
      <c r="E28" s="2" t="s">
        <v>23</v>
      </c>
      <c r="F28" s="2" t="s">
        <v>24</v>
      </c>
      <c r="H28" s="76" t="s">
        <v>3296</v>
      </c>
      <c r="I28" s="9"/>
      <c r="J28">
        <v>55708</v>
      </c>
      <c r="L28" t="s">
        <v>72</v>
      </c>
      <c r="M28">
        <v>1.5</v>
      </c>
    </row>
    <row r="29" spans="1:18" ht="30.75">
      <c r="A29" s="153">
        <v>46061</v>
      </c>
      <c r="B29" s="8">
        <v>118</v>
      </c>
      <c r="C29" t="s">
        <v>32</v>
      </c>
      <c r="D29" s="153">
        <v>46053</v>
      </c>
      <c r="E29" s="2" t="s">
        <v>23</v>
      </c>
      <c r="F29" s="2" t="s">
        <v>24</v>
      </c>
      <c r="H29" s="76" t="s">
        <v>3297</v>
      </c>
      <c r="I29" s="9"/>
      <c r="J29">
        <v>56480</v>
      </c>
      <c r="L29" t="s">
        <v>73</v>
      </c>
      <c r="M29">
        <v>1.4</v>
      </c>
    </row>
    <row r="30" spans="1:18" ht="30.75">
      <c r="A30" s="153">
        <v>46112</v>
      </c>
      <c r="B30" s="8">
        <v>118</v>
      </c>
      <c r="C30" t="s">
        <v>34</v>
      </c>
      <c r="D30" s="153">
        <v>46081</v>
      </c>
      <c r="E30" s="2" t="s">
        <v>23</v>
      </c>
      <c r="F30" s="2" t="s">
        <v>24</v>
      </c>
      <c r="H30" s="76" t="s">
        <v>3298</v>
      </c>
      <c r="I30" s="101" t="s">
        <v>3299</v>
      </c>
      <c r="J30">
        <v>58400</v>
      </c>
      <c r="L30" t="s">
        <v>72</v>
      </c>
      <c r="M30">
        <v>1.5</v>
      </c>
      <c r="N30" s="290" t="s">
        <v>76</v>
      </c>
    </row>
    <row r="31" spans="1:18" ht="30.75">
      <c r="A31" s="528">
        <v>46135</v>
      </c>
      <c r="B31" s="8">
        <v>118</v>
      </c>
      <c r="C31" t="s">
        <v>38</v>
      </c>
      <c r="D31" s="528">
        <v>46112</v>
      </c>
      <c r="E31" s="2" t="s">
        <v>23</v>
      </c>
      <c r="F31" s="531" t="s">
        <v>24</v>
      </c>
      <c r="G31" s="526"/>
      <c r="H31" s="527" t="s">
        <v>3300</v>
      </c>
      <c r="I31" s="526"/>
      <c r="J31" s="526">
        <v>59578</v>
      </c>
      <c r="K31" s="526"/>
      <c r="L31" t="s">
        <v>72</v>
      </c>
      <c r="M31" s="526">
        <v>1.7</v>
      </c>
    </row>
    <row r="32" spans="1:18" ht="30.75">
      <c r="A32" s="528">
        <v>46151</v>
      </c>
      <c r="B32" s="8">
        <v>118</v>
      </c>
      <c r="C32" t="s">
        <v>41</v>
      </c>
      <c r="D32" s="528">
        <v>46141</v>
      </c>
      <c r="E32" s="2" t="s">
        <v>23</v>
      </c>
      <c r="F32" s="531" t="s">
        <v>24</v>
      </c>
      <c r="G32" s="526"/>
      <c r="H32" s="527">
        <v>44112</v>
      </c>
      <c r="I32" s="526"/>
      <c r="J32" s="526">
        <v>60991</v>
      </c>
      <c r="K32" s="526"/>
      <c r="L32" t="s">
        <v>72</v>
      </c>
      <c r="M32" s="526">
        <v>1.5</v>
      </c>
    </row>
    <row r="33" spans="1:13" ht="30.75">
      <c r="A33" s="526"/>
      <c r="B33" s="526"/>
      <c r="C33" s="526"/>
      <c r="D33" s="526"/>
      <c r="E33" s="2" t="s">
        <v>23</v>
      </c>
      <c r="F33" s="526"/>
      <c r="G33" s="526"/>
      <c r="H33" s="527"/>
      <c r="I33" s="526"/>
      <c r="J33" s="526"/>
      <c r="K33" s="526"/>
      <c r="L33" s="526"/>
      <c r="M33" s="526"/>
    </row>
    <row r="34" spans="1:13" ht="30.75">
      <c r="A34" s="526"/>
      <c r="B34" s="526"/>
      <c r="C34" s="526"/>
      <c r="D34" s="526"/>
      <c r="E34" s="2" t="s">
        <v>23</v>
      </c>
      <c r="F34" s="526"/>
      <c r="G34" s="526"/>
      <c r="H34" s="527"/>
      <c r="I34" s="526"/>
      <c r="J34" s="526"/>
      <c r="K34" s="526"/>
      <c r="L34" s="526"/>
      <c r="M34" s="526"/>
    </row>
    <row r="35" spans="1:13" ht="30.75">
      <c r="A35" s="526"/>
      <c r="B35" s="526"/>
      <c r="C35" s="526"/>
      <c r="D35" s="526"/>
      <c r="E35" s="2" t="s">
        <v>23</v>
      </c>
      <c r="F35" s="526"/>
      <c r="G35" s="526"/>
      <c r="H35" s="527"/>
      <c r="I35" s="526"/>
      <c r="J35" s="526"/>
      <c r="K35" s="526"/>
      <c r="L35" s="526"/>
      <c r="M35" s="526"/>
    </row>
    <row r="36" spans="1:13" ht="30.75">
      <c r="A36" s="526"/>
      <c r="B36" s="526"/>
      <c r="C36" s="526"/>
      <c r="D36" s="526"/>
      <c r="E36" s="2" t="s">
        <v>23</v>
      </c>
      <c r="F36" s="526"/>
      <c r="G36" s="526"/>
      <c r="H36" s="527"/>
      <c r="I36" s="526"/>
      <c r="J36" s="526"/>
      <c r="K36" s="526"/>
      <c r="L36" s="526"/>
      <c r="M36" s="526"/>
    </row>
    <row r="37" spans="1:13" ht="30.75">
      <c r="A37" s="526"/>
      <c r="B37" s="526"/>
      <c r="C37" s="526"/>
      <c r="D37" s="526"/>
      <c r="E37" s="2" t="s">
        <v>23</v>
      </c>
      <c r="F37" s="526"/>
      <c r="G37" s="526"/>
      <c r="H37" s="527"/>
      <c r="I37" s="526"/>
      <c r="J37" s="526"/>
      <c r="K37" s="526"/>
      <c r="L37" s="526"/>
      <c r="M37" s="526"/>
    </row>
    <row r="38" spans="1:13" ht="30.75">
      <c r="A38" s="526"/>
      <c r="B38" s="526"/>
      <c r="C38" s="526"/>
      <c r="D38" s="526"/>
      <c r="E38" s="2" t="s">
        <v>23</v>
      </c>
      <c r="F38" s="526"/>
      <c r="G38" s="526"/>
      <c r="H38" s="527"/>
      <c r="I38" s="526"/>
      <c r="J38" s="526"/>
      <c r="K38" s="526"/>
      <c r="L38" s="526"/>
      <c r="M38" s="526"/>
    </row>
    <row r="39" spans="1:13" ht="30.75">
      <c r="A39" s="526"/>
      <c r="B39" s="526"/>
      <c r="C39" s="526"/>
      <c r="D39" s="526"/>
      <c r="E39" s="2" t="s">
        <v>23</v>
      </c>
      <c r="F39" s="526"/>
      <c r="G39" s="526"/>
      <c r="H39" s="527"/>
      <c r="I39" s="526"/>
      <c r="J39" s="526"/>
      <c r="K39" s="526"/>
      <c r="L39" s="526"/>
      <c r="M39" s="526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F10:F39" xr:uid="{FF68831F-2B6B-4226-B478-8CD7FA193038}">
      <formula1>"EFECTIVO, CHEQUE, TRANSFERENCIA,DEPOSITO"</formula1>
    </dataValidation>
    <dataValidation type="list" allowBlank="1" showInputMessage="1" showErrorMessage="1" sqref="C10:C39" xr:uid="{87AFD3CD-7E31-435A-B85E-3F525D615FB9}">
      <formula1>"ENERO,FEBRERO,MARZO,ABRIL,MAYO,JUNIO,JULIO,AGOSTO,SEPTIEMBRE,OCTUBRE,NOVIEMBRE,DICIEMBRE"</formula1>
    </dataValidation>
  </dataValidations>
  <hyperlinks>
    <hyperlink ref="B4:E4" r:id="rId1" display="rdonayrecayo@gmail.com" xr:uid="{F15E756B-8CED-422C-A6BC-CFAE5E3A1472}"/>
  </hyperlinks>
  <pageMargins left="0.7" right="0.7" top="0.75" bottom="0.75" header="0.3" footer="0.3"/>
  <tableParts count="1">
    <tablePart r:id="rId2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5DE9-9E54-49D3-86F6-00093D799BC4}">
  <dimension ref="A1:AA433"/>
  <sheetViews>
    <sheetView topLeftCell="A18" workbookViewId="0">
      <selection activeCell="K35" sqref="K35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3.42578125" customWidth="1"/>
  </cols>
  <sheetData>
    <row r="1" spans="1:14" ht="23.25" customHeight="1">
      <c r="A1" s="789" t="s">
        <v>3301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20603070462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>
        <v>45489</v>
      </c>
      <c r="C5" s="787"/>
      <c r="F5" s="258"/>
      <c r="G5" s="788" t="s">
        <v>3302</v>
      </c>
      <c r="H5" s="788"/>
      <c r="I5" s="788"/>
      <c r="J5" s="788"/>
      <c r="K5" s="788"/>
      <c r="L5" s="788"/>
      <c r="M5" s="788"/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45489</v>
      </c>
      <c r="B10" s="8">
        <v>118</v>
      </c>
      <c r="C10" s="2" t="s">
        <v>47</v>
      </c>
      <c r="D10" s="153">
        <v>45503</v>
      </c>
      <c r="E10" s="2" t="s">
        <v>23</v>
      </c>
      <c r="F10" s="2" t="s">
        <v>24</v>
      </c>
      <c r="G10" s="2" t="s">
        <v>36</v>
      </c>
      <c r="H10" s="9" t="s">
        <v>3303</v>
      </c>
      <c r="I10" s="9"/>
      <c r="J10" s="9" t="s">
        <v>3304</v>
      </c>
      <c r="K10" s="2">
        <v>40291</v>
      </c>
      <c r="L10" t="s">
        <v>72</v>
      </c>
      <c r="M10">
        <v>2.1</v>
      </c>
    </row>
    <row r="11" spans="1:14" ht="30.75">
      <c r="A11" s="153">
        <v>45535</v>
      </c>
      <c r="B11" s="8">
        <v>118</v>
      </c>
      <c r="C11" t="s">
        <v>50</v>
      </c>
      <c r="D11" s="153">
        <v>45535</v>
      </c>
      <c r="E11" s="2" t="s">
        <v>23</v>
      </c>
      <c r="F11" s="2" t="s">
        <v>28</v>
      </c>
      <c r="H11" s="76" t="s">
        <v>3305</v>
      </c>
      <c r="I11" s="9"/>
      <c r="J11" s="9" t="s">
        <v>3306</v>
      </c>
      <c r="K11" s="2">
        <v>41341</v>
      </c>
      <c r="L11" t="s">
        <v>26</v>
      </c>
      <c r="M11">
        <v>8</v>
      </c>
    </row>
    <row r="12" spans="1:14" ht="30.75">
      <c r="A12" s="153">
        <v>45565</v>
      </c>
      <c r="B12" s="8">
        <v>118</v>
      </c>
      <c r="C12" t="s">
        <v>22</v>
      </c>
      <c r="D12" s="153">
        <v>45565</v>
      </c>
      <c r="E12" s="2" t="s">
        <v>23</v>
      </c>
      <c r="F12" s="2" t="s">
        <v>28</v>
      </c>
      <c r="H12" s="76" t="s">
        <v>3307</v>
      </c>
      <c r="I12" s="9"/>
      <c r="J12" s="9" t="s">
        <v>3308</v>
      </c>
      <c r="K12" s="2">
        <v>42397</v>
      </c>
      <c r="L12" t="s">
        <v>26</v>
      </c>
      <c r="M12">
        <v>6.5</v>
      </c>
    </row>
    <row r="13" spans="1:14" ht="30.75">
      <c r="A13" s="153">
        <v>45596</v>
      </c>
      <c r="B13" s="154">
        <v>118</v>
      </c>
      <c r="C13" t="s">
        <v>54</v>
      </c>
      <c r="D13" s="153">
        <v>45596</v>
      </c>
      <c r="E13" s="2" t="s">
        <v>23</v>
      </c>
      <c r="F13" t="s">
        <v>28</v>
      </c>
      <c r="H13" s="76" t="s">
        <v>3309</v>
      </c>
      <c r="I13" s="9"/>
      <c r="J13" s="9" t="s">
        <v>3310</v>
      </c>
      <c r="K13" s="2">
        <v>43479</v>
      </c>
      <c r="L13" t="s">
        <v>26</v>
      </c>
      <c r="M13">
        <v>7.5</v>
      </c>
    </row>
    <row r="14" spans="1:14" ht="30.75">
      <c r="A14" s="153">
        <v>45626</v>
      </c>
      <c r="B14" s="154">
        <v>118</v>
      </c>
      <c r="C14" t="s">
        <v>27</v>
      </c>
      <c r="D14" s="153">
        <v>45626</v>
      </c>
      <c r="E14" s="2" t="s">
        <v>23</v>
      </c>
      <c r="F14" t="s">
        <v>28</v>
      </c>
      <c r="H14" s="76" t="s">
        <v>3311</v>
      </c>
      <c r="I14" s="9"/>
      <c r="J14" s="9" t="s">
        <v>3312</v>
      </c>
      <c r="K14" s="2">
        <v>44305</v>
      </c>
      <c r="L14" t="s">
        <v>26</v>
      </c>
      <c r="M14">
        <v>3.6</v>
      </c>
    </row>
    <row r="15" spans="1:14" ht="30.75">
      <c r="A15" t="s">
        <v>1231</v>
      </c>
      <c r="B15" s="154">
        <v>118</v>
      </c>
      <c r="C15" t="s">
        <v>30</v>
      </c>
      <c r="D15" s="153">
        <v>45656</v>
      </c>
      <c r="E15" s="2" t="s">
        <v>23</v>
      </c>
      <c r="F15" t="s">
        <v>28</v>
      </c>
      <c r="H15" s="76" t="s">
        <v>3313</v>
      </c>
      <c r="I15" s="9"/>
      <c r="J15" s="9" t="s">
        <v>3314</v>
      </c>
      <c r="K15" s="2">
        <v>45432</v>
      </c>
      <c r="L15" t="s">
        <v>26</v>
      </c>
      <c r="M15">
        <v>7.3</v>
      </c>
      <c r="N15" t="s">
        <v>36</v>
      </c>
    </row>
    <row r="16" spans="1:14" ht="30.75">
      <c r="A16" s="7" t="s">
        <v>274</v>
      </c>
      <c r="B16" s="154">
        <v>118</v>
      </c>
      <c r="C16" s="2" t="s">
        <v>32</v>
      </c>
      <c r="D16" s="7">
        <v>45687</v>
      </c>
      <c r="E16" s="2" t="s">
        <v>23</v>
      </c>
      <c r="F16" s="2" t="s">
        <v>28</v>
      </c>
      <c r="G16" s="2"/>
      <c r="H16" s="76" t="s">
        <v>3315</v>
      </c>
      <c r="I16" s="9"/>
      <c r="J16" s="9" t="s">
        <v>3316</v>
      </c>
      <c r="K16" s="2"/>
      <c r="L16" t="s">
        <v>26</v>
      </c>
      <c r="M16">
        <v>2.5</v>
      </c>
    </row>
    <row r="17" spans="1:27" ht="30.75">
      <c r="A17" s="153">
        <v>45716</v>
      </c>
      <c r="B17" s="154">
        <v>118</v>
      </c>
      <c r="C17" t="s">
        <v>34</v>
      </c>
      <c r="D17" s="153">
        <v>45716</v>
      </c>
      <c r="E17" s="2" t="s">
        <v>23</v>
      </c>
      <c r="F17" s="2" t="s">
        <v>28</v>
      </c>
      <c r="H17" s="76" t="s">
        <v>3317</v>
      </c>
      <c r="I17" s="9"/>
      <c r="J17" s="9" t="s">
        <v>3318</v>
      </c>
      <c r="L17" s="2" t="s">
        <v>26</v>
      </c>
      <c r="M17">
        <v>2.2999999999999998</v>
      </c>
      <c r="R17" t="s">
        <v>36</v>
      </c>
    </row>
    <row r="18" spans="1:27" ht="30.75">
      <c r="A18" s="153">
        <v>45747</v>
      </c>
      <c r="B18" s="154">
        <v>118</v>
      </c>
      <c r="C18" t="s">
        <v>38</v>
      </c>
      <c r="D18" s="153">
        <v>45747</v>
      </c>
      <c r="E18" s="2" t="s">
        <v>23</v>
      </c>
      <c r="F18" t="s">
        <v>28</v>
      </c>
      <c r="H18" s="76" t="s">
        <v>3319</v>
      </c>
      <c r="I18" s="9"/>
      <c r="J18" s="9" t="s">
        <v>3320</v>
      </c>
      <c r="L18" s="2" t="s">
        <v>26</v>
      </c>
      <c r="M18">
        <v>3.8</v>
      </c>
    </row>
    <row r="19" spans="1:27" ht="30.75">
      <c r="A19" s="153">
        <v>45777</v>
      </c>
      <c r="B19" s="154">
        <v>118</v>
      </c>
      <c r="C19" t="s">
        <v>41</v>
      </c>
      <c r="D19" s="153">
        <v>45777</v>
      </c>
      <c r="E19" s="2" t="s">
        <v>23</v>
      </c>
      <c r="F19" t="s">
        <v>28</v>
      </c>
      <c r="H19" s="76" t="s">
        <v>3321</v>
      </c>
      <c r="I19" s="9"/>
      <c r="J19" s="9" t="s">
        <v>3322</v>
      </c>
      <c r="L19" s="2" t="s">
        <v>26</v>
      </c>
      <c r="M19">
        <v>3</v>
      </c>
      <c r="V19" s="789" t="s">
        <v>3301</v>
      </c>
      <c r="W19" s="788"/>
      <c r="X19" s="788"/>
      <c r="Y19" s="788"/>
      <c r="Z19" s="788"/>
      <c r="AA19" s="788"/>
    </row>
    <row r="20" spans="1:27" ht="30.75">
      <c r="A20" s="153">
        <v>45810</v>
      </c>
      <c r="B20" s="154">
        <v>118</v>
      </c>
      <c r="C20" t="s">
        <v>44</v>
      </c>
      <c r="D20" s="153">
        <v>45808</v>
      </c>
      <c r="E20" s="2" t="s">
        <v>23</v>
      </c>
      <c r="F20" t="s">
        <v>28</v>
      </c>
      <c r="H20" s="76" t="s">
        <v>3323</v>
      </c>
      <c r="I20" s="9"/>
      <c r="J20" s="9" t="s">
        <v>3324</v>
      </c>
      <c r="L20" s="2" t="s">
        <v>26</v>
      </c>
      <c r="M20">
        <v>1.5</v>
      </c>
    </row>
    <row r="21" spans="1:27" ht="30.75">
      <c r="A21" s="153">
        <v>45835</v>
      </c>
      <c r="B21" s="154">
        <v>118</v>
      </c>
      <c r="C21" t="s">
        <v>57</v>
      </c>
      <c r="D21" s="153">
        <v>45835</v>
      </c>
      <c r="E21" s="2" t="s">
        <v>23</v>
      </c>
      <c r="F21" t="s">
        <v>28</v>
      </c>
      <c r="H21" s="76" t="s">
        <v>3325</v>
      </c>
      <c r="I21" s="9"/>
      <c r="J21" s="9" t="s">
        <v>3326</v>
      </c>
      <c r="L21" s="2" t="s">
        <v>26</v>
      </c>
      <c r="M21">
        <v>3</v>
      </c>
    </row>
    <row r="22" spans="1:27" ht="30.75">
      <c r="A22" s="153">
        <v>45869</v>
      </c>
      <c r="B22" s="154">
        <v>118</v>
      </c>
      <c r="C22" t="s">
        <v>47</v>
      </c>
      <c r="D22" s="153">
        <v>45868</v>
      </c>
      <c r="E22" s="2" t="s">
        <v>23</v>
      </c>
      <c r="F22" t="s">
        <v>28</v>
      </c>
      <c r="H22" s="76" t="s">
        <v>3327</v>
      </c>
      <c r="I22" s="9"/>
      <c r="J22" s="9" t="s">
        <v>3328</v>
      </c>
      <c r="L22" s="2" t="s">
        <v>26</v>
      </c>
      <c r="M22">
        <v>2</v>
      </c>
    </row>
    <row r="23" spans="1:27" ht="30.75">
      <c r="A23" s="153">
        <v>45897</v>
      </c>
      <c r="B23" s="154">
        <v>118</v>
      </c>
      <c r="C23" t="s">
        <v>50</v>
      </c>
      <c r="D23" s="153">
        <v>45897</v>
      </c>
      <c r="E23" s="2" t="s">
        <v>23</v>
      </c>
      <c r="F23" t="s">
        <v>28</v>
      </c>
      <c r="H23" s="76" t="s">
        <v>3329</v>
      </c>
      <c r="I23" s="9"/>
      <c r="J23" s="9" t="s">
        <v>3330</v>
      </c>
      <c r="L23" s="2" t="s">
        <v>26</v>
      </c>
      <c r="M23">
        <v>1.6</v>
      </c>
    </row>
    <row r="24" spans="1:27" ht="30.75">
      <c r="A24" s="153">
        <v>45930</v>
      </c>
      <c r="B24" s="154">
        <v>118</v>
      </c>
      <c r="C24" t="s">
        <v>22</v>
      </c>
      <c r="D24" s="153">
        <v>45930</v>
      </c>
      <c r="E24" s="2" t="s">
        <v>23</v>
      </c>
      <c r="F24" t="s">
        <v>28</v>
      </c>
      <c r="H24" s="76" t="s">
        <v>3331</v>
      </c>
      <c r="I24" s="9"/>
      <c r="J24" s="9" t="s">
        <v>3332</v>
      </c>
      <c r="L24" s="2" t="s">
        <v>26</v>
      </c>
      <c r="M24">
        <v>2.2999999999999998</v>
      </c>
    </row>
    <row r="25" spans="1:27" ht="30.75">
      <c r="A25" s="153">
        <v>45963</v>
      </c>
      <c r="B25" s="154">
        <v>118</v>
      </c>
      <c r="C25" t="s">
        <v>54</v>
      </c>
      <c r="D25" s="153">
        <v>45963</v>
      </c>
      <c r="E25" s="2" t="s">
        <v>23</v>
      </c>
      <c r="F25" t="s">
        <v>28</v>
      </c>
      <c r="H25" s="76" t="s">
        <v>3333</v>
      </c>
      <c r="I25" s="9"/>
      <c r="J25" s="9" t="s">
        <v>3334</v>
      </c>
      <c r="L25" s="2" t="s">
        <v>26</v>
      </c>
      <c r="M25">
        <v>2</v>
      </c>
    </row>
    <row r="26" spans="1:27" ht="30.75">
      <c r="A26" s="153">
        <v>45989</v>
      </c>
      <c r="B26" s="154">
        <v>118</v>
      </c>
      <c r="C26" t="s">
        <v>27</v>
      </c>
      <c r="D26" s="153">
        <v>45989</v>
      </c>
      <c r="E26" s="2" t="s">
        <v>23</v>
      </c>
      <c r="F26" t="s">
        <v>28</v>
      </c>
      <c r="H26" s="76" t="s">
        <v>3335</v>
      </c>
      <c r="I26" s="9"/>
      <c r="J26">
        <v>54441</v>
      </c>
      <c r="L26" s="2" t="s">
        <v>26</v>
      </c>
      <c r="M26">
        <v>2.7</v>
      </c>
    </row>
    <row r="27" spans="1:27" ht="30.75">
      <c r="A27" s="153">
        <v>46020</v>
      </c>
      <c r="B27" s="154">
        <v>118</v>
      </c>
      <c r="C27" t="s">
        <v>30</v>
      </c>
      <c r="D27" s="153">
        <v>46020</v>
      </c>
      <c r="E27" s="2" t="s">
        <v>23</v>
      </c>
      <c r="F27" t="s">
        <v>28</v>
      </c>
      <c r="H27" s="76" t="s">
        <v>3336</v>
      </c>
      <c r="I27" s="9"/>
      <c r="J27">
        <v>55709</v>
      </c>
      <c r="L27" s="2" t="s">
        <v>26</v>
      </c>
      <c r="M27">
        <v>2.6</v>
      </c>
    </row>
    <row r="28" spans="1:27" ht="30.75">
      <c r="A28" s="153">
        <v>46053</v>
      </c>
      <c r="B28" s="154">
        <v>118</v>
      </c>
      <c r="C28" t="s">
        <v>32</v>
      </c>
      <c r="D28" s="153">
        <v>46053</v>
      </c>
      <c r="E28" s="2" t="s">
        <v>23</v>
      </c>
      <c r="F28" t="s">
        <v>28</v>
      </c>
      <c r="H28" s="76" t="s">
        <v>3337</v>
      </c>
      <c r="I28" s="9"/>
      <c r="J28">
        <v>56481</v>
      </c>
      <c r="L28" s="2" t="s">
        <v>26</v>
      </c>
      <c r="M28" t="s">
        <v>3338</v>
      </c>
    </row>
    <row r="29" spans="1:27" ht="30.75">
      <c r="A29" s="153">
        <v>46081</v>
      </c>
      <c r="B29" s="154">
        <v>118</v>
      </c>
      <c r="C29" t="s">
        <v>34</v>
      </c>
      <c r="D29" s="153">
        <v>46081</v>
      </c>
      <c r="E29" s="2" t="s">
        <v>23</v>
      </c>
      <c r="F29" t="s">
        <v>28</v>
      </c>
      <c r="H29" s="76" t="s">
        <v>3339</v>
      </c>
      <c r="I29" s="9"/>
      <c r="J29">
        <v>58420</v>
      </c>
      <c r="L29" s="2" t="s">
        <v>26</v>
      </c>
      <c r="M29">
        <v>2.4</v>
      </c>
    </row>
    <row r="30" spans="1:27" ht="30.75">
      <c r="A30" s="153">
        <v>46112</v>
      </c>
      <c r="B30" s="154">
        <v>118</v>
      </c>
      <c r="C30" t="s">
        <v>38</v>
      </c>
      <c r="D30" s="153">
        <v>46112</v>
      </c>
      <c r="E30" s="2" t="s">
        <v>23</v>
      </c>
      <c r="F30" t="s">
        <v>28</v>
      </c>
      <c r="H30" s="76" t="s">
        <v>3340</v>
      </c>
      <c r="I30" s="9"/>
      <c r="J30">
        <v>59579</v>
      </c>
      <c r="L30" s="2" t="s">
        <v>26</v>
      </c>
      <c r="M30">
        <v>2.1</v>
      </c>
    </row>
    <row r="31" spans="1:27" ht="30.75">
      <c r="A31" s="528">
        <v>46142</v>
      </c>
      <c r="B31" s="154">
        <v>118</v>
      </c>
      <c r="C31" t="s">
        <v>41</v>
      </c>
      <c r="D31" s="528">
        <v>46141</v>
      </c>
      <c r="E31" s="2" t="s">
        <v>23</v>
      </c>
      <c r="F31" s="526" t="s">
        <v>28</v>
      </c>
      <c r="G31" s="526"/>
      <c r="H31" s="527" t="s">
        <v>3341</v>
      </c>
      <c r="I31" s="526"/>
      <c r="J31" s="526">
        <v>60992</v>
      </c>
      <c r="K31" s="526"/>
      <c r="L31" s="526" t="s">
        <v>26</v>
      </c>
      <c r="M31" s="526">
        <v>1.2</v>
      </c>
    </row>
    <row r="32" spans="1:27" ht="30.75">
      <c r="A32" s="526"/>
      <c r="B32" s="526"/>
      <c r="C32" s="526"/>
      <c r="D32" s="526"/>
      <c r="E32" s="2" t="s">
        <v>23</v>
      </c>
      <c r="F32" s="526"/>
      <c r="G32" s="526"/>
      <c r="H32" s="527"/>
      <c r="I32" s="526"/>
      <c r="J32" s="526"/>
      <c r="K32" s="526"/>
      <c r="L32" s="526"/>
      <c r="M32" s="526"/>
    </row>
    <row r="33" spans="1:13" ht="30.75">
      <c r="A33" s="526"/>
      <c r="B33" s="526"/>
      <c r="C33" s="526"/>
      <c r="D33" s="526"/>
      <c r="E33" s="2" t="s">
        <v>23</v>
      </c>
      <c r="F33" s="526"/>
      <c r="G33" s="526"/>
      <c r="H33" s="527"/>
      <c r="I33" s="526"/>
      <c r="J33" s="526"/>
      <c r="K33" s="526"/>
      <c r="L33" s="526"/>
      <c r="M33" s="526"/>
    </row>
    <row r="34" spans="1:13" ht="30.75">
      <c r="A34" s="526"/>
      <c r="B34" s="526"/>
      <c r="C34" s="526"/>
      <c r="D34" s="526"/>
      <c r="E34" s="2" t="s">
        <v>23</v>
      </c>
      <c r="F34" s="526"/>
      <c r="G34" s="526"/>
      <c r="H34" s="527"/>
      <c r="I34" s="526"/>
      <c r="J34" s="526"/>
      <c r="K34" s="526"/>
      <c r="L34" s="526"/>
      <c r="M34" s="526"/>
    </row>
    <row r="35" spans="1:13" ht="30.75">
      <c r="A35" s="526"/>
      <c r="B35" s="526"/>
      <c r="C35" s="526"/>
      <c r="D35" s="526"/>
      <c r="E35" s="2" t="s">
        <v>23</v>
      </c>
      <c r="F35" s="526"/>
      <c r="G35" s="526"/>
      <c r="H35" s="527"/>
      <c r="I35" s="526"/>
      <c r="J35" s="526"/>
      <c r="K35" s="526"/>
      <c r="L35" s="526"/>
      <c r="M35" s="526"/>
    </row>
    <row r="36" spans="1:13" ht="30.75">
      <c r="A36" s="526"/>
      <c r="B36" s="526"/>
      <c r="C36" s="526"/>
      <c r="D36" s="526"/>
      <c r="E36" s="2" t="s">
        <v>23</v>
      </c>
      <c r="F36" s="526"/>
      <c r="G36" s="526"/>
      <c r="H36" s="527"/>
      <c r="I36" s="526"/>
      <c r="J36" s="526"/>
      <c r="K36" s="526"/>
      <c r="L36" s="526"/>
      <c r="M36" s="526"/>
    </row>
    <row r="37" spans="1:13" ht="30.75">
      <c r="A37" s="526"/>
      <c r="B37" s="526"/>
      <c r="C37" s="526"/>
      <c r="D37" s="526"/>
      <c r="E37" s="2" t="s">
        <v>23</v>
      </c>
      <c r="F37" s="526"/>
      <c r="G37" s="526"/>
      <c r="H37" s="527"/>
      <c r="I37" s="526"/>
      <c r="J37" s="526"/>
      <c r="K37" s="526"/>
      <c r="L37" s="526"/>
      <c r="M37" s="526"/>
    </row>
    <row r="38" spans="1:13" ht="30.75">
      <c r="A38" s="526"/>
      <c r="B38" s="526"/>
      <c r="C38" s="526"/>
      <c r="D38" s="526"/>
      <c r="E38" s="2" t="s">
        <v>23</v>
      </c>
      <c r="F38" s="526"/>
      <c r="G38" s="526"/>
      <c r="H38" s="527"/>
      <c r="I38" s="526"/>
      <c r="J38" s="526"/>
      <c r="K38" s="526"/>
      <c r="L38" s="526"/>
      <c r="M38" s="526"/>
    </row>
    <row r="39" spans="1:13" ht="30.75">
      <c r="A39" s="526"/>
      <c r="B39" s="526"/>
      <c r="C39" s="526"/>
      <c r="D39" s="526"/>
      <c r="E39" s="2" t="s">
        <v>23</v>
      </c>
      <c r="F39" s="526"/>
      <c r="G39" s="526"/>
      <c r="H39" s="527"/>
      <c r="I39" s="526"/>
      <c r="J39" s="526"/>
      <c r="K39" s="526"/>
      <c r="L39" s="526"/>
      <c r="M39" s="526"/>
    </row>
    <row r="40" spans="1:13" ht="30.75">
      <c r="A40" s="526"/>
      <c r="B40" s="526"/>
      <c r="C40" s="526"/>
      <c r="D40" s="526"/>
      <c r="E40" s="2" t="s">
        <v>23</v>
      </c>
      <c r="F40" s="526"/>
      <c r="G40" s="526"/>
      <c r="H40" s="527"/>
      <c r="I40" s="526"/>
      <c r="J40" s="526"/>
      <c r="K40" s="526"/>
      <c r="L40" s="526"/>
      <c r="M40" s="526"/>
    </row>
    <row r="41" spans="1:13" ht="30.75">
      <c r="A41" s="526"/>
      <c r="B41" s="526"/>
      <c r="C41" s="526"/>
      <c r="D41" s="526"/>
      <c r="E41" s="2" t="s">
        <v>23</v>
      </c>
      <c r="F41" s="526"/>
      <c r="G41" s="526"/>
      <c r="H41" s="527"/>
      <c r="I41" s="526"/>
      <c r="J41" s="526"/>
      <c r="K41" s="526"/>
      <c r="L41" s="526"/>
      <c r="M41" s="526"/>
    </row>
    <row r="42" spans="1:13" ht="30.75">
      <c r="A42" s="526"/>
      <c r="B42" s="526"/>
      <c r="C42" s="526"/>
      <c r="D42" s="526"/>
      <c r="E42" s="2" t="s">
        <v>23</v>
      </c>
      <c r="F42" s="526"/>
      <c r="G42" s="526"/>
      <c r="H42" s="527"/>
      <c r="I42" s="526"/>
      <c r="J42" s="526"/>
      <c r="K42" s="526"/>
      <c r="L42" s="526"/>
      <c r="M42" s="526"/>
    </row>
    <row r="43" spans="1:13" ht="30.75">
      <c r="A43" s="526"/>
      <c r="B43" s="526"/>
      <c r="C43" s="526"/>
      <c r="D43" s="526"/>
      <c r="E43" s="2" t="s">
        <v>23</v>
      </c>
      <c r="F43" s="526"/>
      <c r="G43" s="526"/>
      <c r="H43" s="527"/>
      <c r="I43" s="526"/>
      <c r="J43" s="526"/>
      <c r="K43" s="526"/>
      <c r="L43" s="526"/>
      <c r="M43" s="526"/>
    </row>
    <row r="44" spans="1:13" ht="30.75">
      <c r="A44" s="526"/>
      <c r="B44" s="526"/>
      <c r="C44" s="526"/>
      <c r="D44" s="526"/>
      <c r="E44" s="2" t="s">
        <v>23</v>
      </c>
      <c r="F44" s="526"/>
      <c r="G44" s="526"/>
      <c r="H44" s="527"/>
      <c r="I44" s="526"/>
      <c r="J44" s="526"/>
      <c r="K44" s="526"/>
      <c r="L44" s="526"/>
      <c r="M44" s="526"/>
    </row>
    <row r="45" spans="1:13" ht="30.75">
      <c r="A45" s="526"/>
      <c r="B45" s="526"/>
      <c r="C45" s="526"/>
      <c r="D45" s="526"/>
      <c r="E45" s="2" t="s">
        <v>23</v>
      </c>
      <c r="F45" s="526"/>
      <c r="G45" s="526"/>
      <c r="H45" s="527"/>
      <c r="I45" s="526"/>
      <c r="J45" s="526"/>
      <c r="K45" s="526"/>
      <c r="L45" s="526"/>
      <c r="M45" s="526"/>
    </row>
    <row r="46" spans="1:13" ht="30.75">
      <c r="A46" s="526"/>
      <c r="B46" s="526"/>
      <c r="C46" s="526"/>
      <c r="D46" s="526"/>
      <c r="E46" s="2" t="s">
        <v>23</v>
      </c>
      <c r="F46" s="526"/>
      <c r="G46" s="526"/>
      <c r="H46" s="527"/>
      <c r="I46" s="526"/>
      <c r="J46" s="526"/>
      <c r="K46" s="526"/>
      <c r="L46" s="526"/>
      <c r="M46" s="526"/>
    </row>
    <row r="47" spans="1:13" ht="30.75">
      <c r="A47" s="526"/>
      <c r="B47" s="526"/>
      <c r="C47" s="526"/>
      <c r="D47" s="526"/>
      <c r="E47" s="2" t="s">
        <v>23</v>
      </c>
      <c r="F47" s="526"/>
      <c r="G47" s="526"/>
      <c r="H47" s="527"/>
      <c r="I47" s="526"/>
      <c r="J47" s="526"/>
      <c r="K47" s="526"/>
      <c r="L47" s="526"/>
      <c r="M47" s="526"/>
    </row>
    <row r="48" spans="1:13" ht="30.75">
      <c r="A48" s="526"/>
      <c r="B48" s="526"/>
      <c r="C48" s="526"/>
      <c r="D48" s="526"/>
      <c r="E48" s="2" t="s">
        <v>23</v>
      </c>
      <c r="F48" s="526"/>
      <c r="G48" s="526"/>
      <c r="H48" s="527"/>
      <c r="I48" s="526"/>
      <c r="J48" s="526"/>
      <c r="K48" s="526"/>
      <c r="L48" s="526"/>
      <c r="M48" s="526"/>
    </row>
    <row r="49" spans="1:13" ht="30.75">
      <c r="A49" s="526"/>
      <c r="B49" s="526"/>
      <c r="C49" s="526"/>
      <c r="D49" s="526"/>
      <c r="E49" s="2" t="s">
        <v>23</v>
      </c>
      <c r="F49" s="526"/>
      <c r="G49" s="526"/>
      <c r="H49" s="527"/>
      <c r="I49" s="526"/>
      <c r="J49" s="526"/>
      <c r="K49" s="526"/>
      <c r="L49" s="526"/>
      <c r="M49" s="526"/>
    </row>
    <row r="50" spans="1:13" ht="30.75">
      <c r="A50" s="526"/>
      <c r="B50" s="526"/>
      <c r="C50" s="526"/>
      <c r="D50" s="526"/>
      <c r="E50" s="2" t="s">
        <v>23</v>
      </c>
      <c r="F50" s="526"/>
      <c r="G50" s="526"/>
      <c r="H50" s="527"/>
      <c r="I50" s="526"/>
      <c r="J50" s="526"/>
      <c r="K50" s="526"/>
      <c r="L50" s="526"/>
      <c r="M50" s="526"/>
    </row>
    <row r="51" spans="1:13" ht="30.75">
      <c r="A51" s="526"/>
      <c r="B51" s="526"/>
      <c r="C51" s="526"/>
      <c r="D51" s="526"/>
      <c r="E51" s="2" t="s">
        <v>23</v>
      </c>
      <c r="F51" s="526"/>
      <c r="G51" s="526"/>
      <c r="H51" s="527"/>
      <c r="I51" s="526"/>
      <c r="J51" s="526"/>
      <c r="K51" s="526"/>
      <c r="L51" s="526"/>
      <c r="M51" s="526"/>
    </row>
    <row r="52" spans="1:13" ht="30.75">
      <c r="A52" s="526"/>
      <c r="B52" s="526"/>
      <c r="C52" s="526"/>
      <c r="D52" s="526"/>
      <c r="E52" s="2" t="s">
        <v>23</v>
      </c>
      <c r="F52" s="526"/>
      <c r="G52" s="526"/>
      <c r="H52" s="527"/>
      <c r="I52" s="526"/>
      <c r="J52" s="526"/>
      <c r="K52" s="526"/>
      <c r="L52" s="526"/>
      <c r="M52" s="526"/>
    </row>
    <row r="53" spans="1:13" ht="30.75">
      <c r="A53" s="526"/>
      <c r="B53" s="526"/>
      <c r="C53" s="526"/>
      <c r="D53" s="526"/>
      <c r="E53" s="2" t="s">
        <v>23</v>
      </c>
      <c r="F53" s="526"/>
      <c r="G53" s="526"/>
      <c r="H53" s="527"/>
      <c r="I53" s="526"/>
      <c r="J53" s="526"/>
      <c r="K53" s="526"/>
      <c r="L53" s="526"/>
      <c r="M53" s="526"/>
    </row>
    <row r="433" spans="2:3">
      <c r="B433" t="s">
        <v>2286</v>
      </c>
      <c r="C433" t="s">
        <v>2287</v>
      </c>
    </row>
  </sheetData>
  <mergeCells count="8">
    <mergeCell ref="V19:AA19"/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F10:F53" xr:uid="{6735B299-1A37-4C7D-8D06-D7356A00EBB1}">
      <formula1>"EFECTIVO, CHEQUE, TRANSFERENCIA,DEPOSITO"</formula1>
    </dataValidation>
    <dataValidation type="list" allowBlank="1" showInputMessage="1" showErrorMessage="1" sqref="C10:C53" xr:uid="{C5A1B4A6-5A65-45F4-B311-38BECE033048}">
      <formula1>"ENERO,FEBRERO,MARZO,ABRIL,MAYO,JUNIO,JULIO,AGOSTO,SEPTIEMBRE,OCTUBRE,NOVIEMBRE,DICIEMBRE"</formula1>
    </dataValidation>
  </dataValidations>
  <hyperlinks>
    <hyperlink ref="B4:E4" r:id="rId1" display="Jr_2080@hotmail.com" xr:uid="{FCD4F414-10EA-4B39-82E1-51B047262640}"/>
  </hyperlinks>
  <pageMargins left="0.7" right="0.7" top="0.75" bottom="0.75" header="0.3" footer="0.3"/>
  <tableParts count="1">
    <tablePart r:id="rId2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18D9A-CE98-4A92-9275-2653DA2E6C75}">
  <dimension ref="A1:R433"/>
  <sheetViews>
    <sheetView topLeftCell="A16" workbookViewId="0">
      <selection activeCell="S28" sqref="S28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9.42578125" customWidth="1"/>
    <col min="12" max="12" width="16.5703125" customWidth="1"/>
  </cols>
  <sheetData>
    <row r="1" spans="1:14" ht="23.25" customHeight="1">
      <c r="A1" s="789" t="s">
        <v>3342</v>
      </c>
      <c r="B1" s="789"/>
      <c r="C1" s="789"/>
      <c r="D1" s="789"/>
      <c r="E1" s="789"/>
      <c r="F1" s="789"/>
    </row>
    <row r="2" spans="1:14" ht="18.75" customHeight="1">
      <c r="A2" s="2" t="s">
        <v>1729</v>
      </c>
      <c r="B2" s="790" t="s">
        <v>3343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20609198801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3344</v>
      </c>
      <c r="C4" s="796"/>
      <c r="D4" s="796"/>
      <c r="E4" s="796"/>
    </row>
    <row r="5" spans="1:14" ht="23.25" customHeight="1">
      <c r="A5" s="257" t="s">
        <v>4</v>
      </c>
      <c r="B5" s="786">
        <v>45517</v>
      </c>
      <c r="C5" s="787"/>
      <c r="F5" s="258"/>
      <c r="G5" s="788" t="s">
        <v>3345</v>
      </c>
      <c r="H5" s="788"/>
      <c r="I5" s="788"/>
      <c r="J5" s="788"/>
      <c r="K5" s="788"/>
      <c r="L5" s="788"/>
      <c r="M5" s="788"/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45512</v>
      </c>
      <c r="B10" s="8">
        <v>350</v>
      </c>
      <c r="C10" s="2" t="s">
        <v>50</v>
      </c>
      <c r="D10" s="153">
        <v>45520</v>
      </c>
      <c r="E10" s="2" t="s">
        <v>23</v>
      </c>
      <c r="F10" s="2" t="s">
        <v>24</v>
      </c>
      <c r="G10" s="2" t="s">
        <v>36</v>
      </c>
      <c r="H10" s="9" t="s">
        <v>3346</v>
      </c>
      <c r="I10" s="9"/>
      <c r="J10" s="9" t="s">
        <v>3347</v>
      </c>
      <c r="K10" s="2">
        <v>40874</v>
      </c>
      <c r="L10" t="s">
        <v>26</v>
      </c>
      <c r="M10">
        <v>46.265000000000001</v>
      </c>
    </row>
    <row r="11" spans="1:14" ht="30.75">
      <c r="A11" s="7">
        <v>45654</v>
      </c>
      <c r="B11" s="8">
        <v>350</v>
      </c>
      <c r="C11" t="s">
        <v>54</v>
      </c>
      <c r="D11" s="153">
        <v>45596</v>
      </c>
      <c r="E11" s="2" t="s">
        <v>23</v>
      </c>
      <c r="F11" s="2" t="s">
        <v>24</v>
      </c>
      <c r="H11" s="76" t="s">
        <v>3348</v>
      </c>
      <c r="I11" s="9"/>
      <c r="J11" s="9" t="s">
        <v>3349</v>
      </c>
      <c r="K11" s="2">
        <v>43493</v>
      </c>
      <c r="L11" t="s">
        <v>72</v>
      </c>
      <c r="M11">
        <v>23.5</v>
      </c>
    </row>
    <row r="12" spans="1:14" ht="30.75">
      <c r="A12" s="7">
        <v>45698</v>
      </c>
      <c r="B12" s="8">
        <v>350</v>
      </c>
      <c r="C12" t="s">
        <v>30</v>
      </c>
      <c r="D12" s="153">
        <v>45654</v>
      </c>
      <c r="E12" s="2" t="s">
        <v>23</v>
      </c>
      <c r="F12" s="2" t="s">
        <v>24</v>
      </c>
      <c r="H12" s="76" t="s">
        <v>3350</v>
      </c>
      <c r="I12" s="9"/>
      <c r="J12" s="9" t="s">
        <v>3351</v>
      </c>
      <c r="K12" s="2">
        <v>45449</v>
      </c>
      <c r="L12" t="s">
        <v>72</v>
      </c>
      <c r="M12">
        <v>18</v>
      </c>
    </row>
    <row r="13" spans="1:14" ht="30.75">
      <c r="A13" s="153">
        <v>45824</v>
      </c>
      <c r="B13" s="8">
        <v>350</v>
      </c>
      <c r="C13" t="s">
        <v>34</v>
      </c>
      <c r="D13" s="153">
        <v>45716</v>
      </c>
      <c r="E13" s="2" t="s">
        <v>23</v>
      </c>
      <c r="F13" s="2" t="s">
        <v>24</v>
      </c>
      <c r="H13" s="76" t="s">
        <v>3352</v>
      </c>
      <c r="I13" s="9"/>
      <c r="J13" s="9" t="s">
        <v>3353</v>
      </c>
      <c r="K13" s="2"/>
      <c r="L13" t="s">
        <v>72</v>
      </c>
      <c r="M13">
        <v>9.5</v>
      </c>
    </row>
    <row r="14" spans="1:14" ht="30.75">
      <c r="A14" s="153">
        <v>45864</v>
      </c>
      <c r="B14" s="8">
        <v>350</v>
      </c>
      <c r="C14" t="s">
        <v>38</v>
      </c>
      <c r="D14" s="153">
        <v>45731</v>
      </c>
      <c r="E14" s="2" t="s">
        <v>23</v>
      </c>
      <c r="F14" s="2" t="s">
        <v>28</v>
      </c>
      <c r="H14" s="76" t="s">
        <v>3354</v>
      </c>
      <c r="I14" s="9"/>
      <c r="J14" s="9" t="s">
        <v>3355</v>
      </c>
      <c r="K14" s="2"/>
      <c r="L14" t="s">
        <v>26</v>
      </c>
      <c r="M14">
        <v>16.3</v>
      </c>
    </row>
    <row r="15" spans="1:14" ht="30.75">
      <c r="A15" s="153">
        <v>45884</v>
      </c>
      <c r="B15" s="8">
        <v>350</v>
      </c>
      <c r="C15" t="s">
        <v>41</v>
      </c>
      <c r="D15" s="153">
        <v>45776</v>
      </c>
      <c r="E15" s="2" t="s">
        <v>23</v>
      </c>
      <c r="F15" s="2" t="s">
        <v>24</v>
      </c>
      <c r="H15" s="76" t="s">
        <v>3356</v>
      </c>
      <c r="I15" s="9"/>
      <c r="J15" s="9" t="s">
        <v>3357</v>
      </c>
      <c r="K15" s="2"/>
      <c r="L15" t="s">
        <v>72</v>
      </c>
      <c r="M15">
        <v>24.9</v>
      </c>
      <c r="N15" t="s">
        <v>36</v>
      </c>
    </row>
    <row r="16" spans="1:14" ht="30.75">
      <c r="A16" s="7"/>
      <c r="B16" s="8"/>
      <c r="D16" s="7"/>
      <c r="E16" s="2" t="s">
        <v>23</v>
      </c>
      <c r="F16" s="2" t="s">
        <v>24</v>
      </c>
      <c r="G16" s="2"/>
      <c r="H16" s="76"/>
      <c r="I16" s="9"/>
      <c r="J16" s="9"/>
      <c r="K16" s="2"/>
      <c r="L16" s="535"/>
    </row>
    <row r="17" spans="1:18" ht="30.75">
      <c r="A17" s="7">
        <v>45898</v>
      </c>
      <c r="B17" s="8" t="s">
        <v>3358</v>
      </c>
      <c r="C17" t="s">
        <v>47</v>
      </c>
      <c r="D17" s="153">
        <v>45864</v>
      </c>
      <c r="E17" s="2" t="s">
        <v>23</v>
      </c>
      <c r="F17" s="2" t="s">
        <v>28</v>
      </c>
      <c r="H17" s="76" t="s">
        <v>3359</v>
      </c>
      <c r="I17" s="9"/>
      <c r="J17" s="9" t="s">
        <v>3360</v>
      </c>
      <c r="L17" t="s">
        <v>26</v>
      </c>
      <c r="M17">
        <v>12.5</v>
      </c>
      <c r="R17" t="s">
        <v>36</v>
      </c>
    </row>
    <row r="18" spans="1:18" ht="28.5" customHeight="1">
      <c r="A18" s="153">
        <v>45929</v>
      </c>
      <c r="B18" s="8" t="s">
        <v>3358</v>
      </c>
      <c r="C18" t="s">
        <v>22</v>
      </c>
      <c r="D18" s="153">
        <v>45929</v>
      </c>
      <c r="E18" s="2" t="s">
        <v>23</v>
      </c>
      <c r="F18" s="2" t="s">
        <v>24</v>
      </c>
      <c r="H18" s="76" t="s">
        <v>3361</v>
      </c>
      <c r="I18" s="9"/>
      <c r="J18" s="9" t="s">
        <v>3362</v>
      </c>
      <c r="L18" t="s">
        <v>72</v>
      </c>
      <c r="M18">
        <v>2.2999999999999998</v>
      </c>
    </row>
    <row r="19" spans="1:18" ht="30.75">
      <c r="A19" s="153">
        <v>45988</v>
      </c>
      <c r="B19" s="8" t="s">
        <v>3358</v>
      </c>
      <c r="C19" t="s">
        <v>27</v>
      </c>
      <c r="D19" s="153">
        <v>45988</v>
      </c>
      <c r="E19" s="2" t="s">
        <v>23</v>
      </c>
      <c r="F19" s="2" t="s">
        <v>24</v>
      </c>
      <c r="H19" s="76" t="s">
        <v>3363</v>
      </c>
      <c r="I19" s="9"/>
      <c r="J19" s="9" t="s">
        <v>3364</v>
      </c>
      <c r="L19" t="s">
        <v>72</v>
      </c>
      <c r="M19">
        <v>7</v>
      </c>
    </row>
    <row r="20" spans="1:18" ht="30.75">
      <c r="A20" s="153">
        <v>46052</v>
      </c>
      <c r="B20" s="8" t="s">
        <v>3365</v>
      </c>
      <c r="C20" t="s">
        <v>32</v>
      </c>
      <c r="D20" s="153">
        <v>46052</v>
      </c>
      <c r="E20" s="2" t="s">
        <v>23</v>
      </c>
      <c r="F20" t="s">
        <v>28</v>
      </c>
      <c r="H20" s="76" t="s">
        <v>3366</v>
      </c>
      <c r="I20" s="9"/>
      <c r="J20" s="9" t="s">
        <v>3367</v>
      </c>
      <c r="L20" s="2" t="s">
        <v>26</v>
      </c>
      <c r="M20">
        <v>13</v>
      </c>
    </row>
    <row r="21" spans="1:18" ht="30.75">
      <c r="B21" s="8" t="s">
        <v>3358</v>
      </c>
      <c r="C21" t="s">
        <v>38</v>
      </c>
      <c r="D21" s="153">
        <v>46112</v>
      </c>
      <c r="E21" s="2" t="s">
        <v>23</v>
      </c>
      <c r="F21" s="2" t="s">
        <v>24</v>
      </c>
      <c r="H21" s="76" t="s">
        <v>3368</v>
      </c>
      <c r="I21" s="9"/>
      <c r="J21" s="9" t="s">
        <v>3369</v>
      </c>
      <c r="L21" s="537" t="s">
        <v>1805</v>
      </c>
      <c r="M21">
        <v>10.3</v>
      </c>
    </row>
    <row r="22" spans="1:18" ht="30.75">
      <c r="B22" s="8" t="s">
        <v>3358</v>
      </c>
      <c r="C22" t="s">
        <v>44</v>
      </c>
      <c r="D22" s="153">
        <v>46170</v>
      </c>
      <c r="E22" s="2" t="s">
        <v>23</v>
      </c>
      <c r="F22" s="2" t="s">
        <v>24</v>
      </c>
      <c r="H22" s="76" t="s">
        <v>3370</v>
      </c>
      <c r="I22" s="9"/>
      <c r="J22" s="9" t="s">
        <v>3371</v>
      </c>
      <c r="L22" s="537" t="s">
        <v>1805</v>
      </c>
      <c r="M22">
        <v>16.5</v>
      </c>
    </row>
    <row r="23" spans="1:18" ht="30.75">
      <c r="E23" s="2" t="s">
        <v>23</v>
      </c>
      <c r="H23" s="76"/>
      <c r="I23" s="9"/>
      <c r="J23" s="9"/>
    </row>
    <row r="24" spans="1:18" ht="30.75">
      <c r="E24" s="2" t="s">
        <v>23</v>
      </c>
      <c r="H24" s="76"/>
      <c r="I24" s="9"/>
      <c r="J24" s="9"/>
    </row>
    <row r="25" spans="1:18" ht="30.75">
      <c r="E25" s="2" t="s">
        <v>23</v>
      </c>
      <c r="H25" s="76"/>
      <c r="I25" s="9"/>
      <c r="J25" s="9"/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A1:F1"/>
    <mergeCell ref="B5:C5"/>
    <mergeCell ref="G5:M5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23878E2A-840A-4E22-B6D7-87E294C3D2B7}">
      <formula1>"ENERO,FEBRERO,MARZO,ABRIL,MAYO,JUNIO,JULIO,AGOSTO,SEPTIEMBRE,OCTUBRE,NOVIEMBRE,DICIEMBRE"</formula1>
    </dataValidation>
    <dataValidation type="list" allowBlank="1" showInputMessage="1" showErrorMessage="1" sqref="F10:F30" xr:uid="{A606E396-B1C6-4D92-BADA-91437748C73C}">
      <formula1>"EFECTIVO, CHEQUE, TRANSFERENCIA,DEPOSITO"</formula1>
    </dataValidation>
  </dataValidations>
  <hyperlinks>
    <hyperlink ref="B4:E4" r:id="rId1" display="Jr_2080@hotmail.com" xr:uid="{5F0A9505-30EA-4F36-992B-F6DFC699B8AB}"/>
  </hyperlinks>
  <pageMargins left="0.7" right="0.7" top="0.75" bottom="0.75" header="0.3" footer="0.3"/>
  <tableParts count="1">
    <tablePart r:id="rId2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1533-5A76-4F0F-824B-9E01A40CDE4E}">
  <dimension ref="A1:R433"/>
  <sheetViews>
    <sheetView topLeftCell="A22" workbookViewId="0">
      <selection activeCell="O29" sqref="O29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8" width="9.140625" bestFit="1" customWidth="1"/>
    <col min="9" max="9" width="15" customWidth="1"/>
    <col min="10" max="10" width="9.140625" bestFit="1" customWidth="1"/>
    <col min="11" max="11" width="15.28515625" customWidth="1"/>
    <col min="12" max="12" width="12.7109375" customWidth="1"/>
    <col min="14" max="14" width="17.5703125" bestFit="1" customWidth="1"/>
  </cols>
  <sheetData>
    <row r="1" spans="1:14" ht="23.25" customHeight="1">
      <c r="A1" s="789" t="s">
        <v>3372</v>
      </c>
      <c r="B1" s="789"/>
      <c r="C1" s="789"/>
      <c r="D1" s="789"/>
      <c r="E1" s="789"/>
      <c r="F1" s="789"/>
    </row>
    <row r="2" spans="1:14" ht="18.75" customHeight="1">
      <c r="A2" s="2" t="s">
        <v>1729</v>
      </c>
      <c r="B2" s="790" t="s">
        <v>3373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10410633391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3374</v>
      </c>
      <c r="C4" s="796"/>
      <c r="D4" s="796"/>
      <c r="E4" s="796"/>
    </row>
    <row r="5" spans="1:14" ht="23.25" customHeight="1">
      <c r="A5" s="257" t="s">
        <v>4</v>
      </c>
      <c r="B5" s="786">
        <v>46154</v>
      </c>
      <c r="C5" s="787"/>
      <c r="F5" s="258"/>
      <c r="G5" s="563"/>
      <c r="H5" s="564"/>
      <c r="I5" s="789" t="s">
        <v>3375</v>
      </c>
      <c r="J5" s="789"/>
      <c r="K5" s="789"/>
      <c r="L5" s="789"/>
      <c r="M5" s="789"/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45566</v>
      </c>
      <c r="B10" s="8">
        <v>118</v>
      </c>
      <c r="C10" s="2" t="s">
        <v>22</v>
      </c>
      <c r="D10" s="153">
        <v>45565</v>
      </c>
      <c r="E10" s="2" t="s">
        <v>23</v>
      </c>
      <c r="F10" s="2" t="s">
        <v>24</v>
      </c>
      <c r="G10" s="2" t="s">
        <v>36</v>
      </c>
      <c r="H10" s="9" t="s">
        <v>3376</v>
      </c>
      <c r="I10" s="101" t="s">
        <v>3377</v>
      </c>
      <c r="J10" s="9" t="s">
        <v>3378</v>
      </c>
      <c r="K10" s="2">
        <v>42404</v>
      </c>
      <c r="L10" t="s">
        <v>72</v>
      </c>
      <c r="M10">
        <v>5.5</v>
      </c>
    </row>
    <row r="11" spans="1:14" ht="30.75">
      <c r="A11" s="7">
        <v>45596</v>
      </c>
      <c r="B11" s="8">
        <v>118</v>
      </c>
      <c r="C11" t="s">
        <v>54</v>
      </c>
      <c r="D11" s="153">
        <v>45596</v>
      </c>
      <c r="E11" s="2" t="s">
        <v>23</v>
      </c>
      <c r="F11" s="2" t="s">
        <v>28</v>
      </c>
      <c r="H11" s="76" t="s">
        <v>3379</v>
      </c>
      <c r="I11" s="9"/>
      <c r="J11" s="9" t="s">
        <v>3380</v>
      </c>
      <c r="K11" s="2">
        <v>43486</v>
      </c>
      <c r="L11" t="s">
        <v>26</v>
      </c>
      <c r="M11">
        <v>4.5</v>
      </c>
    </row>
    <row r="12" spans="1:14" ht="30.75">
      <c r="A12" s="7"/>
      <c r="B12" s="8">
        <v>118</v>
      </c>
      <c r="C12" t="s">
        <v>27</v>
      </c>
      <c r="D12" s="153">
        <v>45626</v>
      </c>
      <c r="E12" s="2" t="s">
        <v>23</v>
      </c>
      <c r="F12" s="2"/>
      <c r="H12" s="76" t="s">
        <v>3379</v>
      </c>
      <c r="I12" s="9"/>
      <c r="J12" s="9" t="s">
        <v>3381</v>
      </c>
      <c r="K12" s="2">
        <v>44311</v>
      </c>
      <c r="M12">
        <v>5.4</v>
      </c>
    </row>
    <row r="13" spans="1:14" ht="30.75">
      <c r="A13" s="153">
        <v>45657</v>
      </c>
      <c r="B13" s="8">
        <v>118</v>
      </c>
      <c r="C13" t="s">
        <v>30</v>
      </c>
      <c r="D13" s="153">
        <v>45657</v>
      </c>
      <c r="E13" s="2" t="s">
        <v>23</v>
      </c>
      <c r="F13" t="s">
        <v>24</v>
      </c>
      <c r="H13" s="76" t="s">
        <v>3382</v>
      </c>
      <c r="I13" s="9"/>
      <c r="J13" s="9" t="s">
        <v>3383</v>
      </c>
      <c r="K13" s="2">
        <v>45439</v>
      </c>
      <c r="L13" t="s">
        <v>72</v>
      </c>
      <c r="M13">
        <v>5.5</v>
      </c>
    </row>
    <row r="14" spans="1:14" ht="30.75">
      <c r="A14" s="153">
        <v>45692</v>
      </c>
      <c r="B14" s="8">
        <v>118</v>
      </c>
      <c r="C14" t="s">
        <v>32</v>
      </c>
      <c r="D14" s="153">
        <v>45687</v>
      </c>
      <c r="E14" s="2" t="s">
        <v>23</v>
      </c>
      <c r="F14" t="s">
        <v>24</v>
      </c>
      <c r="H14" s="76" t="s">
        <v>3384</v>
      </c>
      <c r="I14" s="9"/>
      <c r="J14" s="9" t="s">
        <v>3385</v>
      </c>
      <c r="K14" s="2"/>
      <c r="L14" t="s">
        <v>72</v>
      </c>
      <c r="M14">
        <v>2.7</v>
      </c>
    </row>
    <row r="15" spans="1:14" ht="30.75">
      <c r="A15" s="153">
        <v>45689</v>
      </c>
      <c r="B15" s="8">
        <v>118</v>
      </c>
      <c r="C15" t="s">
        <v>34</v>
      </c>
      <c r="D15" s="153">
        <v>45689</v>
      </c>
      <c r="E15" s="2" t="s">
        <v>23</v>
      </c>
      <c r="F15" s="2" t="s">
        <v>24</v>
      </c>
      <c r="H15" s="76" t="s">
        <v>3386</v>
      </c>
      <c r="I15" s="9"/>
      <c r="J15" s="9" t="s">
        <v>3387</v>
      </c>
      <c r="K15" s="2"/>
      <c r="L15" t="s">
        <v>72</v>
      </c>
      <c r="M15">
        <v>4.5</v>
      </c>
      <c r="N15" t="s">
        <v>36</v>
      </c>
    </row>
    <row r="16" spans="1:14" ht="30.75">
      <c r="A16" s="7">
        <v>45747</v>
      </c>
      <c r="B16" s="8">
        <v>118</v>
      </c>
      <c r="C16" s="2" t="s">
        <v>38</v>
      </c>
      <c r="D16" s="7">
        <v>45717</v>
      </c>
      <c r="E16" s="2" t="s">
        <v>23</v>
      </c>
      <c r="F16" s="2" t="s">
        <v>24</v>
      </c>
      <c r="G16" s="2"/>
      <c r="H16" s="76" t="s">
        <v>3388</v>
      </c>
      <c r="I16" s="9"/>
      <c r="J16" s="9" t="s">
        <v>3188</v>
      </c>
      <c r="K16" s="2"/>
      <c r="L16" t="s">
        <v>72</v>
      </c>
      <c r="M16">
        <v>2.5</v>
      </c>
    </row>
    <row r="17" spans="1:18" ht="30.75">
      <c r="A17" s="7"/>
      <c r="B17" s="8"/>
      <c r="D17" s="153">
        <v>45745</v>
      </c>
      <c r="E17" s="2" t="s">
        <v>23</v>
      </c>
      <c r="F17" s="2"/>
      <c r="H17" s="76"/>
      <c r="I17" s="9"/>
      <c r="J17" s="9" t="s">
        <v>3389</v>
      </c>
      <c r="M17">
        <v>5.4</v>
      </c>
      <c r="R17" t="s">
        <v>36</v>
      </c>
    </row>
    <row r="18" spans="1:18" ht="30.75">
      <c r="A18" s="153">
        <v>45777</v>
      </c>
      <c r="B18" s="8">
        <v>118</v>
      </c>
      <c r="C18" t="s">
        <v>41</v>
      </c>
      <c r="D18" s="153">
        <v>45777</v>
      </c>
      <c r="E18" s="2" t="s">
        <v>23</v>
      </c>
      <c r="F18" s="2" t="s">
        <v>24</v>
      </c>
      <c r="H18" s="76" t="s">
        <v>3390</v>
      </c>
      <c r="I18" s="9"/>
      <c r="J18" s="9" t="s">
        <v>3391</v>
      </c>
      <c r="L18" t="s">
        <v>72</v>
      </c>
      <c r="M18">
        <v>6.3</v>
      </c>
    </row>
    <row r="19" spans="1:18" ht="30.75">
      <c r="A19" s="153">
        <v>45811</v>
      </c>
      <c r="B19" s="8">
        <v>118</v>
      </c>
      <c r="C19" t="s">
        <v>44</v>
      </c>
      <c r="D19" s="153">
        <v>45808</v>
      </c>
      <c r="E19" s="2" t="s">
        <v>23</v>
      </c>
      <c r="F19" s="2" t="s">
        <v>24</v>
      </c>
      <c r="H19" s="76" t="s">
        <v>3392</v>
      </c>
      <c r="I19" s="9"/>
      <c r="J19" s="9" t="s">
        <v>3393</v>
      </c>
      <c r="L19" t="s">
        <v>72</v>
      </c>
      <c r="M19">
        <v>3.5</v>
      </c>
    </row>
    <row r="20" spans="1:18" ht="30.75">
      <c r="A20" s="153">
        <v>45840</v>
      </c>
      <c r="B20" s="8">
        <v>118</v>
      </c>
      <c r="C20" t="s">
        <v>57</v>
      </c>
      <c r="D20" s="153">
        <v>45838</v>
      </c>
      <c r="E20" s="2" t="s">
        <v>23</v>
      </c>
      <c r="F20" s="2" t="s">
        <v>24</v>
      </c>
      <c r="H20" s="76" t="s">
        <v>3394</v>
      </c>
      <c r="I20" s="9"/>
      <c r="J20" s="9" t="s">
        <v>3395</v>
      </c>
      <c r="L20" t="s">
        <v>72</v>
      </c>
      <c r="M20">
        <v>3.5</v>
      </c>
    </row>
    <row r="21" spans="1:18" ht="30.75">
      <c r="A21" s="153">
        <v>45877</v>
      </c>
      <c r="B21" s="8">
        <v>118</v>
      </c>
      <c r="C21" t="s">
        <v>47</v>
      </c>
      <c r="D21" s="153">
        <v>45868</v>
      </c>
      <c r="E21" s="2" t="s">
        <v>23</v>
      </c>
      <c r="F21" s="2" t="s">
        <v>24</v>
      </c>
      <c r="H21" s="76" t="s">
        <v>3396</v>
      </c>
      <c r="I21" s="9"/>
      <c r="J21" s="9" t="s">
        <v>3397</v>
      </c>
      <c r="L21" t="s">
        <v>72</v>
      </c>
    </row>
    <row r="22" spans="1:18" ht="30.75">
      <c r="A22" s="153">
        <v>45903</v>
      </c>
      <c r="B22" s="8">
        <v>118</v>
      </c>
      <c r="C22" t="s">
        <v>50</v>
      </c>
      <c r="D22" s="153">
        <v>45898</v>
      </c>
      <c r="E22" s="2" t="s">
        <v>23</v>
      </c>
      <c r="F22" s="2" t="s">
        <v>24</v>
      </c>
      <c r="H22" s="76" t="s">
        <v>3398</v>
      </c>
      <c r="I22" s="9"/>
      <c r="J22" s="9" t="s">
        <v>3399</v>
      </c>
      <c r="L22" t="s">
        <v>72</v>
      </c>
      <c r="M22">
        <v>4.5</v>
      </c>
    </row>
    <row r="23" spans="1:18" ht="30.75">
      <c r="A23" s="153">
        <v>45931</v>
      </c>
      <c r="B23" s="8">
        <v>118</v>
      </c>
      <c r="C23" t="s">
        <v>22</v>
      </c>
      <c r="D23" s="153">
        <v>45930</v>
      </c>
      <c r="E23" s="2" t="s">
        <v>23</v>
      </c>
      <c r="F23" s="2" t="s">
        <v>24</v>
      </c>
      <c r="H23" s="76" t="s">
        <v>3400</v>
      </c>
      <c r="I23" s="9"/>
      <c r="J23" s="9" t="s">
        <v>3401</v>
      </c>
      <c r="L23" t="s">
        <v>72</v>
      </c>
      <c r="M23">
        <v>3</v>
      </c>
    </row>
    <row r="24" spans="1:18" ht="30.75">
      <c r="A24" s="153">
        <v>45964</v>
      </c>
      <c r="B24" s="8">
        <v>118</v>
      </c>
      <c r="C24" t="s">
        <v>54</v>
      </c>
      <c r="D24" s="153">
        <v>45961</v>
      </c>
      <c r="E24" s="2" t="s">
        <v>23</v>
      </c>
      <c r="F24" s="2" t="s">
        <v>24</v>
      </c>
      <c r="H24" s="76" t="s">
        <v>2975</v>
      </c>
      <c r="I24" s="9"/>
      <c r="J24" s="9" t="s">
        <v>3402</v>
      </c>
      <c r="L24" t="s">
        <v>72</v>
      </c>
      <c r="M24">
        <v>3</v>
      </c>
    </row>
    <row r="25" spans="1:18" ht="30.75">
      <c r="A25" s="153">
        <v>45994</v>
      </c>
      <c r="B25" s="8">
        <v>118</v>
      </c>
      <c r="C25" t="s">
        <v>27</v>
      </c>
      <c r="D25" s="153">
        <v>45989</v>
      </c>
      <c r="E25" s="2" t="s">
        <v>23</v>
      </c>
      <c r="F25" s="2" t="s">
        <v>24</v>
      </c>
      <c r="H25" s="76" t="s">
        <v>3403</v>
      </c>
      <c r="I25" s="9"/>
      <c r="J25" s="9" t="s">
        <v>3404</v>
      </c>
      <c r="L25" t="s">
        <v>72</v>
      </c>
      <c r="M25">
        <v>2</v>
      </c>
    </row>
    <row r="26" spans="1:18" ht="30.75">
      <c r="A26" s="153">
        <v>46021</v>
      </c>
      <c r="B26" s="8">
        <v>118</v>
      </c>
      <c r="C26" t="s">
        <v>30</v>
      </c>
      <c r="D26" s="153">
        <v>46021</v>
      </c>
      <c r="E26" s="2" t="s">
        <v>23</v>
      </c>
      <c r="F26" s="2" t="s">
        <v>24</v>
      </c>
      <c r="H26" s="76" t="s">
        <v>3405</v>
      </c>
      <c r="I26" s="9"/>
      <c r="J26">
        <v>54447</v>
      </c>
      <c r="L26" t="s">
        <v>72</v>
      </c>
      <c r="M26">
        <v>5.4</v>
      </c>
    </row>
    <row r="27" spans="1:18" ht="30.75">
      <c r="A27" s="153">
        <v>46057</v>
      </c>
      <c r="B27" s="8">
        <v>118</v>
      </c>
      <c r="C27" t="s">
        <v>32</v>
      </c>
      <c r="D27" s="153">
        <v>46053</v>
      </c>
      <c r="E27" s="2" t="s">
        <v>23</v>
      </c>
      <c r="F27" s="2" t="s">
        <v>24</v>
      </c>
      <c r="H27" s="76" t="s">
        <v>3406</v>
      </c>
      <c r="I27" s="9"/>
      <c r="J27">
        <v>56487</v>
      </c>
      <c r="L27" t="s">
        <v>72</v>
      </c>
      <c r="M27">
        <v>2</v>
      </c>
    </row>
    <row r="28" spans="1:18" ht="30.75">
      <c r="A28" s="153">
        <v>46085</v>
      </c>
      <c r="B28" s="8">
        <v>118</v>
      </c>
      <c r="C28" t="s">
        <v>34</v>
      </c>
      <c r="D28" s="153">
        <v>46081</v>
      </c>
      <c r="E28" s="2" t="s">
        <v>23</v>
      </c>
      <c r="F28" s="2" t="s">
        <v>24</v>
      </c>
      <c r="H28" s="76" t="s">
        <v>3407</v>
      </c>
      <c r="I28" s="9"/>
      <c r="J28">
        <v>58407</v>
      </c>
      <c r="L28" t="s">
        <v>72</v>
      </c>
      <c r="M28">
        <v>4.8</v>
      </c>
    </row>
    <row r="29" spans="1:18" ht="30.75">
      <c r="A29" s="153">
        <v>46119</v>
      </c>
      <c r="B29" s="8">
        <v>118</v>
      </c>
      <c r="C29" t="s">
        <v>38</v>
      </c>
      <c r="D29" s="153">
        <v>46112</v>
      </c>
      <c r="E29" s="2" t="s">
        <v>23</v>
      </c>
      <c r="F29" s="2" t="s">
        <v>24</v>
      </c>
      <c r="H29" s="76">
        <v>43269</v>
      </c>
      <c r="I29" s="9"/>
      <c r="J29">
        <v>55716</v>
      </c>
      <c r="L29" t="s">
        <v>72</v>
      </c>
      <c r="M29">
        <v>3.74</v>
      </c>
    </row>
    <row r="30" spans="1:18" ht="30.75">
      <c r="A30" s="153">
        <v>46154</v>
      </c>
      <c r="B30" s="8">
        <v>118</v>
      </c>
      <c r="C30" t="s">
        <v>41</v>
      </c>
      <c r="D30" s="153">
        <v>46142</v>
      </c>
      <c r="E30" s="2" t="s">
        <v>23</v>
      </c>
      <c r="F30" s="2" t="s">
        <v>24</v>
      </c>
      <c r="H30" s="76" t="s">
        <v>3408</v>
      </c>
      <c r="I30" s="9"/>
      <c r="J30">
        <v>59685</v>
      </c>
      <c r="L30" t="s">
        <v>72</v>
      </c>
      <c r="M30">
        <v>4.3</v>
      </c>
    </row>
    <row r="31" spans="1:18" ht="30.75">
      <c r="A31" s="526"/>
      <c r="B31" s="526"/>
      <c r="C31" s="526"/>
      <c r="D31" s="526"/>
      <c r="E31" s="2" t="s">
        <v>23</v>
      </c>
      <c r="F31" s="526"/>
      <c r="G31" s="526"/>
      <c r="H31" s="527"/>
      <c r="I31" s="290">
        <v>1845</v>
      </c>
      <c r="J31" s="526"/>
      <c r="K31" s="526"/>
      <c r="L31" s="526"/>
      <c r="M31" s="526"/>
      <c r="N31" s="290" t="s">
        <v>76</v>
      </c>
    </row>
    <row r="32" spans="1:18" ht="30.75">
      <c r="A32" s="526"/>
      <c r="B32" s="526"/>
      <c r="C32" s="526"/>
      <c r="D32" s="526"/>
      <c r="E32" s="2" t="s">
        <v>23</v>
      </c>
      <c r="F32" s="526"/>
      <c r="G32" s="526"/>
      <c r="H32" s="527"/>
      <c r="I32" s="526"/>
      <c r="J32" s="526"/>
      <c r="K32" s="526"/>
      <c r="L32" s="526"/>
      <c r="M32" s="526"/>
    </row>
    <row r="33" spans="1:13" ht="30.75">
      <c r="A33" s="526"/>
      <c r="B33" s="526"/>
      <c r="C33" s="526"/>
      <c r="D33" s="526"/>
      <c r="E33" s="2" t="s">
        <v>23</v>
      </c>
      <c r="F33" s="526"/>
      <c r="G33" s="526"/>
      <c r="H33" s="527"/>
      <c r="I33" s="526"/>
      <c r="J33" s="526"/>
      <c r="K33" s="526"/>
      <c r="L33" s="526"/>
      <c r="M33" s="526"/>
    </row>
    <row r="34" spans="1:13" ht="30.75">
      <c r="A34" s="526"/>
      <c r="B34" s="526"/>
      <c r="C34" s="526"/>
      <c r="D34" s="526"/>
      <c r="E34" s="2" t="s">
        <v>23</v>
      </c>
      <c r="F34" s="526"/>
      <c r="G34" s="526"/>
      <c r="H34" s="527"/>
      <c r="I34" s="526"/>
      <c r="J34" s="526"/>
      <c r="K34" s="526"/>
      <c r="L34" s="526"/>
      <c r="M34" s="526"/>
    </row>
    <row r="35" spans="1:13" ht="30.75">
      <c r="A35" s="526"/>
      <c r="B35" s="526"/>
      <c r="C35" s="526"/>
      <c r="D35" s="526"/>
      <c r="E35" s="2" t="s">
        <v>23</v>
      </c>
      <c r="F35" s="526"/>
      <c r="G35" s="526"/>
      <c r="H35" s="527"/>
      <c r="I35" s="526"/>
      <c r="J35" s="526"/>
      <c r="K35" s="526"/>
      <c r="L35" s="526"/>
      <c r="M35" s="526"/>
    </row>
    <row r="36" spans="1:13" ht="30.75">
      <c r="A36" s="526"/>
      <c r="B36" s="526"/>
      <c r="C36" s="526"/>
      <c r="D36" s="526"/>
      <c r="E36" s="2" t="s">
        <v>23</v>
      </c>
      <c r="F36" s="526"/>
      <c r="G36" s="526"/>
      <c r="H36" s="527"/>
      <c r="I36" s="526"/>
      <c r="J36" s="526"/>
      <c r="K36" s="526"/>
      <c r="L36" s="526"/>
      <c r="M36" s="526"/>
    </row>
    <row r="37" spans="1:13" ht="30.75">
      <c r="A37" s="526"/>
      <c r="B37" s="526"/>
      <c r="C37" s="526"/>
      <c r="D37" s="526"/>
      <c r="E37" s="2" t="s">
        <v>23</v>
      </c>
      <c r="F37" s="526"/>
      <c r="G37" s="526"/>
      <c r="H37" s="527"/>
      <c r="I37" s="526"/>
      <c r="J37" s="526"/>
      <c r="K37" s="526"/>
      <c r="L37" s="526"/>
      <c r="M37" s="526"/>
    </row>
    <row r="38" spans="1:13" ht="30.75">
      <c r="A38" s="526"/>
      <c r="B38" s="526"/>
      <c r="C38" s="526"/>
      <c r="D38" s="526"/>
      <c r="E38" s="2" t="s">
        <v>23</v>
      </c>
      <c r="F38" s="526"/>
      <c r="G38" s="526"/>
      <c r="H38" s="527"/>
      <c r="I38" s="526"/>
      <c r="J38" s="526"/>
      <c r="K38" s="526"/>
      <c r="L38" s="526"/>
      <c r="M38" s="526"/>
    </row>
    <row r="39" spans="1:13" ht="30.75">
      <c r="A39" s="526"/>
      <c r="B39" s="526"/>
      <c r="C39" s="526"/>
      <c r="D39" s="526"/>
      <c r="E39" s="2" t="s">
        <v>23</v>
      </c>
      <c r="F39" s="526"/>
      <c r="G39" s="526"/>
      <c r="H39" s="527"/>
      <c r="I39" s="526"/>
      <c r="J39" s="526"/>
      <c r="K39" s="526"/>
      <c r="L39" s="526"/>
      <c r="M39" s="526"/>
    </row>
    <row r="40" spans="1:13" ht="30.75">
      <c r="A40" s="526"/>
      <c r="B40" s="526"/>
      <c r="C40" s="526"/>
      <c r="D40" s="526"/>
      <c r="E40" s="2" t="s">
        <v>23</v>
      </c>
      <c r="F40" s="526"/>
      <c r="G40" s="526"/>
      <c r="H40" s="527"/>
      <c r="I40" s="526"/>
      <c r="J40" s="526"/>
      <c r="K40" s="526"/>
      <c r="L40" s="526"/>
      <c r="M40" s="526"/>
    </row>
    <row r="41" spans="1:13" ht="30.75">
      <c r="A41" s="526"/>
      <c r="B41" s="526"/>
      <c r="C41" s="526"/>
      <c r="D41" s="526"/>
      <c r="E41" s="2" t="s">
        <v>23</v>
      </c>
      <c r="F41" s="526"/>
      <c r="G41" s="526"/>
      <c r="H41" s="527"/>
      <c r="I41" s="526"/>
      <c r="J41" s="526"/>
      <c r="K41" s="526"/>
      <c r="L41" s="526"/>
      <c r="M41" s="526"/>
    </row>
    <row r="433" spans="2:3">
      <c r="B433" t="s">
        <v>2286</v>
      </c>
      <c r="C433" t="s">
        <v>2287</v>
      </c>
    </row>
  </sheetData>
  <mergeCells count="7">
    <mergeCell ref="B5:C5"/>
    <mergeCell ref="A1:F1"/>
    <mergeCell ref="B2:F2"/>
    <mergeCell ref="H2:K2"/>
    <mergeCell ref="F3:M3"/>
    <mergeCell ref="B4:E4"/>
    <mergeCell ref="I5:M5"/>
  </mergeCells>
  <dataValidations count="2">
    <dataValidation type="list" allowBlank="1" showInputMessage="1" showErrorMessage="1" sqref="C10:C41" xr:uid="{F62C47F0-4C6E-4B60-842A-6896475D669B}">
      <formula1>"ENERO,FEBRERO,MARZO,ABRIL,MAYO,JUNIO,JULIO,AGOSTO,SEPTIEMBRE,OCTUBRE,NOVIEMBRE,DICIEMBRE"</formula1>
    </dataValidation>
    <dataValidation type="list" allowBlank="1" showInputMessage="1" showErrorMessage="1" sqref="F10:F41" xr:uid="{0056F2F0-2E9C-4812-9957-69253D60BF64}">
      <formula1>"EFECTIVO, CHEQUE, TRANSFERENCIA,DEPOSITO"</formula1>
    </dataValidation>
  </dataValidations>
  <hyperlinks>
    <hyperlink ref="B4:E4" r:id="rId1" display="OKYGIOVANNI@HOTMAIL.COM" xr:uid="{39CE9CF9-5DBC-4322-96A1-AAAF31AF928A}"/>
  </hyperlinks>
  <pageMargins left="0.7" right="0.7" top="0.75" bottom="0.75" header="0.3" footer="0.3"/>
  <tableParts count="1">
    <tablePart r:id="rId2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EBF6-D9E3-4993-9894-0A71BEF1428D}">
  <dimension ref="A1:R433"/>
  <sheetViews>
    <sheetView topLeftCell="A20" workbookViewId="0">
      <selection activeCell="B28" sqref="B28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0.7109375" customWidth="1"/>
  </cols>
  <sheetData>
    <row r="1" spans="1:14" ht="23.25" customHeight="1">
      <c r="A1" s="789" t="s">
        <v>3409</v>
      </c>
      <c r="B1" s="789"/>
      <c r="C1" s="789"/>
      <c r="D1" s="789"/>
      <c r="E1" s="789"/>
      <c r="F1" s="789"/>
    </row>
    <row r="2" spans="1:14" ht="18.75" customHeight="1">
      <c r="A2" s="2" t="s">
        <v>1729</v>
      </c>
      <c r="B2" s="790" t="s">
        <v>3410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20543542157</v>
      </c>
      <c r="F3" s="794" t="s">
        <v>3411</v>
      </c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3410</v>
      </c>
      <c r="C4" s="796"/>
      <c r="D4" s="796"/>
      <c r="E4" s="796"/>
    </row>
    <row r="5" spans="1:14" ht="23.25" customHeight="1">
      <c r="A5" s="257" t="s">
        <v>4</v>
      </c>
      <c r="B5" s="786">
        <v>45574</v>
      </c>
      <c r="C5" s="787"/>
      <c r="F5" s="258"/>
      <c r="G5" s="788" t="s">
        <v>3412</v>
      </c>
      <c r="H5" s="788"/>
      <c r="I5" s="788"/>
      <c r="J5" s="788"/>
      <c r="K5" s="788"/>
      <c r="L5" s="788"/>
      <c r="M5" s="788"/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45574</v>
      </c>
      <c r="B10" s="8">
        <v>120</v>
      </c>
      <c r="C10" s="2" t="s">
        <v>54</v>
      </c>
      <c r="D10" s="153">
        <v>45596</v>
      </c>
      <c r="E10" s="2" t="s">
        <v>23</v>
      </c>
      <c r="F10" s="2" t="s">
        <v>24</v>
      </c>
      <c r="G10" s="2">
        <v>1</v>
      </c>
      <c r="H10" s="9" t="s">
        <v>3413</v>
      </c>
      <c r="I10" s="9" t="s">
        <v>3414</v>
      </c>
      <c r="J10" s="9" t="s">
        <v>3415</v>
      </c>
      <c r="K10" s="2">
        <v>43494</v>
      </c>
      <c r="L10" t="s">
        <v>26</v>
      </c>
      <c r="M10">
        <v>10.199999999999999</v>
      </c>
    </row>
    <row r="11" spans="1:14" ht="30.75">
      <c r="A11" s="7">
        <v>45657</v>
      </c>
      <c r="B11" s="8">
        <v>120</v>
      </c>
      <c r="C11" t="s">
        <v>27</v>
      </c>
      <c r="D11" s="153">
        <v>45626</v>
      </c>
      <c r="E11" s="2" t="s">
        <v>23</v>
      </c>
      <c r="F11" s="2" t="s">
        <v>24</v>
      </c>
      <c r="G11">
        <v>2</v>
      </c>
      <c r="H11" s="76" t="s">
        <v>3416</v>
      </c>
      <c r="I11" s="9"/>
      <c r="J11" s="9" t="s">
        <v>3417</v>
      </c>
      <c r="K11" s="2">
        <v>44312</v>
      </c>
      <c r="L11" s="2" t="s">
        <v>26</v>
      </c>
      <c r="M11">
        <v>5.6</v>
      </c>
    </row>
    <row r="12" spans="1:14" ht="30.75">
      <c r="A12" s="7">
        <v>45657</v>
      </c>
      <c r="B12" s="8">
        <v>120</v>
      </c>
      <c r="C12" t="s">
        <v>30</v>
      </c>
      <c r="D12" s="153">
        <v>45656</v>
      </c>
      <c r="E12" s="2" t="s">
        <v>23</v>
      </c>
      <c r="F12" s="2" t="s">
        <v>24</v>
      </c>
      <c r="G12">
        <v>3</v>
      </c>
      <c r="H12" s="76" t="s">
        <v>3418</v>
      </c>
      <c r="I12" s="9"/>
      <c r="J12" s="9" t="s">
        <v>3419</v>
      </c>
      <c r="K12" s="2">
        <v>45440</v>
      </c>
      <c r="L12" s="2" t="s">
        <v>26</v>
      </c>
      <c r="M12">
        <v>7.5</v>
      </c>
    </row>
    <row r="13" spans="1:14" ht="30.75">
      <c r="A13" s="153">
        <v>45724</v>
      </c>
      <c r="B13" s="8">
        <v>120</v>
      </c>
      <c r="C13" s="544" t="s">
        <v>32</v>
      </c>
      <c r="D13" s="522" t="s">
        <v>3420</v>
      </c>
      <c r="E13" s="430" t="s">
        <v>23</v>
      </c>
      <c r="F13" s="430" t="s">
        <v>24</v>
      </c>
      <c r="G13" s="522"/>
      <c r="H13" s="523" t="s">
        <v>3119</v>
      </c>
      <c r="I13" s="524"/>
      <c r="J13" s="524" t="s">
        <v>3421</v>
      </c>
      <c r="K13" s="537"/>
      <c r="L13" s="545" t="s">
        <v>73</v>
      </c>
      <c r="M13">
        <v>9.3000000000000007</v>
      </c>
    </row>
    <row r="14" spans="1:14" ht="30.75">
      <c r="A14" s="153">
        <v>45724</v>
      </c>
      <c r="B14" s="8">
        <v>120</v>
      </c>
      <c r="C14" t="s">
        <v>34</v>
      </c>
      <c r="D14" s="153">
        <v>45716</v>
      </c>
      <c r="E14" s="2" t="s">
        <v>23</v>
      </c>
      <c r="F14" s="2" t="s">
        <v>24</v>
      </c>
      <c r="H14" s="76" t="s">
        <v>3422</v>
      </c>
      <c r="I14" s="9"/>
      <c r="J14" s="9" t="s">
        <v>1549</v>
      </c>
      <c r="K14" s="2"/>
      <c r="L14" s="545" t="s">
        <v>73</v>
      </c>
      <c r="M14">
        <v>7.4</v>
      </c>
    </row>
    <row r="15" spans="1:14" ht="30.75">
      <c r="A15" s="153">
        <v>45751</v>
      </c>
      <c r="B15" s="8">
        <v>120</v>
      </c>
      <c r="C15" t="s">
        <v>38</v>
      </c>
      <c r="D15" s="153">
        <v>45747</v>
      </c>
      <c r="E15" s="2" t="s">
        <v>23</v>
      </c>
      <c r="F15" s="2" t="s">
        <v>24</v>
      </c>
      <c r="H15" s="76" t="s">
        <v>3423</v>
      </c>
      <c r="I15" s="9"/>
      <c r="J15" s="9" t="s">
        <v>3424</v>
      </c>
      <c r="K15" s="2"/>
      <c r="L15" s="545" t="s">
        <v>73</v>
      </c>
      <c r="M15">
        <v>6.5</v>
      </c>
      <c r="N15" t="s">
        <v>36</v>
      </c>
    </row>
    <row r="16" spans="1:14" ht="30.75">
      <c r="A16" s="7">
        <v>45792</v>
      </c>
      <c r="B16" s="8">
        <v>120</v>
      </c>
      <c r="C16" t="s">
        <v>41</v>
      </c>
      <c r="D16" s="7">
        <v>45777</v>
      </c>
      <c r="E16" s="2" t="s">
        <v>23</v>
      </c>
      <c r="F16" s="2" t="s">
        <v>24</v>
      </c>
      <c r="G16" s="2"/>
      <c r="H16" s="76" t="s">
        <v>3425</v>
      </c>
      <c r="I16" s="9"/>
      <c r="J16" s="9" t="s">
        <v>3426</v>
      </c>
      <c r="K16" s="2"/>
      <c r="L16" s="545" t="s">
        <v>73</v>
      </c>
      <c r="M16">
        <v>8.3000000000000007</v>
      </c>
    </row>
    <row r="17" spans="1:18" ht="30.75">
      <c r="A17" s="7">
        <v>45818</v>
      </c>
      <c r="B17" s="8">
        <v>120</v>
      </c>
      <c r="C17" t="s">
        <v>44</v>
      </c>
      <c r="D17" s="153">
        <v>45808</v>
      </c>
      <c r="E17" s="2" t="s">
        <v>23</v>
      </c>
      <c r="F17" s="2" t="s">
        <v>24</v>
      </c>
      <c r="H17" s="76" t="s">
        <v>3427</v>
      </c>
      <c r="I17" s="9"/>
      <c r="J17" s="9" t="s">
        <v>3428</v>
      </c>
      <c r="L17" s="545" t="s">
        <v>73</v>
      </c>
      <c r="M17">
        <v>7</v>
      </c>
      <c r="R17" t="s">
        <v>36</v>
      </c>
    </row>
    <row r="18" spans="1:18" ht="30.75">
      <c r="A18" s="153">
        <v>45842</v>
      </c>
      <c r="B18" s="8">
        <v>120</v>
      </c>
      <c r="C18" t="s">
        <v>57</v>
      </c>
      <c r="D18" s="153">
        <v>45835</v>
      </c>
      <c r="E18" s="2" t="s">
        <v>23</v>
      </c>
      <c r="F18" s="2" t="s">
        <v>24</v>
      </c>
      <c r="H18" s="76" t="s">
        <v>3429</v>
      </c>
      <c r="I18" s="9"/>
      <c r="J18" s="9" t="s">
        <v>3430</v>
      </c>
      <c r="L18" s="545" t="s">
        <v>73</v>
      </c>
      <c r="M18">
        <v>4.5</v>
      </c>
    </row>
    <row r="19" spans="1:18" ht="30.75">
      <c r="A19" s="153">
        <v>45877</v>
      </c>
      <c r="B19" s="8">
        <v>120</v>
      </c>
      <c r="C19" t="s">
        <v>47</v>
      </c>
      <c r="D19" s="153">
        <v>45868</v>
      </c>
      <c r="E19" s="2" t="s">
        <v>23</v>
      </c>
      <c r="F19" s="2" t="s">
        <v>24</v>
      </c>
      <c r="H19" s="76" t="s">
        <v>3431</v>
      </c>
      <c r="I19" s="9"/>
      <c r="J19" s="9" t="s">
        <v>3432</v>
      </c>
      <c r="L19" s="545" t="s">
        <v>73</v>
      </c>
      <c r="M19">
        <v>9.5</v>
      </c>
    </row>
    <row r="20" spans="1:18" ht="30.75">
      <c r="A20" s="153">
        <v>45905</v>
      </c>
      <c r="B20" s="8">
        <v>120</v>
      </c>
      <c r="C20" t="s">
        <v>50</v>
      </c>
      <c r="D20" s="153">
        <v>45898</v>
      </c>
      <c r="E20" s="2" t="s">
        <v>23</v>
      </c>
      <c r="F20" s="2" t="s">
        <v>24</v>
      </c>
      <c r="H20" s="76" t="s">
        <v>3433</v>
      </c>
      <c r="I20" s="9"/>
      <c r="J20" s="9" t="s">
        <v>3434</v>
      </c>
      <c r="L20" s="545" t="s">
        <v>73</v>
      </c>
      <c r="M20">
        <v>7.5</v>
      </c>
    </row>
    <row r="21" spans="1:18" ht="30.75">
      <c r="A21" s="153">
        <v>45937</v>
      </c>
      <c r="B21" s="8">
        <v>120</v>
      </c>
      <c r="C21" t="s">
        <v>22</v>
      </c>
      <c r="D21" s="153">
        <v>45930</v>
      </c>
      <c r="E21" s="2" t="s">
        <v>23</v>
      </c>
      <c r="F21" s="2" t="s">
        <v>24</v>
      </c>
      <c r="H21" s="76" t="s">
        <v>3435</v>
      </c>
      <c r="I21" s="9"/>
      <c r="J21" s="9" t="s">
        <v>3436</v>
      </c>
      <c r="L21" s="545" t="s">
        <v>73</v>
      </c>
      <c r="M21">
        <v>4.5</v>
      </c>
    </row>
    <row r="22" spans="1:18" ht="30.75">
      <c r="A22" s="153">
        <v>46007</v>
      </c>
      <c r="B22" s="8">
        <v>120</v>
      </c>
      <c r="C22" t="s">
        <v>54</v>
      </c>
      <c r="D22" s="153">
        <v>45961</v>
      </c>
      <c r="E22" s="2" t="s">
        <v>23</v>
      </c>
      <c r="F22" s="2" t="s">
        <v>24</v>
      </c>
      <c r="H22" s="76" t="s">
        <v>3437</v>
      </c>
      <c r="I22" s="9"/>
      <c r="J22" s="9" t="s">
        <v>3438</v>
      </c>
      <c r="L22" s="545" t="s">
        <v>73</v>
      </c>
      <c r="M22">
        <v>2</v>
      </c>
    </row>
    <row r="23" spans="1:18" ht="30.75">
      <c r="A23" s="153">
        <v>46002</v>
      </c>
      <c r="B23" s="8">
        <v>120</v>
      </c>
      <c r="C23" t="s">
        <v>27</v>
      </c>
      <c r="D23" s="153">
        <v>45989</v>
      </c>
      <c r="E23" s="2" t="s">
        <v>23</v>
      </c>
      <c r="F23" s="2" t="s">
        <v>24</v>
      </c>
      <c r="H23" s="76" t="s">
        <v>3439</v>
      </c>
      <c r="I23" s="9"/>
      <c r="J23" s="9" t="s">
        <v>3440</v>
      </c>
      <c r="L23" s="545" t="s">
        <v>73</v>
      </c>
      <c r="M23">
        <v>1</v>
      </c>
    </row>
    <row r="24" spans="1:18" ht="30.75">
      <c r="A24" t="s">
        <v>3441</v>
      </c>
      <c r="B24" s="8">
        <v>120</v>
      </c>
      <c r="C24" t="s">
        <v>30</v>
      </c>
      <c r="D24" s="153">
        <v>46020</v>
      </c>
      <c r="E24" s="2" t="s">
        <v>23</v>
      </c>
      <c r="F24" s="2" t="s">
        <v>24</v>
      </c>
      <c r="H24" s="76" t="s">
        <v>3442</v>
      </c>
      <c r="I24" s="9"/>
      <c r="J24" s="9" t="s">
        <v>3443</v>
      </c>
      <c r="L24" s="545" t="s">
        <v>73</v>
      </c>
      <c r="M24">
        <v>1</v>
      </c>
    </row>
    <row r="25" spans="1:18" ht="30.75">
      <c r="A25" s="153">
        <v>46063</v>
      </c>
      <c r="B25" s="8">
        <v>120</v>
      </c>
      <c r="C25" t="s">
        <v>32</v>
      </c>
      <c r="D25" s="153">
        <v>46053</v>
      </c>
      <c r="E25" s="2" t="s">
        <v>23</v>
      </c>
      <c r="F25" s="2" t="s">
        <v>24</v>
      </c>
      <c r="H25" s="76" t="s">
        <v>3444</v>
      </c>
      <c r="I25" s="9"/>
      <c r="J25" s="9" t="s">
        <v>3445</v>
      </c>
      <c r="L25" s="545" t="s">
        <v>73</v>
      </c>
      <c r="M25">
        <v>1.1000000000000001</v>
      </c>
    </row>
    <row r="26" spans="1:18" ht="30.75">
      <c r="A26" s="153">
        <v>46125</v>
      </c>
      <c r="B26" s="8">
        <v>120</v>
      </c>
      <c r="C26" t="s">
        <v>34</v>
      </c>
      <c r="D26" s="153">
        <v>46081</v>
      </c>
      <c r="E26" s="2" t="s">
        <v>23</v>
      </c>
      <c r="F26" s="2" t="s">
        <v>24</v>
      </c>
      <c r="H26" s="76" t="s">
        <v>3446</v>
      </c>
      <c r="I26" s="9"/>
      <c r="J26">
        <v>58408</v>
      </c>
      <c r="L26" s="545" t="s">
        <v>73</v>
      </c>
      <c r="M26">
        <v>2.4</v>
      </c>
    </row>
    <row r="27" spans="1:18" ht="30.75">
      <c r="A27" s="153">
        <v>46136</v>
      </c>
      <c r="B27" s="8">
        <v>120</v>
      </c>
      <c r="C27" t="s">
        <v>38</v>
      </c>
      <c r="D27" s="153">
        <v>46112</v>
      </c>
      <c r="E27" s="2" t="s">
        <v>23</v>
      </c>
      <c r="F27" s="2" t="s">
        <v>24</v>
      </c>
      <c r="H27" s="76" t="s">
        <v>3447</v>
      </c>
      <c r="I27" s="9"/>
      <c r="J27">
        <v>59586</v>
      </c>
      <c r="L27" s="545" t="s">
        <v>73</v>
      </c>
      <c r="M27">
        <v>2.1</v>
      </c>
    </row>
    <row r="28" spans="1:18" ht="30.75">
      <c r="A28" s="153">
        <v>46150</v>
      </c>
      <c r="B28" s="8">
        <v>120</v>
      </c>
      <c r="C28" t="s">
        <v>41</v>
      </c>
      <c r="D28" s="153">
        <v>46141</v>
      </c>
      <c r="E28" s="2" t="s">
        <v>23</v>
      </c>
      <c r="F28" s="2" t="s">
        <v>24</v>
      </c>
      <c r="H28" s="76" t="s">
        <v>3448</v>
      </c>
      <c r="I28" s="9"/>
      <c r="J28">
        <v>61003</v>
      </c>
      <c r="L28" s="545" t="s">
        <v>73</v>
      </c>
      <c r="M28">
        <v>1</v>
      </c>
    </row>
    <row r="29" spans="1:18" ht="30.75">
      <c r="E29" s="2" t="s">
        <v>23</v>
      </c>
      <c r="H29" s="76"/>
      <c r="I29" s="9"/>
    </row>
    <row r="30" spans="1:18" ht="30.75">
      <c r="E30" s="2" t="s">
        <v>23</v>
      </c>
      <c r="H30" s="76"/>
      <c r="I30" s="9"/>
    </row>
    <row r="31" spans="1:18" ht="30.75">
      <c r="A31" s="526"/>
      <c r="B31" s="526"/>
      <c r="C31" s="526"/>
      <c r="D31" s="526"/>
      <c r="E31" s="2" t="s">
        <v>23</v>
      </c>
      <c r="F31" s="526"/>
      <c r="G31" s="526"/>
      <c r="H31" s="527"/>
      <c r="I31" s="526"/>
      <c r="J31" s="526"/>
      <c r="K31" s="526"/>
      <c r="L31" s="526"/>
      <c r="M31" s="526"/>
    </row>
    <row r="32" spans="1:18" ht="30.75">
      <c r="A32" s="526"/>
      <c r="B32" s="526"/>
      <c r="C32" s="526"/>
      <c r="D32" s="526"/>
      <c r="E32" s="2" t="s">
        <v>23</v>
      </c>
      <c r="F32" s="526"/>
      <c r="G32" s="526"/>
      <c r="H32" s="527"/>
      <c r="I32" s="526"/>
      <c r="J32" s="526"/>
      <c r="K32" s="526"/>
      <c r="L32" s="526"/>
      <c r="M32" s="526"/>
    </row>
    <row r="33" spans="1:13" ht="30.75">
      <c r="A33" s="526"/>
      <c r="B33" s="526"/>
      <c r="C33" s="526"/>
      <c r="D33" s="526"/>
      <c r="E33" s="2" t="s">
        <v>23</v>
      </c>
      <c r="F33" s="526"/>
      <c r="G33" s="526"/>
      <c r="H33" s="527"/>
      <c r="I33" s="526"/>
      <c r="J33" s="526"/>
      <c r="K33" s="526"/>
      <c r="L33" s="526"/>
      <c r="M33" s="526"/>
    </row>
    <row r="34" spans="1:13" ht="30.75">
      <c r="A34" s="526"/>
      <c r="B34" s="526"/>
      <c r="C34" s="526"/>
      <c r="D34" s="526"/>
      <c r="E34" s="2" t="s">
        <v>23</v>
      </c>
      <c r="F34" s="526"/>
      <c r="G34" s="526"/>
      <c r="H34" s="527"/>
      <c r="I34" s="526"/>
      <c r="J34" s="526"/>
      <c r="K34" s="526"/>
      <c r="L34" s="526"/>
      <c r="M34" s="526"/>
    </row>
    <row r="35" spans="1:13" ht="30.75">
      <c r="A35" s="526"/>
      <c r="B35" s="526"/>
      <c r="C35" s="526"/>
      <c r="D35" s="526"/>
      <c r="E35" s="2" t="s">
        <v>23</v>
      </c>
      <c r="F35" s="526"/>
      <c r="G35" s="526"/>
      <c r="H35" s="527"/>
      <c r="I35" s="526"/>
      <c r="J35" s="526"/>
      <c r="K35" s="526"/>
      <c r="L35" s="526"/>
      <c r="M35" s="526"/>
    </row>
    <row r="36" spans="1:13" ht="30.75">
      <c r="A36" s="526"/>
      <c r="B36" s="526"/>
      <c r="C36" s="526"/>
      <c r="D36" s="526"/>
      <c r="E36" s="2" t="s">
        <v>23</v>
      </c>
      <c r="F36" s="526"/>
      <c r="G36" s="526"/>
      <c r="H36" s="527"/>
      <c r="I36" s="526"/>
      <c r="J36" s="526"/>
      <c r="K36" s="526"/>
      <c r="L36" s="526"/>
      <c r="M36" s="526"/>
    </row>
    <row r="37" spans="1:13" ht="30.75">
      <c r="A37" s="526"/>
      <c r="B37" s="526"/>
      <c r="C37" s="526"/>
      <c r="D37" s="526"/>
      <c r="E37" s="2" t="s">
        <v>23</v>
      </c>
      <c r="F37" s="526"/>
      <c r="G37" s="526"/>
      <c r="H37" s="527"/>
      <c r="I37" s="526"/>
      <c r="J37" s="526"/>
      <c r="K37" s="526"/>
      <c r="L37" s="526"/>
      <c r="M37" s="526"/>
    </row>
    <row r="38" spans="1:13" ht="30.75">
      <c r="A38" s="526"/>
      <c r="B38" s="526"/>
      <c r="C38" s="526"/>
      <c r="D38" s="526"/>
      <c r="E38" s="2" t="s">
        <v>23</v>
      </c>
      <c r="F38" s="526"/>
      <c r="G38" s="526"/>
      <c r="H38" s="527"/>
      <c r="I38" s="526"/>
      <c r="J38" s="526"/>
      <c r="K38" s="526"/>
      <c r="L38" s="526"/>
      <c r="M38" s="526"/>
    </row>
    <row r="39" spans="1:13" ht="30.75">
      <c r="A39" s="526"/>
      <c r="B39" s="526"/>
      <c r="C39" s="526"/>
      <c r="D39" s="526"/>
      <c r="E39" s="2" t="s">
        <v>23</v>
      </c>
      <c r="F39" s="526"/>
      <c r="G39" s="526"/>
      <c r="H39" s="527"/>
      <c r="I39" s="526"/>
      <c r="J39" s="526"/>
      <c r="K39" s="526"/>
      <c r="L39" s="526"/>
      <c r="M39" s="526"/>
    </row>
    <row r="40" spans="1:13" ht="30.75">
      <c r="A40" s="526"/>
      <c r="B40" s="526"/>
      <c r="C40" s="526"/>
      <c r="D40" s="526"/>
      <c r="E40" s="2" t="s">
        <v>23</v>
      </c>
      <c r="F40" s="526"/>
      <c r="G40" s="526"/>
      <c r="H40" s="527"/>
      <c r="I40" s="526"/>
      <c r="J40" s="526"/>
      <c r="K40" s="526"/>
      <c r="L40" s="526"/>
      <c r="M40" s="526"/>
    </row>
    <row r="41" spans="1:13" ht="30.75">
      <c r="A41" s="526"/>
      <c r="B41" s="526"/>
      <c r="C41" s="526"/>
      <c r="D41" s="526"/>
      <c r="E41" s="2" t="s">
        <v>23</v>
      </c>
      <c r="F41" s="526"/>
      <c r="G41" s="526"/>
      <c r="H41" s="527"/>
      <c r="I41" s="526"/>
      <c r="J41" s="526"/>
      <c r="K41" s="526"/>
      <c r="L41" s="526"/>
      <c r="M41" s="526"/>
    </row>
    <row r="42" spans="1:13" ht="30.75">
      <c r="A42" s="526"/>
      <c r="B42" s="526"/>
      <c r="C42" s="526"/>
      <c r="D42" s="526"/>
      <c r="E42" s="2" t="s">
        <v>23</v>
      </c>
      <c r="F42" s="526"/>
      <c r="G42" s="526"/>
      <c r="H42" s="527"/>
      <c r="I42" s="526"/>
      <c r="J42" s="526"/>
      <c r="K42" s="526"/>
      <c r="L42" s="526"/>
      <c r="M42" s="526"/>
    </row>
    <row r="43" spans="1:13" ht="30.75">
      <c r="A43" s="526"/>
      <c r="B43" s="526"/>
      <c r="C43" s="526"/>
      <c r="D43" s="526"/>
      <c r="E43" s="2" t="s">
        <v>23</v>
      </c>
      <c r="F43" s="526"/>
      <c r="G43" s="526"/>
      <c r="H43" s="527"/>
      <c r="I43" s="526"/>
      <c r="J43" s="526"/>
      <c r="K43" s="526"/>
      <c r="L43" s="526"/>
      <c r="M43" s="526"/>
    </row>
    <row r="44" spans="1:13" ht="30.75">
      <c r="A44" s="526"/>
      <c r="B44" s="526"/>
      <c r="C44" s="526"/>
      <c r="D44" s="526"/>
      <c r="E44" s="2" t="s">
        <v>23</v>
      </c>
      <c r="F44" s="526"/>
      <c r="G44" s="526"/>
      <c r="H44" s="527"/>
      <c r="I44" s="526"/>
      <c r="J44" s="526"/>
      <c r="K44" s="526"/>
      <c r="L44" s="526"/>
      <c r="M44" s="526"/>
    </row>
    <row r="45" spans="1:13" ht="30.75">
      <c r="A45" s="526"/>
      <c r="B45" s="526"/>
      <c r="C45" s="526"/>
      <c r="D45" s="526"/>
      <c r="E45" s="2" t="s">
        <v>23</v>
      </c>
      <c r="F45" s="526"/>
      <c r="G45" s="526"/>
      <c r="H45" s="527"/>
      <c r="I45" s="526"/>
      <c r="J45" s="526"/>
      <c r="K45" s="526"/>
      <c r="L45" s="526"/>
      <c r="M45" s="526"/>
    </row>
    <row r="46" spans="1:13" ht="30.75">
      <c r="A46" s="526"/>
      <c r="B46" s="526"/>
      <c r="C46" s="526"/>
      <c r="D46" s="526"/>
      <c r="E46" s="2" t="s">
        <v>23</v>
      </c>
      <c r="F46" s="526"/>
      <c r="G46" s="526"/>
      <c r="H46" s="527"/>
      <c r="I46" s="526"/>
      <c r="J46" s="526"/>
      <c r="K46" s="526"/>
      <c r="L46" s="526"/>
      <c r="M46" s="526"/>
    </row>
    <row r="47" spans="1:13" ht="30.75">
      <c r="A47" s="526"/>
      <c r="B47" s="526"/>
      <c r="C47" s="526"/>
      <c r="D47" s="526"/>
      <c r="E47" s="2" t="s">
        <v>23</v>
      </c>
      <c r="F47" s="526"/>
      <c r="G47" s="526"/>
      <c r="H47" s="527"/>
      <c r="I47" s="526"/>
      <c r="J47" s="526"/>
      <c r="K47" s="526"/>
      <c r="L47" s="526"/>
      <c r="M47" s="526"/>
    </row>
    <row r="48" spans="1:13" ht="30.75">
      <c r="A48" s="526"/>
      <c r="B48" s="526"/>
      <c r="C48" s="526"/>
      <c r="D48" s="526"/>
      <c r="E48" s="2" t="s">
        <v>23</v>
      </c>
      <c r="F48" s="526"/>
      <c r="G48" s="526"/>
      <c r="H48" s="527"/>
      <c r="I48" s="526"/>
      <c r="J48" s="526"/>
      <c r="K48" s="526"/>
      <c r="L48" s="526"/>
      <c r="M48" s="526"/>
    </row>
    <row r="49" spans="1:13" ht="30.75">
      <c r="A49" s="526"/>
      <c r="B49" s="526"/>
      <c r="C49" s="526"/>
      <c r="D49" s="526"/>
      <c r="E49" s="2" t="s">
        <v>23</v>
      </c>
      <c r="F49" s="526"/>
      <c r="G49" s="526"/>
      <c r="H49" s="527"/>
      <c r="I49" s="526"/>
      <c r="J49" s="526"/>
      <c r="K49" s="526"/>
      <c r="L49" s="526"/>
      <c r="M49" s="526"/>
    </row>
    <row r="50" spans="1:13" ht="30.75">
      <c r="A50" s="526"/>
      <c r="B50" s="526"/>
      <c r="C50" s="526"/>
      <c r="D50" s="526"/>
      <c r="E50" s="2" t="s">
        <v>23</v>
      </c>
      <c r="F50" s="526"/>
      <c r="G50" s="526"/>
      <c r="H50" s="527"/>
      <c r="I50" s="526"/>
      <c r="J50" s="526"/>
      <c r="K50" s="526"/>
      <c r="L50" s="526"/>
      <c r="M50" s="526"/>
    </row>
    <row r="51" spans="1:13" ht="30.75">
      <c r="A51" s="526"/>
      <c r="B51" s="526"/>
      <c r="C51" s="526"/>
      <c r="D51" s="526"/>
      <c r="E51" s="2" t="s">
        <v>23</v>
      </c>
      <c r="F51" s="526"/>
      <c r="G51" s="526"/>
      <c r="H51" s="527"/>
      <c r="I51" s="526"/>
      <c r="J51" s="526"/>
      <c r="K51" s="526"/>
      <c r="L51" s="526"/>
      <c r="M51" s="526"/>
    </row>
    <row r="433" spans="2:3">
      <c r="B433" t="s">
        <v>2286</v>
      </c>
      <c r="C433" t="s">
        <v>2287</v>
      </c>
    </row>
  </sheetData>
  <mergeCells count="7">
    <mergeCell ref="A1:F1"/>
    <mergeCell ref="B5:C5"/>
    <mergeCell ref="G5:M5"/>
    <mergeCell ref="B2:F2"/>
    <mergeCell ref="H2:K2"/>
    <mergeCell ref="F3:M3"/>
    <mergeCell ref="B4:E4"/>
  </mergeCells>
  <dataValidations count="2">
    <dataValidation type="list" allowBlank="1" showInputMessage="1" showErrorMessage="1" sqref="F10:F51" xr:uid="{6EB447BF-1AF0-47F1-810B-C5D56B6D2558}">
      <formula1>"EFECTIVO, CHEQUE, TRANSFERENCIA,DEPOSITO"</formula1>
    </dataValidation>
    <dataValidation type="list" allowBlank="1" showInputMessage="1" showErrorMessage="1" sqref="C10:C51" xr:uid="{CE4691FF-11F8-40E7-B421-9095AA7839FA}">
      <formula1>"ENERO,FEBRERO,MARZO,ABRIL,MAYO,JUNIO,JULIO,AGOSTO,SEPTIEMBRE,OCTUBRE,NOVIEMBRE,DICIEMBRE"</formula1>
    </dataValidation>
  </dataValidations>
  <hyperlinks>
    <hyperlink ref="B4:E4" r:id="rId1" display="Jr_2080@hotmail.com" xr:uid="{7AE4116D-9F10-4607-BD84-89554D9FB2B3}"/>
  </hyperlinks>
  <pageMargins left="0.7" right="0.7" top="0.75" bottom="0.75" header="0.3" footer="0.3"/>
  <tableParts count="1">
    <tablePart r:id="rId2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5DD3-6BB0-4660-A8FE-44C69F45F5E4}">
  <dimension ref="A1:R433"/>
  <sheetViews>
    <sheetView topLeftCell="A20" workbookViewId="0">
      <selection activeCell="B28" sqref="B28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7" width="9.140625" bestFit="1" customWidth="1"/>
    <col min="8" max="8" width="9.42578125" bestFit="1" customWidth="1"/>
    <col min="9" max="10" width="9.140625" bestFit="1" customWidth="1"/>
    <col min="11" max="11" width="15.28515625" customWidth="1"/>
    <col min="12" max="12" width="10.7109375" customWidth="1"/>
  </cols>
  <sheetData>
    <row r="1" spans="1:14" ht="23.25" customHeight="1">
      <c r="A1" s="789" t="s">
        <v>3409</v>
      </c>
      <c r="B1" s="789"/>
      <c r="C1" s="789"/>
      <c r="D1" s="789"/>
      <c r="E1" s="789"/>
      <c r="F1" s="789"/>
    </row>
    <row r="2" spans="1:14" ht="18.75" customHeight="1">
      <c r="A2" s="2" t="s">
        <v>1729</v>
      </c>
      <c r="B2" s="790" t="s">
        <v>3410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20543542157</v>
      </c>
      <c r="F3" s="794" t="s">
        <v>5</v>
      </c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3410</v>
      </c>
      <c r="C4" s="796"/>
      <c r="D4" s="796"/>
      <c r="E4" s="796"/>
    </row>
    <row r="5" spans="1:14" ht="23.25" customHeight="1">
      <c r="A5" s="257" t="s">
        <v>4</v>
      </c>
      <c r="B5" s="786">
        <v>45574</v>
      </c>
      <c r="C5" s="787"/>
      <c r="F5" s="258"/>
      <c r="G5" s="788" t="s">
        <v>3412</v>
      </c>
      <c r="H5" s="788"/>
      <c r="I5" s="788"/>
      <c r="J5" s="788"/>
      <c r="K5" s="788"/>
      <c r="L5" s="788"/>
      <c r="M5" s="788"/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45574</v>
      </c>
      <c r="B10" s="8">
        <v>120</v>
      </c>
      <c r="C10" s="2" t="s">
        <v>54</v>
      </c>
      <c r="D10" s="153">
        <v>45580</v>
      </c>
      <c r="E10" s="2" t="s">
        <v>23</v>
      </c>
      <c r="F10" s="2" t="s">
        <v>24</v>
      </c>
      <c r="G10" s="2" t="s">
        <v>36</v>
      </c>
      <c r="H10" s="9" t="s">
        <v>3413</v>
      </c>
      <c r="I10" s="9" t="s">
        <v>3449</v>
      </c>
      <c r="J10" s="9" t="s">
        <v>3450</v>
      </c>
      <c r="K10" s="2">
        <v>42845</v>
      </c>
      <c r="L10" t="s">
        <v>26</v>
      </c>
      <c r="M10">
        <v>25.5</v>
      </c>
      <c r="N10" t="s">
        <v>3451</v>
      </c>
    </row>
    <row r="11" spans="1:14" ht="30.75">
      <c r="A11" s="7">
        <v>45657</v>
      </c>
      <c r="B11" s="8">
        <v>120</v>
      </c>
      <c r="C11" t="s">
        <v>27</v>
      </c>
      <c r="D11" s="153">
        <v>45625</v>
      </c>
      <c r="E11" s="2" t="s">
        <v>23</v>
      </c>
      <c r="F11" s="2" t="s">
        <v>24</v>
      </c>
      <c r="H11" s="76" t="s">
        <v>3452</v>
      </c>
      <c r="I11" s="9"/>
      <c r="J11" s="9" t="s">
        <v>3453</v>
      </c>
      <c r="K11" s="2">
        <v>44291</v>
      </c>
      <c r="L11" s="2" t="s">
        <v>26</v>
      </c>
      <c r="M11">
        <v>8.5</v>
      </c>
    </row>
    <row r="12" spans="1:14" ht="30.75">
      <c r="A12" s="7">
        <v>45657</v>
      </c>
      <c r="B12" s="8">
        <v>120</v>
      </c>
      <c r="C12" t="s">
        <v>30</v>
      </c>
      <c r="D12" s="153">
        <v>45654</v>
      </c>
      <c r="E12" s="2" t="s">
        <v>23</v>
      </c>
      <c r="F12" s="2" t="s">
        <v>24</v>
      </c>
      <c r="H12" s="76" t="s">
        <v>3416</v>
      </c>
      <c r="I12" s="9"/>
      <c r="J12" s="9" t="s">
        <v>3454</v>
      </c>
      <c r="K12" s="2">
        <v>45450</v>
      </c>
      <c r="L12" s="2" t="s">
        <v>26</v>
      </c>
      <c r="M12">
        <v>8.5</v>
      </c>
    </row>
    <row r="13" spans="1:14" ht="30.75">
      <c r="A13" s="153">
        <v>45724</v>
      </c>
      <c r="B13" s="8">
        <v>120</v>
      </c>
      <c r="C13" s="544" t="s">
        <v>32</v>
      </c>
      <c r="D13" s="544" t="s">
        <v>274</v>
      </c>
      <c r="E13" s="545" t="s">
        <v>23</v>
      </c>
      <c r="F13" s="545" t="s">
        <v>24</v>
      </c>
      <c r="G13" s="544"/>
      <c r="H13" s="546" t="s">
        <v>3119</v>
      </c>
      <c r="I13" s="547"/>
      <c r="J13" s="547" t="s">
        <v>3455</v>
      </c>
      <c r="K13" s="537"/>
      <c r="L13" s="545" t="s">
        <v>73</v>
      </c>
      <c r="M13">
        <v>9.5</v>
      </c>
    </row>
    <row r="14" spans="1:14" ht="30.75">
      <c r="A14" s="153">
        <v>45724</v>
      </c>
      <c r="B14" s="8">
        <v>120</v>
      </c>
      <c r="C14" t="s">
        <v>34</v>
      </c>
      <c r="D14" s="153">
        <v>45716</v>
      </c>
      <c r="E14" s="2" t="s">
        <v>23</v>
      </c>
      <c r="F14" s="545" t="s">
        <v>24</v>
      </c>
      <c r="H14" s="76" t="s">
        <v>3422</v>
      </c>
      <c r="I14" s="9"/>
      <c r="J14" s="9" t="s">
        <v>3456</v>
      </c>
      <c r="K14" s="2"/>
      <c r="L14" s="545" t="s">
        <v>73</v>
      </c>
      <c r="M14">
        <v>8.6999999999999993</v>
      </c>
    </row>
    <row r="15" spans="1:14" ht="30.75">
      <c r="A15" s="153">
        <v>45751</v>
      </c>
      <c r="B15" s="8">
        <v>120</v>
      </c>
      <c r="C15" t="s">
        <v>38</v>
      </c>
      <c r="D15" s="153">
        <v>45745</v>
      </c>
      <c r="E15" s="2" t="s">
        <v>23</v>
      </c>
      <c r="F15" s="2" t="s">
        <v>24</v>
      </c>
      <c r="H15" s="76" t="s">
        <v>3457</v>
      </c>
      <c r="I15" s="9"/>
      <c r="J15" s="9" t="s">
        <v>3458</v>
      </c>
      <c r="K15" s="2"/>
      <c r="L15" s="545" t="s">
        <v>73</v>
      </c>
      <c r="M15">
        <v>7.5</v>
      </c>
      <c r="N15" t="s">
        <v>36</v>
      </c>
    </row>
    <row r="16" spans="1:14" ht="30.75">
      <c r="A16" s="7">
        <v>45792</v>
      </c>
      <c r="B16" s="8">
        <v>120</v>
      </c>
      <c r="C16" t="s">
        <v>41</v>
      </c>
      <c r="D16" s="7">
        <v>45776</v>
      </c>
      <c r="E16" s="2" t="s">
        <v>23</v>
      </c>
      <c r="F16" s="2" t="s">
        <v>24</v>
      </c>
      <c r="G16" s="2"/>
      <c r="H16" s="76" t="s">
        <v>3459</v>
      </c>
      <c r="I16" s="9"/>
      <c r="J16" s="9" t="s">
        <v>3460</v>
      </c>
      <c r="K16" s="2"/>
      <c r="L16" s="545" t="s">
        <v>73</v>
      </c>
      <c r="M16">
        <v>8.6999999999999993</v>
      </c>
    </row>
    <row r="17" spans="1:18" ht="30.75">
      <c r="A17" s="7">
        <v>45818</v>
      </c>
      <c r="B17" s="8">
        <v>120</v>
      </c>
      <c r="C17" t="s">
        <v>44</v>
      </c>
      <c r="D17" s="153">
        <v>45805</v>
      </c>
      <c r="E17" s="2" t="s">
        <v>23</v>
      </c>
      <c r="F17" s="2" t="s">
        <v>24</v>
      </c>
      <c r="H17" s="76" t="s">
        <v>3427</v>
      </c>
      <c r="I17" s="9"/>
      <c r="J17" s="9" t="s">
        <v>3461</v>
      </c>
      <c r="L17" s="545" t="s">
        <v>73</v>
      </c>
      <c r="M17">
        <v>8.5</v>
      </c>
      <c r="R17" t="s">
        <v>36</v>
      </c>
    </row>
    <row r="18" spans="1:18" ht="30.75">
      <c r="A18" s="153">
        <v>45842</v>
      </c>
      <c r="B18" s="8">
        <v>120</v>
      </c>
      <c r="C18" t="s">
        <v>57</v>
      </c>
      <c r="D18" s="153">
        <v>45836</v>
      </c>
      <c r="E18" s="2" t="s">
        <v>23</v>
      </c>
      <c r="F18" s="2" t="s">
        <v>24</v>
      </c>
      <c r="H18" s="76" t="s">
        <v>3462</v>
      </c>
      <c r="I18" s="9"/>
      <c r="J18" s="9" t="s">
        <v>3463</v>
      </c>
      <c r="L18" s="545" t="s">
        <v>73</v>
      </c>
      <c r="M18">
        <v>9.5</v>
      </c>
    </row>
    <row r="19" spans="1:18" ht="30.75">
      <c r="A19" s="153">
        <v>45877</v>
      </c>
      <c r="B19" s="8">
        <v>120</v>
      </c>
      <c r="C19" t="s">
        <v>47</v>
      </c>
      <c r="D19" s="153">
        <v>45864</v>
      </c>
      <c r="E19" s="2" t="s">
        <v>23</v>
      </c>
      <c r="F19" s="2" t="s">
        <v>24</v>
      </c>
      <c r="H19" s="76" t="s">
        <v>3464</v>
      </c>
      <c r="I19" s="9"/>
      <c r="J19" s="9" t="s">
        <v>3465</v>
      </c>
      <c r="L19" s="545" t="s">
        <v>73</v>
      </c>
      <c r="M19">
        <v>9.6999999999999993</v>
      </c>
    </row>
    <row r="20" spans="1:18" ht="30.75">
      <c r="A20" s="153">
        <v>45905</v>
      </c>
      <c r="B20" s="8">
        <v>120</v>
      </c>
      <c r="C20" t="s">
        <v>50</v>
      </c>
      <c r="D20" s="153">
        <v>45897</v>
      </c>
      <c r="E20" s="2" t="s">
        <v>23</v>
      </c>
      <c r="F20" s="2" t="s">
        <v>24</v>
      </c>
      <c r="H20" s="76" t="s">
        <v>3466</v>
      </c>
      <c r="I20" s="9"/>
      <c r="J20" s="9" t="s">
        <v>3467</v>
      </c>
      <c r="L20" s="545" t="s">
        <v>73</v>
      </c>
      <c r="M20">
        <v>6.1</v>
      </c>
    </row>
    <row r="21" spans="1:18" ht="30.75">
      <c r="A21" s="153">
        <v>45937</v>
      </c>
      <c r="B21" s="8">
        <v>122.1</v>
      </c>
      <c r="C21" t="s">
        <v>22</v>
      </c>
      <c r="D21" s="153">
        <v>45929</v>
      </c>
      <c r="E21" s="2" t="s">
        <v>23</v>
      </c>
      <c r="F21" s="2" t="s">
        <v>24</v>
      </c>
      <c r="H21" s="76" t="s">
        <v>3468</v>
      </c>
      <c r="I21" s="9"/>
      <c r="J21" s="9" t="s">
        <v>3469</v>
      </c>
      <c r="L21" s="545" t="s">
        <v>73</v>
      </c>
      <c r="M21">
        <v>10.6</v>
      </c>
    </row>
    <row r="22" spans="1:18" ht="30.75">
      <c r="A22" s="153">
        <v>46007</v>
      </c>
      <c r="B22" s="8">
        <v>120</v>
      </c>
      <c r="C22" t="s">
        <v>54</v>
      </c>
      <c r="D22" s="153">
        <v>45960</v>
      </c>
      <c r="E22" s="2" t="s">
        <v>23</v>
      </c>
      <c r="F22" s="2" t="s">
        <v>24</v>
      </c>
      <c r="H22" s="76" t="s">
        <v>3437</v>
      </c>
      <c r="I22" s="9"/>
      <c r="J22" s="9" t="s">
        <v>3470</v>
      </c>
      <c r="L22" s="545" t="s">
        <v>73</v>
      </c>
      <c r="M22">
        <v>7.5</v>
      </c>
    </row>
    <row r="23" spans="1:18" ht="30.75">
      <c r="A23" s="153">
        <v>46002</v>
      </c>
      <c r="B23" s="8">
        <v>120</v>
      </c>
      <c r="C23" t="s">
        <v>27</v>
      </c>
      <c r="D23" s="153">
        <v>45990</v>
      </c>
      <c r="E23" s="2" t="s">
        <v>23</v>
      </c>
      <c r="F23" s="2" t="s">
        <v>24</v>
      </c>
      <c r="H23" s="76" t="s">
        <v>3439</v>
      </c>
      <c r="I23" s="9"/>
      <c r="J23" s="9" t="s">
        <v>3471</v>
      </c>
      <c r="L23" s="545" t="s">
        <v>73</v>
      </c>
      <c r="M23">
        <v>6.5</v>
      </c>
    </row>
    <row r="24" spans="1:18" ht="30.75">
      <c r="A24" s="153">
        <v>46034</v>
      </c>
      <c r="B24" s="8">
        <v>120</v>
      </c>
      <c r="C24" t="s">
        <v>30</v>
      </c>
      <c r="D24" s="153">
        <v>46018</v>
      </c>
      <c r="E24" s="2" t="s">
        <v>23</v>
      </c>
      <c r="F24" s="2" t="s">
        <v>24</v>
      </c>
      <c r="H24" s="76" t="s">
        <v>3442</v>
      </c>
      <c r="I24" s="9"/>
      <c r="J24" s="9" t="s">
        <v>3472</v>
      </c>
      <c r="L24" s="545" t="s">
        <v>73</v>
      </c>
      <c r="M24">
        <v>8.6999999999999993</v>
      </c>
    </row>
    <row r="25" spans="1:18" ht="30.75">
      <c r="A25" s="153">
        <v>46063</v>
      </c>
      <c r="B25" s="8">
        <v>120</v>
      </c>
      <c r="C25" t="s">
        <v>32</v>
      </c>
      <c r="D25" s="153">
        <v>46052</v>
      </c>
      <c r="E25" s="2" t="s">
        <v>23</v>
      </c>
      <c r="F25" s="2" t="s">
        <v>24</v>
      </c>
      <c r="H25" s="76" t="s">
        <v>3444</v>
      </c>
      <c r="I25" s="9"/>
      <c r="J25" s="9" t="s">
        <v>3473</v>
      </c>
      <c r="L25" s="545" t="s">
        <v>73</v>
      </c>
      <c r="M25" t="s">
        <v>3474</v>
      </c>
    </row>
    <row r="26" spans="1:18" ht="30.75">
      <c r="A26" s="153">
        <v>46125</v>
      </c>
      <c r="B26" s="8">
        <v>120</v>
      </c>
      <c r="C26" t="s">
        <v>34</v>
      </c>
      <c r="D26" s="153">
        <v>46081</v>
      </c>
      <c r="E26" s="2" t="s">
        <v>23</v>
      </c>
      <c r="F26" s="2" t="s">
        <v>24</v>
      </c>
      <c r="H26" s="76" t="s">
        <v>3446</v>
      </c>
      <c r="I26" s="9"/>
      <c r="J26">
        <v>58372</v>
      </c>
      <c r="L26" s="545" t="s">
        <v>73</v>
      </c>
      <c r="M26">
        <v>7.1</v>
      </c>
    </row>
    <row r="27" spans="1:18" ht="30.75">
      <c r="A27" s="153">
        <v>46136</v>
      </c>
      <c r="B27" s="8">
        <v>120</v>
      </c>
      <c r="C27" t="s">
        <v>38</v>
      </c>
      <c r="D27" s="153">
        <v>46112</v>
      </c>
      <c r="E27" s="2" t="s">
        <v>23</v>
      </c>
      <c r="F27" s="2" t="s">
        <v>24</v>
      </c>
      <c r="H27" s="76" t="s">
        <v>3447</v>
      </c>
      <c r="I27" s="9"/>
      <c r="J27">
        <v>59603</v>
      </c>
      <c r="L27" s="545" t="s">
        <v>73</v>
      </c>
      <c r="M27">
        <v>9.1</v>
      </c>
    </row>
    <row r="28" spans="1:18" ht="30.75">
      <c r="A28" s="153">
        <v>46150</v>
      </c>
      <c r="B28" s="8">
        <v>120</v>
      </c>
      <c r="C28" t="s">
        <v>41</v>
      </c>
      <c r="D28" s="153">
        <v>46142</v>
      </c>
      <c r="E28" s="2" t="s">
        <v>23</v>
      </c>
      <c r="F28" s="2" t="s">
        <v>24</v>
      </c>
      <c r="H28" s="76" t="s">
        <v>3448</v>
      </c>
      <c r="I28" s="9"/>
      <c r="J28">
        <v>60970</v>
      </c>
      <c r="L28" s="545" t="s">
        <v>73</v>
      </c>
      <c r="M28">
        <v>2</v>
      </c>
    </row>
    <row r="29" spans="1:18" ht="30.75">
      <c r="E29" s="2" t="s">
        <v>23</v>
      </c>
      <c r="H29" s="76"/>
      <c r="I29" s="9"/>
    </row>
    <row r="30" spans="1:18" ht="30.75">
      <c r="E30" s="2" t="s">
        <v>23</v>
      </c>
      <c r="H30" s="76"/>
      <c r="I30" s="9"/>
    </row>
    <row r="31" spans="1:18" ht="30.75">
      <c r="A31" s="526"/>
      <c r="B31" s="526"/>
      <c r="C31" s="526"/>
      <c r="D31" s="526"/>
      <c r="E31" s="2" t="s">
        <v>23</v>
      </c>
      <c r="F31" s="526"/>
      <c r="G31" s="526"/>
      <c r="H31" s="527"/>
      <c r="I31" s="526"/>
      <c r="J31" s="526"/>
      <c r="K31" s="526"/>
      <c r="L31" s="526"/>
      <c r="M31" s="526"/>
    </row>
    <row r="32" spans="1:18" ht="30.75">
      <c r="A32" s="526"/>
      <c r="B32" s="526"/>
      <c r="C32" s="526"/>
      <c r="D32" s="526"/>
      <c r="E32" s="2" t="s">
        <v>23</v>
      </c>
      <c r="F32" s="526"/>
      <c r="G32" s="526"/>
      <c r="H32" s="527"/>
      <c r="I32" s="526"/>
      <c r="J32" s="526"/>
      <c r="K32" s="526"/>
      <c r="L32" s="526"/>
      <c r="M32" s="526"/>
    </row>
    <row r="33" spans="1:13" ht="30.75">
      <c r="A33" s="526"/>
      <c r="B33" s="526"/>
      <c r="C33" s="526"/>
      <c r="D33" s="526"/>
      <c r="E33" s="2" t="s">
        <v>23</v>
      </c>
      <c r="F33" s="526"/>
      <c r="G33" s="526"/>
      <c r="H33" s="527"/>
      <c r="I33" s="526"/>
      <c r="J33" s="526"/>
      <c r="K33" s="526"/>
      <c r="L33" s="526"/>
      <c r="M33" s="526"/>
    </row>
    <row r="34" spans="1:13" ht="30.75">
      <c r="A34" s="526"/>
      <c r="B34" s="526"/>
      <c r="C34" s="526"/>
      <c r="D34" s="526"/>
      <c r="E34" s="2" t="s">
        <v>23</v>
      </c>
      <c r="F34" s="526"/>
      <c r="G34" s="526"/>
      <c r="H34" s="527"/>
      <c r="I34" s="526"/>
      <c r="J34" s="526"/>
      <c r="K34" s="526"/>
      <c r="L34" s="526"/>
      <c r="M34" s="526"/>
    </row>
    <row r="35" spans="1:13" ht="30.75">
      <c r="A35" s="526"/>
      <c r="B35" s="526"/>
      <c r="C35" s="526"/>
      <c r="D35" s="526"/>
      <c r="E35" s="2" t="s">
        <v>23</v>
      </c>
      <c r="F35" s="526"/>
      <c r="G35" s="526"/>
      <c r="H35" s="527"/>
      <c r="I35" s="526"/>
      <c r="J35" s="526"/>
      <c r="K35" s="526"/>
      <c r="L35" s="526"/>
      <c r="M35" s="526"/>
    </row>
    <row r="36" spans="1:13" ht="30.75">
      <c r="A36" s="526"/>
      <c r="B36" s="526"/>
      <c r="C36" s="526"/>
      <c r="D36" s="526"/>
      <c r="E36" s="2" t="s">
        <v>23</v>
      </c>
      <c r="F36" s="526"/>
      <c r="G36" s="526"/>
      <c r="H36" s="527"/>
      <c r="I36" s="526"/>
      <c r="J36" s="526"/>
      <c r="K36" s="526"/>
      <c r="L36" s="526"/>
      <c r="M36" s="526"/>
    </row>
    <row r="37" spans="1:13" ht="30.75">
      <c r="A37" s="526"/>
      <c r="B37" s="526"/>
      <c r="C37" s="526"/>
      <c r="D37" s="526"/>
      <c r="E37" s="2" t="s">
        <v>23</v>
      </c>
      <c r="F37" s="526"/>
      <c r="G37" s="526"/>
      <c r="H37" s="527"/>
      <c r="I37" s="526"/>
      <c r="J37" s="526"/>
      <c r="K37" s="526"/>
      <c r="L37" s="526"/>
      <c r="M37" s="526"/>
    </row>
    <row r="38" spans="1:13" ht="30.75">
      <c r="A38" s="526"/>
      <c r="B38" s="526"/>
      <c r="C38" s="526"/>
      <c r="D38" s="526"/>
      <c r="E38" s="2" t="s">
        <v>23</v>
      </c>
      <c r="F38" s="526"/>
      <c r="G38" s="526"/>
      <c r="H38" s="527"/>
      <c r="I38" s="526"/>
      <c r="J38" s="526"/>
      <c r="K38" s="526"/>
      <c r="L38" s="526"/>
      <c r="M38" s="526"/>
    </row>
    <row r="39" spans="1:13" ht="30.75">
      <c r="A39" s="526"/>
      <c r="B39" s="526"/>
      <c r="C39" s="526"/>
      <c r="D39" s="526"/>
      <c r="E39" s="2" t="s">
        <v>23</v>
      </c>
      <c r="F39" s="526"/>
      <c r="G39" s="526"/>
      <c r="H39" s="527"/>
      <c r="I39" s="526"/>
      <c r="J39" s="526"/>
      <c r="K39" s="526"/>
      <c r="L39" s="526"/>
      <c r="M39" s="526"/>
    </row>
    <row r="40" spans="1:13" ht="30.75">
      <c r="A40" s="526"/>
      <c r="B40" s="526"/>
      <c r="C40" s="526"/>
      <c r="D40" s="526"/>
      <c r="E40" s="2" t="s">
        <v>23</v>
      </c>
      <c r="F40" s="526"/>
      <c r="G40" s="526"/>
      <c r="H40" s="527"/>
      <c r="I40" s="526"/>
      <c r="J40" s="526"/>
      <c r="K40" s="526"/>
      <c r="L40" s="526"/>
      <c r="M40" s="526"/>
    </row>
    <row r="41" spans="1:13" ht="30.75">
      <c r="A41" s="526"/>
      <c r="B41" s="526"/>
      <c r="C41" s="526"/>
      <c r="D41" s="526"/>
      <c r="E41" s="2" t="s">
        <v>23</v>
      </c>
      <c r="F41" s="526"/>
      <c r="G41" s="526"/>
      <c r="H41" s="527"/>
      <c r="I41" s="526"/>
      <c r="J41" s="526"/>
      <c r="K41" s="526"/>
      <c r="L41" s="526"/>
      <c r="M41" s="526"/>
    </row>
    <row r="42" spans="1:13" ht="30.75">
      <c r="A42" s="526"/>
      <c r="B42" s="526"/>
      <c r="C42" s="526"/>
      <c r="D42" s="526"/>
      <c r="E42" s="2" t="s">
        <v>23</v>
      </c>
      <c r="F42" s="526"/>
      <c r="G42" s="526"/>
      <c r="H42" s="527"/>
      <c r="I42" s="526"/>
      <c r="J42" s="526"/>
      <c r="K42" s="526"/>
      <c r="L42" s="526"/>
      <c r="M42" s="526"/>
    </row>
    <row r="43" spans="1:13" ht="30.75">
      <c r="A43" s="526"/>
      <c r="B43" s="526"/>
      <c r="C43" s="526"/>
      <c r="D43" s="526"/>
      <c r="E43" s="2" t="s">
        <v>23</v>
      </c>
      <c r="F43" s="526"/>
      <c r="G43" s="526"/>
      <c r="H43" s="527"/>
      <c r="I43" s="526"/>
      <c r="J43" s="526"/>
      <c r="K43" s="526"/>
      <c r="L43" s="526"/>
      <c r="M43" s="526"/>
    </row>
    <row r="44" spans="1:13" ht="30.75">
      <c r="A44" s="526"/>
      <c r="B44" s="526"/>
      <c r="C44" s="526"/>
      <c r="D44" s="526"/>
      <c r="E44" s="2" t="s">
        <v>23</v>
      </c>
      <c r="F44" s="526"/>
      <c r="G44" s="526"/>
      <c r="H44" s="527"/>
      <c r="I44" s="526"/>
      <c r="J44" s="526"/>
      <c r="K44" s="526"/>
      <c r="L44" s="526"/>
      <c r="M44" s="526"/>
    </row>
    <row r="45" spans="1:13" ht="30.75">
      <c r="A45" s="526"/>
      <c r="B45" s="526"/>
      <c r="C45" s="526"/>
      <c r="D45" s="526"/>
      <c r="E45" s="2" t="s">
        <v>23</v>
      </c>
      <c r="F45" s="526"/>
      <c r="G45" s="526"/>
      <c r="H45" s="527"/>
      <c r="I45" s="526"/>
      <c r="J45" s="526"/>
      <c r="K45" s="526"/>
      <c r="L45" s="526"/>
      <c r="M45" s="526"/>
    </row>
    <row r="46" spans="1:13" ht="30.75">
      <c r="A46" s="526"/>
      <c r="B46" s="526"/>
      <c r="C46" s="526"/>
      <c r="D46" s="526"/>
      <c r="E46" s="2" t="s">
        <v>23</v>
      </c>
      <c r="F46" s="526"/>
      <c r="G46" s="526"/>
      <c r="H46" s="527"/>
      <c r="I46" s="526"/>
      <c r="J46" s="526"/>
      <c r="K46" s="526"/>
      <c r="L46" s="526"/>
      <c r="M46" s="526"/>
    </row>
    <row r="47" spans="1:13" ht="30.75">
      <c r="A47" s="526"/>
      <c r="B47" s="526"/>
      <c r="C47" s="526"/>
      <c r="D47" s="526"/>
      <c r="E47" s="2" t="s">
        <v>23</v>
      </c>
      <c r="F47" s="526"/>
      <c r="G47" s="526"/>
      <c r="H47" s="527"/>
      <c r="I47" s="526"/>
      <c r="J47" s="526"/>
      <c r="K47" s="526"/>
      <c r="L47" s="526"/>
      <c r="M47" s="526"/>
    </row>
    <row r="48" spans="1:13" ht="30.75">
      <c r="A48" s="526"/>
      <c r="B48" s="526"/>
      <c r="C48" s="526"/>
      <c r="D48" s="526"/>
      <c r="E48" s="2" t="s">
        <v>23</v>
      </c>
      <c r="F48" s="526"/>
      <c r="G48" s="526"/>
      <c r="H48" s="527"/>
      <c r="I48" s="526"/>
      <c r="J48" s="526"/>
      <c r="K48" s="526"/>
      <c r="L48" s="526"/>
      <c r="M48" s="526"/>
    </row>
    <row r="49" spans="1:13" ht="30.75">
      <c r="A49" s="526"/>
      <c r="B49" s="526"/>
      <c r="C49" s="526"/>
      <c r="D49" s="526"/>
      <c r="E49" s="2" t="s">
        <v>23</v>
      </c>
      <c r="F49" s="526"/>
      <c r="G49" s="526"/>
      <c r="H49" s="527"/>
      <c r="I49" s="526"/>
      <c r="J49" s="526"/>
      <c r="K49" s="526"/>
      <c r="L49" s="526"/>
      <c r="M49" s="526"/>
    </row>
    <row r="433" spans="2:3">
      <c r="B433" t="s">
        <v>2286</v>
      </c>
      <c r="C433" t="s">
        <v>2287</v>
      </c>
    </row>
  </sheetData>
  <mergeCells count="7">
    <mergeCell ref="A1:F1"/>
    <mergeCell ref="B5:C5"/>
    <mergeCell ref="G5:M5"/>
    <mergeCell ref="B2:F2"/>
    <mergeCell ref="H2:K2"/>
    <mergeCell ref="F3:M3"/>
    <mergeCell ref="B4:E4"/>
  </mergeCells>
  <dataValidations count="2">
    <dataValidation type="list" allowBlank="1" showInputMessage="1" showErrorMessage="1" sqref="C10:C49" xr:uid="{41CF6AF6-F643-4204-BFF4-5EF380F5782A}">
      <formula1>"ENERO,FEBRERO,MARZO,ABRIL,MAYO,JUNIO,JULIO,AGOSTO,SEPTIEMBRE,OCTUBRE,NOVIEMBRE,DICIEMBRE"</formula1>
    </dataValidation>
    <dataValidation type="list" allowBlank="1" showInputMessage="1" showErrorMessage="1" sqref="F10:F49" xr:uid="{D5821471-E9C2-4CA2-B314-3E7F66A52F38}">
      <formula1>"EFECTIVO, CHEQUE, TRANSFERENCIA,DEPOSITO"</formula1>
    </dataValidation>
  </dataValidations>
  <hyperlinks>
    <hyperlink ref="B4:E4" r:id="rId1" display="Jr_2080@hotmail.com" xr:uid="{35EEC9A1-7C3C-4DA3-9F3C-8849DCE83EBA}"/>
  </hyperlinks>
  <pageMargins left="0.7" right="0.7" top="0.75" bottom="0.75" header="0.3" footer="0.3"/>
  <tableParts count="1">
    <tablePart r:id="rId2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FAF2-6A60-4F78-BD08-CC82314FE418}">
  <dimension ref="A1:R432"/>
  <sheetViews>
    <sheetView topLeftCell="A11" workbookViewId="0">
      <selection activeCell="O14" sqref="O14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7" width="9.140625" bestFit="1" customWidth="1"/>
    <col min="8" max="8" width="14.42578125" bestFit="1" customWidth="1"/>
    <col min="9" max="10" width="9.140625" bestFit="1" customWidth="1"/>
    <col min="11" max="11" width="15.28515625" customWidth="1"/>
    <col min="12" max="12" width="10.7109375" customWidth="1"/>
  </cols>
  <sheetData>
    <row r="1" spans="1:18" ht="23.25" customHeight="1">
      <c r="A1" s="789" t="s">
        <v>3475</v>
      </c>
      <c r="B1" s="788"/>
      <c r="C1" s="788"/>
      <c r="D1" s="788"/>
      <c r="E1" s="788"/>
      <c r="F1" s="788"/>
    </row>
    <row r="2" spans="1:18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8" ht="15.75">
      <c r="A3" s="2" t="s">
        <v>1</v>
      </c>
      <c r="B3" s="2">
        <v>10440718499</v>
      </c>
      <c r="F3" s="794" t="s">
        <v>3476</v>
      </c>
      <c r="G3" s="794"/>
      <c r="H3" s="794"/>
      <c r="I3" s="794"/>
      <c r="J3" s="794"/>
      <c r="K3" s="794"/>
      <c r="L3" s="794"/>
      <c r="M3" s="794"/>
    </row>
    <row r="4" spans="1:18" ht="15" customHeight="1">
      <c r="A4" s="2" t="s">
        <v>2277</v>
      </c>
      <c r="B4" s="796" t="s">
        <v>36</v>
      </c>
      <c r="C4" s="796"/>
      <c r="D4" s="796"/>
      <c r="E4" s="796"/>
    </row>
    <row r="5" spans="1:18" ht="23.25" customHeight="1">
      <c r="A5" s="257" t="s">
        <v>4</v>
      </c>
      <c r="B5" s="786">
        <v>45947</v>
      </c>
      <c r="C5" s="787"/>
      <c r="F5" s="258"/>
      <c r="G5" s="788" t="s">
        <v>3477</v>
      </c>
      <c r="H5" s="788"/>
      <c r="I5" s="788"/>
      <c r="J5" s="788"/>
      <c r="K5" s="788"/>
      <c r="L5" s="788"/>
      <c r="M5" s="788"/>
    </row>
    <row r="9" spans="1:18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8" ht="30.75">
      <c r="A10" s="266">
        <v>45587</v>
      </c>
      <c r="B10" s="8">
        <v>90</v>
      </c>
      <c r="C10" s="2" t="s">
        <v>54</v>
      </c>
      <c r="D10" s="153" t="s">
        <v>3478</v>
      </c>
      <c r="E10" s="2" t="s">
        <v>23</v>
      </c>
      <c r="F10" s="2" t="s">
        <v>24</v>
      </c>
      <c r="G10" s="2">
        <v>1</v>
      </c>
      <c r="H10" s="9" t="s">
        <v>3479</v>
      </c>
      <c r="I10" s="9"/>
      <c r="J10" s="9" t="s">
        <v>3480</v>
      </c>
      <c r="K10" s="2">
        <v>43686</v>
      </c>
      <c r="L10" s="2" t="s">
        <v>26</v>
      </c>
      <c r="M10">
        <v>4.5</v>
      </c>
    </row>
    <row r="11" spans="1:18" ht="30.75">
      <c r="A11" s="7">
        <v>45626</v>
      </c>
      <c r="B11" s="8">
        <v>90</v>
      </c>
      <c r="C11" t="s">
        <v>27</v>
      </c>
      <c r="D11" s="153">
        <v>45626</v>
      </c>
      <c r="E11" s="2" t="s">
        <v>23</v>
      </c>
      <c r="F11" s="2" t="s">
        <v>28</v>
      </c>
      <c r="G11">
        <v>2</v>
      </c>
      <c r="H11" s="76" t="s">
        <v>3479</v>
      </c>
      <c r="I11" s="9"/>
      <c r="J11" s="9" t="s">
        <v>3481</v>
      </c>
      <c r="K11" s="2">
        <v>44315</v>
      </c>
      <c r="L11" s="2" t="s">
        <v>26</v>
      </c>
      <c r="M11">
        <v>5.4</v>
      </c>
    </row>
    <row r="12" spans="1:18" ht="30.75">
      <c r="A12" s="7">
        <v>45684</v>
      </c>
      <c r="B12" s="8">
        <v>90</v>
      </c>
      <c r="C12" t="s">
        <v>30</v>
      </c>
      <c r="D12" s="153">
        <v>45656</v>
      </c>
      <c r="E12" s="2" t="s">
        <v>23</v>
      </c>
      <c r="F12" s="2" t="s">
        <v>24</v>
      </c>
      <c r="G12">
        <v>3</v>
      </c>
      <c r="H12" s="76" t="s">
        <v>3482</v>
      </c>
      <c r="I12" s="9"/>
      <c r="J12" s="9" t="s">
        <v>3483</v>
      </c>
      <c r="K12" s="2"/>
      <c r="L12" s="2" t="s">
        <v>26</v>
      </c>
      <c r="M12">
        <v>1.5</v>
      </c>
    </row>
    <row r="13" spans="1:18" ht="30.75">
      <c r="B13" s="8">
        <v>90</v>
      </c>
      <c r="C13" t="s">
        <v>32</v>
      </c>
      <c r="D13" s="153">
        <v>45687</v>
      </c>
      <c r="E13" s="2" t="s">
        <v>23</v>
      </c>
      <c r="F13" t="s">
        <v>24</v>
      </c>
      <c r="H13" s="76"/>
      <c r="I13" s="9"/>
      <c r="J13" s="9"/>
      <c r="K13" s="2"/>
      <c r="L13" s="2" t="s">
        <v>3484</v>
      </c>
    </row>
    <row r="14" spans="1:18" ht="30.75">
      <c r="A14" s="153">
        <v>45719</v>
      </c>
      <c r="B14" s="8">
        <v>90</v>
      </c>
      <c r="C14" t="s">
        <v>38</v>
      </c>
      <c r="D14" s="153">
        <v>45747</v>
      </c>
      <c r="E14" s="2" t="s">
        <v>23</v>
      </c>
      <c r="F14" t="s">
        <v>24</v>
      </c>
      <c r="H14" s="76" t="s">
        <v>3485</v>
      </c>
      <c r="I14" s="9"/>
      <c r="J14" s="9" t="s">
        <v>3486</v>
      </c>
      <c r="K14" s="2"/>
      <c r="L14" t="s">
        <v>73</v>
      </c>
      <c r="M14">
        <v>4.5</v>
      </c>
      <c r="N14" t="s">
        <v>36</v>
      </c>
    </row>
    <row r="15" spans="1:18" ht="30.75">
      <c r="A15" s="7"/>
      <c r="B15" s="8"/>
      <c r="C15" s="2"/>
      <c r="D15" s="2"/>
      <c r="E15" s="2" t="s">
        <v>23</v>
      </c>
      <c r="F15" s="2"/>
      <c r="G15" s="2"/>
      <c r="H15" s="76" t="s">
        <v>3487</v>
      </c>
      <c r="I15" s="9"/>
      <c r="J15" s="9"/>
      <c r="K15" s="2"/>
    </row>
    <row r="16" spans="1:18" ht="30.75">
      <c r="A16" s="7"/>
      <c r="B16" s="8"/>
      <c r="E16" s="2" t="s">
        <v>23</v>
      </c>
      <c r="F16" s="2"/>
      <c r="H16" s="76"/>
      <c r="I16" s="9"/>
      <c r="J16" s="9"/>
      <c r="R16" t="s">
        <v>36</v>
      </c>
    </row>
    <row r="17" spans="2:10" ht="30.75">
      <c r="B17" s="154"/>
      <c r="E17" s="2" t="s">
        <v>23</v>
      </c>
      <c r="H17" s="76"/>
      <c r="I17" s="9"/>
      <c r="J17" s="9"/>
    </row>
    <row r="18" spans="2:10" ht="30.75">
      <c r="B18" s="154"/>
      <c r="E18" s="2" t="s">
        <v>23</v>
      </c>
      <c r="H18" s="76"/>
      <c r="I18" s="9"/>
      <c r="J18" s="9"/>
    </row>
    <row r="19" spans="2:10" ht="30.75">
      <c r="B19" s="154"/>
      <c r="E19" s="2" t="s">
        <v>23</v>
      </c>
      <c r="H19" s="76"/>
      <c r="I19" s="9"/>
      <c r="J19" s="9"/>
    </row>
    <row r="20" spans="2:10" ht="30.75">
      <c r="B20" s="154"/>
      <c r="E20" s="2" t="s">
        <v>23</v>
      </c>
      <c r="H20" s="76"/>
      <c r="I20" s="9"/>
      <c r="J20" s="9"/>
    </row>
    <row r="21" spans="2:10" ht="30.75">
      <c r="E21" s="2" t="s">
        <v>23</v>
      </c>
      <c r="H21" s="76"/>
      <c r="I21" s="9"/>
      <c r="J21" s="9"/>
    </row>
    <row r="22" spans="2:10" ht="30.75">
      <c r="E22" s="2" t="s">
        <v>23</v>
      </c>
      <c r="H22" s="76"/>
      <c r="I22" s="9"/>
      <c r="J22" s="9"/>
    </row>
    <row r="23" spans="2:10" ht="30.75">
      <c r="E23" s="2" t="s">
        <v>23</v>
      </c>
      <c r="H23" s="76"/>
      <c r="I23" s="9"/>
      <c r="J23" s="9"/>
    </row>
    <row r="24" spans="2:10" ht="30.75">
      <c r="E24" s="2" t="s">
        <v>23</v>
      </c>
      <c r="H24" s="76"/>
      <c r="I24" s="9"/>
      <c r="J24" s="9"/>
    </row>
    <row r="25" spans="2:10" ht="30.75">
      <c r="E25" s="2" t="s">
        <v>23</v>
      </c>
      <c r="H25" s="76"/>
      <c r="I25" s="9"/>
    </row>
    <row r="26" spans="2:10">
      <c r="H26" s="76"/>
      <c r="I26" s="9"/>
    </row>
    <row r="27" spans="2:10">
      <c r="H27" s="76"/>
      <c r="I27" s="9"/>
    </row>
    <row r="28" spans="2:10">
      <c r="H28" s="76"/>
      <c r="I28" s="9"/>
    </row>
    <row r="29" spans="2:10">
      <c r="H29" s="76"/>
      <c r="I29" s="9"/>
    </row>
    <row r="432" spans="2:3">
      <c r="B432" t="s">
        <v>2286</v>
      </c>
      <c r="C432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29" xr:uid="{D18EE947-2182-4A8E-B62D-F62C8D43C858}">
      <formula1>"ENERO,FEBRERO,MARZO,ABRIL,MAYO,JUNIO,JULIO,AGOSTO,SEPTIEMBRE,OCTUBRE,NOVIEMBRE,DICIEMBRE"</formula1>
    </dataValidation>
    <dataValidation type="list" allowBlank="1" showInputMessage="1" showErrorMessage="1" sqref="F10:F29" xr:uid="{01EB2B98-57FC-4602-80D4-A2205015206F}">
      <formula1>"EFECTIVO, CHEQUE, TRANSFERENCIA,DEPOSITO"</formula1>
    </dataValidation>
  </dataValidations>
  <hyperlinks>
    <hyperlink ref="B4:E4" r:id="rId1" display="Jr_2080@hotmail.com" xr:uid="{5B9D3BA0-B03A-4579-BEBD-FA85B5769A6C}"/>
  </hyperlinks>
  <pageMargins left="0.7" right="0.7" top="0.75" bottom="0.75" header="0.3" footer="0.3"/>
  <tableParts count="1">
    <tablePart r:id="rId2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84DD-C180-4262-B85B-0E66BD580406}">
  <dimension ref="A1:R434"/>
  <sheetViews>
    <sheetView topLeftCell="A18" workbookViewId="0">
      <selection activeCell="R21" sqref="R21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4.5703125" customWidth="1"/>
    <col min="14" max="14" width="31" customWidth="1"/>
  </cols>
  <sheetData>
    <row r="1" spans="1:14" ht="23.25" customHeight="1">
      <c r="A1" s="789" t="s">
        <v>3488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23.25">
      <c r="A3" s="2" t="s">
        <v>1</v>
      </c>
      <c r="B3" s="789">
        <v>20613302744</v>
      </c>
      <c r="C3" s="788"/>
      <c r="D3" s="788"/>
      <c r="E3" s="788"/>
      <c r="F3" s="788"/>
      <c r="G3" s="788"/>
      <c r="H3" s="637"/>
      <c r="I3" s="637"/>
      <c r="J3" s="637"/>
      <c r="K3" s="637"/>
      <c r="L3" s="637"/>
      <c r="M3" s="637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>
        <v>45615</v>
      </c>
      <c r="C5" s="787"/>
      <c r="F5" s="258"/>
      <c r="G5" s="788" t="s">
        <v>3489</v>
      </c>
      <c r="H5" s="788"/>
      <c r="I5" s="788"/>
      <c r="J5" s="788"/>
      <c r="K5" s="788"/>
      <c r="L5" s="788"/>
      <c r="M5" s="788"/>
      <c r="N5" t="s">
        <v>3490</v>
      </c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3" customHeight="1">
      <c r="A10" s="266">
        <v>45626</v>
      </c>
      <c r="B10" s="8">
        <v>440</v>
      </c>
      <c r="C10" s="2" t="s">
        <v>27</v>
      </c>
      <c r="D10" s="153">
        <v>45626</v>
      </c>
      <c r="E10" s="2" t="s">
        <v>23</v>
      </c>
      <c r="F10" s="2"/>
      <c r="G10" s="2">
        <v>29892</v>
      </c>
      <c r="H10" s="9" t="s">
        <v>36</v>
      </c>
      <c r="I10" s="9" t="s">
        <v>3491</v>
      </c>
      <c r="J10" s="9" t="s">
        <v>3492</v>
      </c>
      <c r="K10" s="2">
        <v>44313</v>
      </c>
      <c r="M10">
        <v>0.5</v>
      </c>
    </row>
    <row r="11" spans="1:14" ht="33" customHeight="1">
      <c r="A11" s="534">
        <v>45656</v>
      </c>
      <c r="B11" s="8">
        <v>400</v>
      </c>
      <c r="C11" s="2" t="s">
        <v>30</v>
      </c>
      <c r="D11" s="153">
        <v>45641</v>
      </c>
      <c r="E11" s="531"/>
      <c r="F11" s="531" t="s">
        <v>24</v>
      </c>
      <c r="G11" s="531">
        <v>31535</v>
      </c>
      <c r="H11" s="533"/>
      <c r="I11" s="533"/>
      <c r="J11" s="533" t="s">
        <v>3493</v>
      </c>
      <c r="K11" s="531">
        <v>45459</v>
      </c>
      <c r="L11" s="526" t="s">
        <v>72</v>
      </c>
      <c r="M11" s="526">
        <v>3.2</v>
      </c>
    </row>
    <row r="12" spans="1:14" ht="33" customHeight="1">
      <c r="A12" s="7">
        <v>45656</v>
      </c>
      <c r="B12" s="8">
        <v>400</v>
      </c>
      <c r="C12" t="s">
        <v>30</v>
      </c>
      <c r="D12" s="153">
        <v>45656</v>
      </c>
      <c r="E12" s="2" t="s">
        <v>23</v>
      </c>
      <c r="F12" s="2" t="s">
        <v>24</v>
      </c>
      <c r="G12">
        <v>31535</v>
      </c>
      <c r="H12" s="76"/>
      <c r="I12" s="9"/>
      <c r="J12" s="9" t="s">
        <v>3494</v>
      </c>
      <c r="K12" s="2">
        <v>45460</v>
      </c>
      <c r="L12" t="s">
        <v>72</v>
      </c>
      <c r="M12">
        <v>3.8</v>
      </c>
    </row>
    <row r="13" spans="1:14" ht="33" customHeight="1">
      <c r="A13" s="7">
        <v>45687</v>
      </c>
      <c r="B13" s="8">
        <v>400</v>
      </c>
      <c r="C13" t="s">
        <v>32</v>
      </c>
      <c r="D13" s="153">
        <v>45671</v>
      </c>
      <c r="E13" s="2" t="s">
        <v>23</v>
      </c>
      <c r="F13" s="2" t="s">
        <v>28</v>
      </c>
      <c r="G13">
        <v>31536</v>
      </c>
      <c r="H13" s="76"/>
      <c r="I13" s="9"/>
      <c r="J13" s="9" t="s">
        <v>3495</v>
      </c>
      <c r="K13" s="2"/>
      <c r="L13" t="s">
        <v>26</v>
      </c>
      <c r="M13">
        <v>2.5</v>
      </c>
    </row>
    <row r="14" spans="1:14" ht="33" customHeight="1">
      <c r="A14" s="7">
        <v>45687</v>
      </c>
      <c r="B14" s="8">
        <v>400</v>
      </c>
      <c r="C14" t="s">
        <v>32</v>
      </c>
      <c r="D14" s="153">
        <v>45687</v>
      </c>
      <c r="E14" s="2" t="s">
        <v>23</v>
      </c>
      <c r="F14" s="2" t="s">
        <v>28</v>
      </c>
      <c r="G14">
        <v>31536</v>
      </c>
      <c r="H14" s="76"/>
      <c r="I14" s="9"/>
      <c r="J14" s="9" t="s">
        <v>3496</v>
      </c>
      <c r="K14" s="2"/>
      <c r="L14" t="s">
        <v>26</v>
      </c>
      <c r="M14">
        <v>3.2</v>
      </c>
    </row>
    <row r="15" spans="1:14" ht="33" customHeight="1">
      <c r="B15" s="154"/>
      <c r="C15" t="s">
        <v>34</v>
      </c>
      <c r="D15" s="153">
        <v>45705</v>
      </c>
      <c r="E15" s="2" t="s">
        <v>23</v>
      </c>
      <c r="G15">
        <v>32400</v>
      </c>
      <c r="H15" s="76"/>
      <c r="I15" s="9"/>
      <c r="J15" s="9" t="s">
        <v>3497</v>
      </c>
      <c r="K15" s="2"/>
      <c r="L15" t="s">
        <v>26</v>
      </c>
      <c r="M15">
        <v>3.8</v>
      </c>
    </row>
    <row r="16" spans="1:14" ht="33" customHeight="1">
      <c r="A16">
        <v>2</v>
      </c>
      <c r="B16" s="154">
        <v>440</v>
      </c>
      <c r="C16" t="s">
        <v>34</v>
      </c>
      <c r="D16" s="153">
        <v>45716</v>
      </c>
      <c r="E16" s="2" t="s">
        <v>23</v>
      </c>
      <c r="F16" s="2" t="s">
        <v>24</v>
      </c>
      <c r="G16">
        <v>32400</v>
      </c>
      <c r="H16" s="76"/>
      <c r="I16" s="9"/>
      <c r="J16" s="9" t="s">
        <v>3498</v>
      </c>
      <c r="K16" s="2"/>
      <c r="L16" t="s">
        <v>26</v>
      </c>
      <c r="M16">
        <v>3.5</v>
      </c>
      <c r="N16" t="s">
        <v>36</v>
      </c>
    </row>
    <row r="17" spans="1:18" ht="33" customHeight="1">
      <c r="A17" s="7">
        <v>45762</v>
      </c>
      <c r="B17" s="8">
        <v>220</v>
      </c>
      <c r="C17" s="2" t="s">
        <v>38</v>
      </c>
      <c r="D17" s="7">
        <v>45731</v>
      </c>
      <c r="E17" s="2" t="s">
        <v>23</v>
      </c>
      <c r="F17" s="2" t="s">
        <v>24</v>
      </c>
      <c r="G17" s="2">
        <v>33210</v>
      </c>
      <c r="H17" s="76"/>
      <c r="I17" s="9"/>
      <c r="J17" s="9" t="s">
        <v>3499</v>
      </c>
      <c r="K17" s="2"/>
      <c r="L17" s="526" t="s">
        <v>72</v>
      </c>
      <c r="M17">
        <v>3.8</v>
      </c>
    </row>
    <row r="18" spans="1:18" ht="33" customHeight="1">
      <c r="A18" s="7">
        <v>45766</v>
      </c>
      <c r="B18" s="8">
        <v>220</v>
      </c>
      <c r="C18" s="2" t="s">
        <v>38</v>
      </c>
      <c r="D18" s="153">
        <v>45747</v>
      </c>
      <c r="E18" s="2" t="s">
        <v>23</v>
      </c>
      <c r="F18" s="2" t="s">
        <v>24</v>
      </c>
      <c r="G18" s="2">
        <v>33210</v>
      </c>
      <c r="H18" s="76"/>
      <c r="I18" s="9"/>
      <c r="J18" s="9" t="s">
        <v>3500</v>
      </c>
      <c r="L18" s="526" t="s">
        <v>72</v>
      </c>
      <c r="M18">
        <v>5.3</v>
      </c>
      <c r="R18" t="s">
        <v>36</v>
      </c>
    </row>
    <row r="19" spans="1:18" ht="33" customHeight="1">
      <c r="A19" s="153">
        <v>45777</v>
      </c>
      <c r="B19" s="154">
        <v>220</v>
      </c>
      <c r="C19" s="2" t="s">
        <v>41</v>
      </c>
      <c r="D19" s="153">
        <v>45763</v>
      </c>
      <c r="E19" s="2" t="s">
        <v>23</v>
      </c>
      <c r="F19" s="2" t="s">
        <v>24</v>
      </c>
      <c r="G19" s="2">
        <v>33977</v>
      </c>
      <c r="H19" s="76"/>
      <c r="I19" s="9"/>
      <c r="J19" s="9" t="s">
        <v>3501</v>
      </c>
      <c r="L19" t="s">
        <v>73</v>
      </c>
      <c r="M19">
        <v>3.4</v>
      </c>
    </row>
    <row r="20" spans="1:18" ht="33" customHeight="1">
      <c r="A20" s="153">
        <v>45792</v>
      </c>
      <c r="B20" s="154">
        <v>220</v>
      </c>
      <c r="C20" s="2" t="s">
        <v>41</v>
      </c>
      <c r="D20" s="153">
        <v>45777</v>
      </c>
      <c r="E20" s="2" t="s">
        <v>23</v>
      </c>
      <c r="F20" s="2" t="s">
        <v>24</v>
      </c>
      <c r="G20" s="2">
        <v>33977</v>
      </c>
      <c r="H20" s="76"/>
      <c r="I20" s="9"/>
      <c r="J20" s="9" t="s">
        <v>3502</v>
      </c>
      <c r="L20" t="s">
        <v>73</v>
      </c>
      <c r="M20">
        <v>4.2</v>
      </c>
    </row>
    <row r="21" spans="1:18" ht="33" customHeight="1">
      <c r="A21" s="153">
        <v>45819</v>
      </c>
      <c r="B21" s="154">
        <v>220</v>
      </c>
      <c r="C21" t="s">
        <v>44</v>
      </c>
      <c r="D21" s="153">
        <v>45808</v>
      </c>
      <c r="E21" s="2" t="s">
        <v>23</v>
      </c>
      <c r="F21" s="2" t="s">
        <v>24</v>
      </c>
      <c r="G21">
        <v>34880</v>
      </c>
      <c r="H21" s="76"/>
      <c r="I21" s="9"/>
      <c r="J21" s="9" t="s">
        <v>3503</v>
      </c>
      <c r="L21" t="s">
        <v>73</v>
      </c>
      <c r="M21">
        <v>5.3</v>
      </c>
      <c r="R21" t="s">
        <v>3504</v>
      </c>
    </row>
    <row r="22" spans="1:18" ht="33" customHeight="1">
      <c r="A22" s="153">
        <v>45835</v>
      </c>
      <c r="B22" s="154">
        <v>220</v>
      </c>
      <c r="C22" t="s">
        <v>44</v>
      </c>
      <c r="D22" s="153">
        <v>45792</v>
      </c>
      <c r="E22" s="2" t="s">
        <v>23</v>
      </c>
      <c r="F22" s="2" t="s">
        <v>24</v>
      </c>
      <c r="G22">
        <v>34880</v>
      </c>
      <c r="H22" s="76"/>
      <c r="I22" s="9"/>
      <c r="J22" s="9" t="s">
        <v>3505</v>
      </c>
      <c r="L22" s="526" t="s">
        <v>72</v>
      </c>
      <c r="M22">
        <v>4.7</v>
      </c>
    </row>
    <row r="23" spans="1:18" ht="33" customHeight="1">
      <c r="A23" s="153">
        <v>45868</v>
      </c>
      <c r="B23" s="154">
        <v>220</v>
      </c>
      <c r="C23" t="s">
        <v>57</v>
      </c>
      <c r="D23" s="153">
        <v>45824</v>
      </c>
      <c r="E23" s="2" t="s">
        <v>23</v>
      </c>
      <c r="F23" s="2" t="s">
        <v>24</v>
      </c>
      <c r="G23">
        <v>35696</v>
      </c>
      <c r="H23" s="76"/>
      <c r="I23" s="9"/>
      <c r="J23" s="9" t="s">
        <v>3506</v>
      </c>
      <c r="L23" t="s">
        <v>73</v>
      </c>
      <c r="M23">
        <v>6.7</v>
      </c>
    </row>
    <row r="24" spans="1:18" ht="33" customHeight="1">
      <c r="A24" s="153">
        <v>45888</v>
      </c>
      <c r="B24" s="154">
        <v>220</v>
      </c>
      <c r="C24" t="s">
        <v>57</v>
      </c>
      <c r="D24" s="153">
        <v>45835</v>
      </c>
      <c r="E24" s="2" t="s">
        <v>23</v>
      </c>
      <c r="F24" s="2" t="s">
        <v>24</v>
      </c>
      <c r="G24">
        <v>35696</v>
      </c>
      <c r="H24" s="76"/>
      <c r="I24" s="9"/>
      <c r="J24" s="9" t="s">
        <v>3507</v>
      </c>
      <c r="L24" t="s">
        <v>73</v>
      </c>
      <c r="M24">
        <v>8.5</v>
      </c>
    </row>
    <row r="25" spans="1:18" ht="30.75">
      <c r="A25" s="153">
        <v>45898</v>
      </c>
      <c r="B25" s="154">
        <v>220</v>
      </c>
      <c r="C25" t="s">
        <v>47</v>
      </c>
      <c r="D25" s="153">
        <v>45854</v>
      </c>
      <c r="E25" s="2" t="s">
        <v>23</v>
      </c>
      <c r="F25" s="2" t="s">
        <v>24</v>
      </c>
      <c r="G25">
        <v>36520</v>
      </c>
      <c r="H25" s="76"/>
      <c r="I25" s="9"/>
      <c r="J25" s="9" t="s">
        <v>3508</v>
      </c>
      <c r="L25" t="s">
        <v>73</v>
      </c>
      <c r="M25">
        <v>4.5</v>
      </c>
    </row>
    <row r="26" spans="1:18" ht="30.75">
      <c r="A26" s="153">
        <v>45930</v>
      </c>
      <c r="B26" s="154">
        <v>220</v>
      </c>
      <c r="C26" t="s">
        <v>47</v>
      </c>
      <c r="D26" s="153">
        <v>45868</v>
      </c>
      <c r="E26" s="2" t="s">
        <v>23</v>
      </c>
      <c r="F26" s="2" t="s">
        <v>24</v>
      </c>
      <c r="G26">
        <v>36520</v>
      </c>
      <c r="H26" s="76"/>
      <c r="I26" s="9"/>
      <c r="J26" s="9" t="s">
        <v>3509</v>
      </c>
      <c r="L26" t="s">
        <v>73</v>
      </c>
      <c r="M26">
        <v>6</v>
      </c>
    </row>
    <row r="27" spans="1:18" ht="45.75">
      <c r="A27" s="153">
        <v>46135</v>
      </c>
      <c r="B27" s="154">
        <v>220</v>
      </c>
      <c r="C27" t="s">
        <v>50</v>
      </c>
      <c r="D27" s="153">
        <v>45898</v>
      </c>
      <c r="E27" s="2" t="s">
        <v>23</v>
      </c>
      <c r="F27" s="2" t="s">
        <v>24</v>
      </c>
      <c r="G27">
        <v>37269</v>
      </c>
      <c r="H27" s="76"/>
      <c r="I27" s="9"/>
      <c r="J27">
        <v>51343</v>
      </c>
      <c r="L27" s="535" t="s">
        <v>3510</v>
      </c>
      <c r="M27">
        <v>8.5</v>
      </c>
    </row>
    <row r="28" spans="1:18" ht="30.75">
      <c r="B28" s="154">
        <v>220</v>
      </c>
      <c r="C28" t="s">
        <v>50</v>
      </c>
      <c r="D28" s="153">
        <v>45885</v>
      </c>
      <c r="E28" s="2" t="s">
        <v>23</v>
      </c>
      <c r="F28" s="2" t="s">
        <v>24</v>
      </c>
      <c r="G28">
        <v>37269</v>
      </c>
      <c r="H28" s="76"/>
      <c r="I28" s="9"/>
      <c r="J28">
        <v>51323</v>
      </c>
      <c r="L28" s="567" t="s">
        <v>1805</v>
      </c>
      <c r="M28">
        <v>7.3</v>
      </c>
    </row>
    <row r="29" spans="1:18" ht="30.75">
      <c r="E29" s="2" t="s">
        <v>23</v>
      </c>
      <c r="H29" s="76"/>
      <c r="I29" s="9"/>
    </row>
    <row r="30" spans="1:18" ht="30.75">
      <c r="E30" s="2" t="s">
        <v>23</v>
      </c>
      <c r="H30" s="76"/>
      <c r="I30" s="9"/>
    </row>
    <row r="31" spans="1:18" ht="30.75">
      <c r="E31" s="2" t="s">
        <v>23</v>
      </c>
      <c r="H31" s="76"/>
      <c r="I31" s="9"/>
    </row>
    <row r="32" spans="1:18" ht="30.75">
      <c r="A32" s="526"/>
      <c r="B32" s="526"/>
      <c r="C32" s="526"/>
      <c r="D32" s="526"/>
      <c r="E32" s="2" t="s">
        <v>23</v>
      </c>
      <c r="F32" s="526"/>
      <c r="G32" s="526"/>
      <c r="H32" s="527"/>
      <c r="I32" s="526"/>
      <c r="J32" s="526"/>
      <c r="K32" s="526"/>
      <c r="L32" s="526"/>
      <c r="M32" s="526"/>
    </row>
    <row r="33" spans="1:13" ht="30.75">
      <c r="A33" s="526"/>
      <c r="B33" s="526"/>
      <c r="C33" s="526"/>
      <c r="D33" s="526"/>
      <c r="E33" s="2" t="s">
        <v>23</v>
      </c>
      <c r="F33" s="526"/>
      <c r="G33" s="526"/>
      <c r="H33" s="527"/>
      <c r="I33" s="526"/>
      <c r="J33" s="526"/>
      <c r="K33" s="526"/>
      <c r="L33" s="526"/>
      <c r="M33" s="526"/>
    </row>
    <row r="34" spans="1:13" ht="30.75">
      <c r="A34" s="526"/>
      <c r="B34" s="526"/>
      <c r="C34" s="526"/>
      <c r="D34" s="526"/>
      <c r="E34" s="2" t="s">
        <v>23</v>
      </c>
      <c r="F34" s="526"/>
      <c r="G34" s="526"/>
      <c r="H34" s="527"/>
      <c r="I34" s="526"/>
      <c r="J34" s="526"/>
      <c r="K34" s="526"/>
      <c r="L34" s="526"/>
      <c r="M34" s="526"/>
    </row>
    <row r="35" spans="1:13" ht="30.75">
      <c r="A35" s="526"/>
      <c r="B35" s="526"/>
      <c r="C35" s="526"/>
      <c r="D35" s="526"/>
      <c r="E35" s="2" t="s">
        <v>23</v>
      </c>
      <c r="F35" s="526"/>
      <c r="G35" s="526"/>
      <c r="H35" s="527"/>
      <c r="I35" s="526"/>
      <c r="J35" s="526"/>
      <c r="K35" s="526"/>
      <c r="L35" s="526"/>
      <c r="M35" s="526"/>
    </row>
    <row r="36" spans="1:13" ht="30.75">
      <c r="A36" s="526"/>
      <c r="B36" s="526"/>
      <c r="C36" s="526"/>
      <c r="D36" s="526"/>
      <c r="E36" s="2" t="s">
        <v>23</v>
      </c>
      <c r="F36" s="526"/>
      <c r="G36" s="526"/>
      <c r="H36" s="527"/>
      <c r="I36" s="526"/>
      <c r="J36" s="526"/>
      <c r="K36" s="526"/>
      <c r="L36" s="526"/>
      <c r="M36" s="526"/>
    </row>
    <row r="37" spans="1:13" ht="30.75">
      <c r="A37" s="526"/>
      <c r="B37" s="526"/>
      <c r="C37" s="526"/>
      <c r="D37" s="526"/>
      <c r="E37" s="2" t="s">
        <v>23</v>
      </c>
      <c r="F37" s="526"/>
      <c r="G37" s="526"/>
      <c r="H37" s="527"/>
      <c r="I37" s="526"/>
      <c r="J37" s="526"/>
      <c r="K37" s="526"/>
      <c r="L37" s="526"/>
      <c r="M37" s="526"/>
    </row>
    <row r="38" spans="1:13" ht="30.75">
      <c r="A38" s="526"/>
      <c r="B38" s="526"/>
      <c r="C38" s="526"/>
      <c r="D38" s="526"/>
      <c r="E38" s="2" t="s">
        <v>23</v>
      </c>
      <c r="F38" s="526"/>
      <c r="G38" s="526"/>
      <c r="H38" s="527"/>
      <c r="I38" s="526"/>
      <c r="J38" s="526"/>
      <c r="K38" s="526"/>
      <c r="L38" s="526"/>
      <c r="M38" s="526"/>
    </row>
    <row r="39" spans="1:13" ht="30.75">
      <c r="A39" s="526"/>
      <c r="B39" s="526"/>
      <c r="C39" s="526"/>
      <c r="D39" s="526"/>
      <c r="E39" s="2" t="s">
        <v>23</v>
      </c>
      <c r="F39" s="526"/>
      <c r="G39" s="526"/>
      <c r="H39" s="527"/>
      <c r="I39" s="526"/>
      <c r="J39" s="526"/>
      <c r="K39" s="526"/>
      <c r="L39" s="526"/>
      <c r="M39" s="526"/>
    </row>
    <row r="40" spans="1:13" ht="30.75">
      <c r="A40" s="526"/>
      <c r="B40" s="526"/>
      <c r="C40" s="526"/>
      <c r="D40" s="526"/>
      <c r="E40" s="2" t="s">
        <v>23</v>
      </c>
      <c r="F40" s="526"/>
      <c r="G40" s="526"/>
      <c r="H40" s="527"/>
      <c r="I40" s="526"/>
      <c r="J40" s="526"/>
      <c r="K40" s="526"/>
      <c r="L40" s="526"/>
      <c r="M40" s="526"/>
    </row>
    <row r="41" spans="1:13" ht="30.75">
      <c r="A41" s="526"/>
      <c r="B41" s="526"/>
      <c r="C41" s="526"/>
      <c r="D41" s="526"/>
      <c r="E41" s="2" t="s">
        <v>23</v>
      </c>
      <c r="F41" s="526"/>
      <c r="G41" s="526"/>
      <c r="H41" s="527"/>
      <c r="I41" s="526"/>
      <c r="J41" s="526"/>
      <c r="K41" s="526"/>
      <c r="L41" s="526"/>
      <c r="M41" s="526"/>
    </row>
    <row r="434" spans="2:3">
      <c r="B434" t="s">
        <v>2286</v>
      </c>
      <c r="C434" t="s">
        <v>2287</v>
      </c>
    </row>
  </sheetData>
  <mergeCells count="7">
    <mergeCell ref="B5:C5"/>
    <mergeCell ref="G5:M5"/>
    <mergeCell ref="A1:F1"/>
    <mergeCell ref="B2:F2"/>
    <mergeCell ref="H2:K2"/>
    <mergeCell ref="B4:E4"/>
    <mergeCell ref="B3:G3"/>
  </mergeCells>
  <dataValidations count="2">
    <dataValidation type="list" allowBlank="1" showInputMessage="1" showErrorMessage="1" sqref="F10:F41" xr:uid="{1FE4F024-299D-477F-91DE-5D46B88EDE3C}">
      <formula1>"EFECTIVO, CHEQUE, TRANSFERENCIA,DEPOSITO"</formula1>
    </dataValidation>
    <dataValidation type="list" allowBlank="1" showInputMessage="1" showErrorMessage="1" sqref="C10:C41" xr:uid="{95F5C9DE-88D2-4636-84A1-3DFBF8C724BB}">
      <formula1>"ENERO,FEBRERO,MARZO,ABRIL,MAYO,JUNIO,JULIO,AGOSTO,SEPTIEMBRE,OCTUBRE,NOVIEMBRE,DICIEMBRE"</formula1>
    </dataValidation>
  </dataValidations>
  <hyperlinks>
    <hyperlink ref="B4:E4" r:id="rId1" display="Jr_2080@hotmail.com" xr:uid="{1007A219-5A31-41B3-9014-1F73536503CE}"/>
  </hyperlinks>
  <pageMargins left="0.7" right="0.7" top="0.75" bottom="0.75" header="0.3" footer="0.3"/>
  <tableParts count="1">
    <tablePart r:id="rId2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2422-1181-4781-92BC-553456A559A0}">
  <dimension ref="A1:R433"/>
  <sheetViews>
    <sheetView topLeftCell="A20" workbookViewId="0">
      <selection activeCell="R34" sqref="R34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7" width="9.140625" bestFit="1" customWidth="1"/>
    <col min="8" max="8" width="9.7109375" bestFit="1" customWidth="1"/>
    <col min="9" max="10" width="9.140625" bestFit="1" customWidth="1"/>
    <col min="11" max="11" width="15.28515625" customWidth="1"/>
    <col min="12" max="12" width="10.7109375" customWidth="1"/>
  </cols>
  <sheetData>
    <row r="1" spans="1:14" ht="23.25" customHeight="1">
      <c r="A1" s="789" t="s">
        <v>3511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3512</v>
      </c>
      <c r="C2" s="790"/>
      <c r="D2" s="790"/>
      <c r="E2" s="790"/>
      <c r="F2" s="790"/>
      <c r="G2" s="256"/>
      <c r="H2" s="810" t="s">
        <v>3513</v>
      </c>
      <c r="I2" s="810"/>
      <c r="J2" s="810"/>
      <c r="K2" s="810"/>
      <c r="L2" s="810"/>
    </row>
    <row r="3" spans="1:14" ht="15.75" customHeight="1">
      <c r="A3" s="2" t="s">
        <v>1</v>
      </c>
      <c r="B3" s="2">
        <v>20611467410</v>
      </c>
      <c r="F3" s="637"/>
      <c r="G3" s="637"/>
      <c r="H3" s="810"/>
      <c r="I3" s="810"/>
      <c r="J3" s="810"/>
      <c r="K3" s="810"/>
      <c r="L3" s="810"/>
      <c r="M3" s="637"/>
    </row>
    <row r="4" spans="1:14" ht="15" customHeight="1">
      <c r="A4" s="2" t="s">
        <v>2277</v>
      </c>
      <c r="B4" s="809" t="s">
        <v>3514</v>
      </c>
      <c r="C4" s="796"/>
      <c r="D4" s="796"/>
      <c r="E4" s="796"/>
    </row>
    <row r="5" spans="1:14" ht="23.25" customHeight="1">
      <c r="A5" s="257" t="s">
        <v>4</v>
      </c>
      <c r="B5" s="786">
        <v>45614</v>
      </c>
      <c r="C5" s="787"/>
      <c r="F5" s="258"/>
      <c r="G5" s="788" t="s">
        <v>3515</v>
      </c>
      <c r="H5" s="788"/>
      <c r="I5" s="788"/>
      <c r="J5" s="788"/>
      <c r="K5" s="788"/>
      <c r="L5" s="788"/>
      <c r="M5" s="788"/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45626</v>
      </c>
      <c r="B10" s="8">
        <v>100</v>
      </c>
      <c r="C10" s="2" t="s">
        <v>27</v>
      </c>
      <c r="D10" s="153">
        <v>45626</v>
      </c>
      <c r="E10" s="2" t="s">
        <v>23</v>
      </c>
      <c r="F10" s="2" t="s">
        <v>24</v>
      </c>
      <c r="G10" s="2" t="s">
        <v>36</v>
      </c>
      <c r="H10" s="9" t="s">
        <v>3516</v>
      </c>
      <c r="I10" s="9" t="s">
        <v>3491</v>
      </c>
      <c r="J10" s="9" t="s">
        <v>3517</v>
      </c>
      <c r="K10" s="2">
        <v>44314</v>
      </c>
      <c r="M10">
        <v>4.5199999999999996</v>
      </c>
    </row>
    <row r="11" spans="1:14" ht="30.75">
      <c r="A11" s="7">
        <v>45656</v>
      </c>
      <c r="B11" s="8">
        <v>100</v>
      </c>
      <c r="C11" t="s">
        <v>30</v>
      </c>
      <c r="D11" s="153">
        <v>45656</v>
      </c>
      <c r="E11" s="2" t="s">
        <v>23</v>
      </c>
      <c r="F11" s="2" t="s">
        <v>24</v>
      </c>
      <c r="H11" s="76" t="s">
        <v>3518</v>
      </c>
      <c r="I11" s="9"/>
      <c r="J11" s="9" t="s">
        <v>3519</v>
      </c>
      <c r="K11" s="2">
        <v>45461</v>
      </c>
      <c r="L11" t="s">
        <v>72</v>
      </c>
      <c r="M11">
        <v>3.5</v>
      </c>
    </row>
    <row r="12" spans="1:14" ht="30.75">
      <c r="A12" s="7">
        <v>45688</v>
      </c>
      <c r="B12" s="8">
        <v>100</v>
      </c>
      <c r="C12" t="s">
        <v>32</v>
      </c>
      <c r="D12" s="153">
        <v>45688</v>
      </c>
      <c r="E12" s="2" t="s">
        <v>23</v>
      </c>
      <c r="F12" s="2" t="s">
        <v>28</v>
      </c>
      <c r="H12" s="76" t="s">
        <v>3520</v>
      </c>
      <c r="I12" s="9"/>
      <c r="J12" s="9" t="s">
        <v>3521</v>
      </c>
      <c r="K12" s="2"/>
      <c r="L12" t="s">
        <v>26</v>
      </c>
      <c r="M12">
        <v>3.5</v>
      </c>
    </row>
    <row r="13" spans="1:14" ht="30.75">
      <c r="A13" s="153">
        <v>45747</v>
      </c>
      <c r="B13" s="8">
        <v>100</v>
      </c>
      <c r="C13" t="s">
        <v>38</v>
      </c>
      <c r="D13" s="153">
        <v>45747</v>
      </c>
      <c r="E13" s="2" t="s">
        <v>23</v>
      </c>
      <c r="F13" s="2" t="s">
        <v>24</v>
      </c>
      <c r="H13" s="76" t="s">
        <v>3522</v>
      </c>
      <c r="I13" s="9"/>
      <c r="J13" s="9" t="s">
        <v>3523</v>
      </c>
      <c r="K13" s="2"/>
      <c r="L13" t="s">
        <v>72</v>
      </c>
      <c r="M13">
        <v>4.5</v>
      </c>
    </row>
    <row r="14" spans="1:14" ht="30.75">
      <c r="A14" s="153">
        <v>45777</v>
      </c>
      <c r="B14" s="8">
        <v>100</v>
      </c>
      <c r="C14" t="s">
        <v>41</v>
      </c>
      <c r="D14" s="153">
        <v>45777</v>
      </c>
      <c r="E14" s="2" t="s">
        <v>23</v>
      </c>
      <c r="F14" s="2" t="s">
        <v>24</v>
      </c>
      <c r="H14" s="76" t="s">
        <v>3524</v>
      </c>
      <c r="I14" s="9"/>
      <c r="J14" s="9" t="s">
        <v>3525</v>
      </c>
      <c r="K14" s="2"/>
      <c r="L14" t="s">
        <v>72</v>
      </c>
      <c r="M14">
        <v>3.5</v>
      </c>
    </row>
    <row r="15" spans="1:14" ht="30.75">
      <c r="A15" s="153">
        <v>45810</v>
      </c>
      <c r="B15" s="8">
        <v>100</v>
      </c>
      <c r="C15" t="s">
        <v>44</v>
      </c>
      <c r="D15" s="153">
        <v>45808</v>
      </c>
      <c r="E15" s="2" t="s">
        <v>23</v>
      </c>
      <c r="F15" s="2" t="s">
        <v>24</v>
      </c>
      <c r="H15" s="76" t="s">
        <v>3526</v>
      </c>
      <c r="I15" s="9"/>
      <c r="J15" s="9" t="s">
        <v>3527</v>
      </c>
      <c r="K15" s="2"/>
      <c r="L15" t="s">
        <v>192</v>
      </c>
      <c r="M15">
        <v>6.5</v>
      </c>
      <c r="N15" t="s">
        <v>36</v>
      </c>
    </row>
    <row r="16" spans="1:14" ht="30.75">
      <c r="A16" s="7">
        <v>45835</v>
      </c>
      <c r="B16" s="8">
        <v>100</v>
      </c>
      <c r="C16" t="s">
        <v>57</v>
      </c>
      <c r="D16" s="7">
        <v>45835</v>
      </c>
      <c r="E16" s="2" t="s">
        <v>23</v>
      </c>
      <c r="F16" s="2" t="s">
        <v>24</v>
      </c>
      <c r="G16" s="2"/>
      <c r="H16" s="76" t="s">
        <v>3528</v>
      </c>
      <c r="I16" s="9"/>
      <c r="J16" s="9" t="s">
        <v>3529</v>
      </c>
      <c r="K16" s="2"/>
      <c r="L16" t="s">
        <v>192</v>
      </c>
      <c r="M16">
        <v>4.5</v>
      </c>
    </row>
    <row r="17" spans="1:18" ht="30.75">
      <c r="A17" s="7">
        <v>45874</v>
      </c>
      <c r="B17" s="8">
        <v>100</v>
      </c>
      <c r="C17" t="s">
        <v>47</v>
      </c>
      <c r="D17" s="153">
        <v>45868</v>
      </c>
      <c r="E17" s="2" t="s">
        <v>23</v>
      </c>
      <c r="F17" s="2" t="s">
        <v>24</v>
      </c>
      <c r="H17" s="76" t="s">
        <v>3530</v>
      </c>
      <c r="I17" s="9"/>
      <c r="J17" s="9" t="s">
        <v>3531</v>
      </c>
      <c r="L17" t="s">
        <v>3532</v>
      </c>
      <c r="M17">
        <v>4.8</v>
      </c>
      <c r="R17" t="s">
        <v>36</v>
      </c>
    </row>
    <row r="18" spans="1:18" ht="30.75">
      <c r="A18" s="153">
        <v>45901</v>
      </c>
      <c r="B18" s="8">
        <v>100</v>
      </c>
      <c r="C18" t="s">
        <v>50</v>
      </c>
      <c r="D18" s="153">
        <v>45898</v>
      </c>
      <c r="E18" s="2" t="s">
        <v>23</v>
      </c>
      <c r="F18" s="2" t="s">
        <v>24</v>
      </c>
      <c r="H18" s="76" t="s">
        <v>3533</v>
      </c>
      <c r="I18" s="9"/>
      <c r="J18" s="9" t="s">
        <v>3534</v>
      </c>
      <c r="L18" t="s">
        <v>192</v>
      </c>
      <c r="M18">
        <v>4.5</v>
      </c>
    </row>
    <row r="19" spans="1:18" ht="30.75">
      <c r="A19" s="153">
        <v>45930</v>
      </c>
      <c r="B19" s="8">
        <v>100</v>
      </c>
      <c r="C19" t="s">
        <v>22</v>
      </c>
      <c r="D19" s="153">
        <v>45930</v>
      </c>
      <c r="E19" s="2" t="s">
        <v>23</v>
      </c>
      <c r="F19" s="2" t="s">
        <v>24</v>
      </c>
      <c r="H19" s="76" t="s">
        <v>3535</v>
      </c>
      <c r="I19" s="9"/>
      <c r="J19" s="9" t="s">
        <v>3536</v>
      </c>
      <c r="L19" t="s">
        <v>192</v>
      </c>
      <c r="M19">
        <v>4</v>
      </c>
    </row>
    <row r="20" spans="1:18" ht="30.75">
      <c r="A20" s="153">
        <v>45964</v>
      </c>
      <c r="B20" s="8">
        <v>100</v>
      </c>
      <c r="C20" t="s">
        <v>54</v>
      </c>
      <c r="D20" s="153">
        <v>45961</v>
      </c>
      <c r="E20" s="2" t="s">
        <v>23</v>
      </c>
      <c r="F20" s="2" t="s">
        <v>24</v>
      </c>
      <c r="H20" s="76" t="s">
        <v>3537</v>
      </c>
      <c r="I20" s="9"/>
      <c r="J20" s="9" t="s">
        <v>3538</v>
      </c>
      <c r="L20" t="s">
        <v>192</v>
      </c>
      <c r="M20">
        <v>5</v>
      </c>
    </row>
    <row r="21" spans="1:18" ht="30.75">
      <c r="A21" s="153">
        <v>45989</v>
      </c>
      <c r="B21" s="8">
        <v>100</v>
      </c>
      <c r="C21" t="s">
        <v>27</v>
      </c>
      <c r="D21" s="153">
        <v>45989</v>
      </c>
      <c r="E21" s="2" t="s">
        <v>23</v>
      </c>
      <c r="F21" s="2" t="s">
        <v>24</v>
      </c>
      <c r="H21" s="76" t="s">
        <v>3539</v>
      </c>
      <c r="I21" s="9"/>
      <c r="J21" s="9" t="s">
        <v>3540</v>
      </c>
      <c r="L21" t="s">
        <v>192</v>
      </c>
      <c r="M21">
        <v>3.5</v>
      </c>
    </row>
    <row r="22" spans="1:18" ht="30.75">
      <c r="A22" s="153">
        <v>46027</v>
      </c>
      <c r="B22" s="8">
        <v>100</v>
      </c>
      <c r="C22" t="s">
        <v>30</v>
      </c>
      <c r="D22" s="153">
        <v>46020</v>
      </c>
      <c r="E22" s="2" t="s">
        <v>23</v>
      </c>
      <c r="F22" s="2" t="s">
        <v>24</v>
      </c>
      <c r="H22" s="76" t="s">
        <v>3541</v>
      </c>
      <c r="I22" s="9"/>
      <c r="J22" s="9" t="s">
        <v>3542</v>
      </c>
      <c r="L22" t="s">
        <v>192</v>
      </c>
      <c r="M22">
        <v>5.4</v>
      </c>
    </row>
    <row r="23" spans="1:18" ht="30.75">
      <c r="A23" s="153">
        <v>46060</v>
      </c>
      <c r="B23" s="8">
        <v>100</v>
      </c>
      <c r="C23" t="s">
        <v>32</v>
      </c>
      <c r="D23" s="153">
        <v>46053</v>
      </c>
      <c r="E23" s="2" t="s">
        <v>23</v>
      </c>
      <c r="F23" s="2" t="s">
        <v>24</v>
      </c>
      <c r="H23" s="76" t="s">
        <v>3543</v>
      </c>
      <c r="I23" s="9"/>
      <c r="J23" s="9" t="s">
        <v>3544</v>
      </c>
      <c r="L23" t="s">
        <v>192</v>
      </c>
      <c r="M23">
        <v>5.5</v>
      </c>
    </row>
    <row r="24" spans="1:18" ht="30.75">
      <c r="A24" s="153">
        <v>46087</v>
      </c>
      <c r="B24" s="8">
        <v>100</v>
      </c>
      <c r="C24" t="s">
        <v>34</v>
      </c>
      <c r="D24" s="153">
        <v>46081</v>
      </c>
      <c r="E24" s="2" t="s">
        <v>23</v>
      </c>
      <c r="F24" s="2" t="s">
        <v>24</v>
      </c>
      <c r="H24" s="76" t="s">
        <v>3545</v>
      </c>
      <c r="I24" s="9"/>
      <c r="J24" s="9" t="s">
        <v>3546</v>
      </c>
      <c r="L24" t="s">
        <v>192</v>
      </c>
      <c r="M24">
        <v>3.5</v>
      </c>
    </row>
    <row r="25" spans="1:18" ht="30.75">
      <c r="A25" s="153">
        <v>46113</v>
      </c>
      <c r="B25" s="8">
        <v>100</v>
      </c>
      <c r="C25" t="s">
        <v>38</v>
      </c>
      <c r="D25" s="153">
        <v>46112</v>
      </c>
      <c r="E25" s="2" t="s">
        <v>23</v>
      </c>
      <c r="F25" s="2" t="s">
        <v>24</v>
      </c>
      <c r="H25" s="76" t="s">
        <v>3547</v>
      </c>
      <c r="I25" s="9"/>
      <c r="J25" s="9" t="s">
        <v>3548</v>
      </c>
      <c r="L25" t="s">
        <v>192</v>
      </c>
      <c r="M25">
        <v>3.1</v>
      </c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6">
    <mergeCell ref="B5:C5"/>
    <mergeCell ref="G5:M5"/>
    <mergeCell ref="A1:F1"/>
    <mergeCell ref="B2:F2"/>
    <mergeCell ref="B4:E4"/>
    <mergeCell ref="H2:L3"/>
  </mergeCells>
  <dataValidations count="2">
    <dataValidation type="list" allowBlank="1" showInputMessage="1" showErrorMessage="1" sqref="C10:C30" xr:uid="{7BDA2817-F0C5-4A8A-A4E7-4585DD9B3C94}">
      <formula1>"ENERO,FEBRERO,MARZO,ABRIL,MAYO,JUNIO,JULIO,AGOSTO,SEPTIEMBRE,OCTUBRE,NOVIEMBRE,DICIEMBRE"</formula1>
    </dataValidation>
    <dataValidation type="list" allowBlank="1" showInputMessage="1" showErrorMessage="1" sqref="F10:F30" xr:uid="{BB799025-E22E-4923-A828-D9C1F977400C}">
      <formula1>"EFECTIVO, CHEQUE, TRANSFERENCIA,DEPOSITO"</formula1>
    </dataValidation>
  </dataValidations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64E9-587E-4E72-875A-15D6F4093102}">
  <dimension ref="A1:R433"/>
  <sheetViews>
    <sheetView topLeftCell="A20" workbookViewId="0">
      <selection activeCell="S37" sqref="S37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0.7109375" customWidth="1"/>
  </cols>
  <sheetData>
    <row r="1" spans="1:14" ht="23.25" customHeight="1">
      <c r="A1" s="789" t="s">
        <v>3549</v>
      </c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</row>
    <row r="2" spans="1:14" ht="18.75" customHeight="1">
      <c r="A2" s="2" t="s">
        <v>1729</v>
      </c>
      <c r="B2" s="790" t="s">
        <v>3550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20608833766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8" t="s">
        <v>3551</v>
      </c>
      <c r="C4" s="798"/>
      <c r="D4" s="798"/>
      <c r="E4" s="798"/>
    </row>
    <row r="5" spans="1:14" ht="23.25" customHeight="1">
      <c r="A5" s="257" t="s">
        <v>4</v>
      </c>
      <c r="B5" s="786">
        <v>45694</v>
      </c>
      <c r="C5" s="787"/>
      <c r="F5" s="258"/>
      <c r="G5" s="788" t="s">
        <v>3257</v>
      </c>
      <c r="H5" s="788"/>
      <c r="I5" s="788"/>
      <c r="J5" s="788"/>
      <c r="K5" s="788"/>
      <c r="L5" s="788"/>
      <c r="M5" s="788"/>
    </row>
    <row r="7" spans="1:14">
      <c r="H7" t="s">
        <v>3552</v>
      </c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45694</v>
      </c>
      <c r="B10" s="8">
        <v>120</v>
      </c>
      <c r="C10" s="2" t="s">
        <v>34</v>
      </c>
      <c r="D10" s="153">
        <v>45716</v>
      </c>
      <c r="E10" s="2" t="s">
        <v>23</v>
      </c>
      <c r="F10" s="2" t="s">
        <v>24</v>
      </c>
      <c r="G10" s="2" t="s">
        <v>36</v>
      </c>
      <c r="H10" s="9" t="s">
        <v>3553</v>
      </c>
      <c r="I10" s="9"/>
      <c r="J10" s="9" t="s">
        <v>3554</v>
      </c>
      <c r="K10" s="2" t="s">
        <v>36</v>
      </c>
      <c r="L10" t="s">
        <v>72</v>
      </c>
      <c r="M10">
        <v>8.6999999999999993</v>
      </c>
    </row>
    <row r="11" spans="1:14" ht="30.75">
      <c r="A11" s="7">
        <v>45747</v>
      </c>
      <c r="B11" s="8">
        <v>120</v>
      </c>
      <c r="C11" t="s">
        <v>38</v>
      </c>
      <c r="D11" s="153">
        <v>45747</v>
      </c>
      <c r="E11" s="2" t="s">
        <v>23</v>
      </c>
      <c r="F11" s="2" t="s">
        <v>24</v>
      </c>
      <c r="H11" s="76" t="s">
        <v>3555</v>
      </c>
      <c r="I11" s="9"/>
      <c r="J11" s="9" t="s">
        <v>3556</v>
      </c>
      <c r="K11" s="2"/>
      <c r="L11" t="s">
        <v>72</v>
      </c>
      <c r="M11">
        <v>3.2</v>
      </c>
    </row>
    <row r="12" spans="1:14" ht="30.75">
      <c r="A12" s="7">
        <v>45777</v>
      </c>
      <c r="B12" s="8">
        <v>120</v>
      </c>
      <c r="C12" t="s">
        <v>41</v>
      </c>
      <c r="D12" s="153">
        <v>45777</v>
      </c>
      <c r="E12" s="2" t="s">
        <v>23</v>
      </c>
      <c r="F12" s="2" t="s">
        <v>24</v>
      </c>
      <c r="H12" s="76" t="s">
        <v>3557</v>
      </c>
      <c r="I12" s="9"/>
      <c r="J12" s="9" t="s">
        <v>3558</v>
      </c>
      <c r="K12" s="2"/>
      <c r="L12" t="s">
        <v>72</v>
      </c>
      <c r="M12">
        <v>2.1</v>
      </c>
    </row>
    <row r="13" spans="1:14" ht="30.75">
      <c r="A13" s="153">
        <v>45810</v>
      </c>
      <c r="B13" s="8">
        <v>120</v>
      </c>
      <c r="C13" t="s">
        <v>44</v>
      </c>
      <c r="D13" s="153">
        <v>45808</v>
      </c>
      <c r="E13" s="2" t="s">
        <v>23</v>
      </c>
      <c r="F13" s="2" t="s">
        <v>24</v>
      </c>
      <c r="H13" s="76" t="s">
        <v>3559</v>
      </c>
      <c r="I13" s="9"/>
      <c r="J13" s="9" t="s">
        <v>3560</v>
      </c>
      <c r="K13" s="2"/>
      <c r="L13" t="s">
        <v>72</v>
      </c>
      <c r="M13">
        <v>5.2</v>
      </c>
    </row>
    <row r="14" spans="1:14" ht="30.75">
      <c r="A14" s="153">
        <v>45835</v>
      </c>
      <c r="B14" s="8">
        <v>120</v>
      </c>
      <c r="C14" t="s">
        <v>57</v>
      </c>
      <c r="D14" s="153">
        <v>45835</v>
      </c>
      <c r="E14" s="2" t="s">
        <v>23</v>
      </c>
      <c r="F14" s="2" t="s">
        <v>24</v>
      </c>
      <c r="H14" s="76" t="s">
        <v>3561</v>
      </c>
      <c r="I14" s="9"/>
      <c r="J14" s="9" t="s">
        <v>3562</v>
      </c>
      <c r="K14" s="2"/>
      <c r="L14" t="s">
        <v>72</v>
      </c>
      <c r="M14">
        <v>2.2999999999999998</v>
      </c>
    </row>
    <row r="15" spans="1:14" ht="30.75">
      <c r="A15" s="153">
        <v>45869</v>
      </c>
      <c r="B15" s="8">
        <v>120</v>
      </c>
      <c r="C15" t="s">
        <v>47</v>
      </c>
      <c r="D15" s="153">
        <v>45868</v>
      </c>
      <c r="E15" s="2" t="s">
        <v>23</v>
      </c>
      <c r="F15" s="2" t="s">
        <v>24</v>
      </c>
      <c r="H15" s="76" t="s">
        <v>3563</v>
      </c>
      <c r="I15" s="9"/>
      <c r="J15" s="9" t="s">
        <v>3564</v>
      </c>
      <c r="K15" s="2"/>
      <c r="L15" t="s">
        <v>72</v>
      </c>
      <c r="M15">
        <v>3.5</v>
      </c>
      <c r="N15" t="s">
        <v>36</v>
      </c>
    </row>
    <row r="16" spans="1:14" ht="30.75">
      <c r="A16" s="7">
        <v>45898</v>
      </c>
      <c r="B16" s="8">
        <v>120</v>
      </c>
      <c r="C16" t="s">
        <v>50</v>
      </c>
      <c r="D16" s="7">
        <v>45898</v>
      </c>
      <c r="E16" s="2" t="s">
        <v>23</v>
      </c>
      <c r="F16" s="2" t="s">
        <v>24</v>
      </c>
      <c r="G16" s="2"/>
      <c r="H16" s="76" t="s">
        <v>3565</v>
      </c>
      <c r="I16" s="9"/>
      <c r="J16" s="9" t="s">
        <v>3566</v>
      </c>
      <c r="K16" s="2"/>
      <c r="L16" t="s">
        <v>72</v>
      </c>
      <c r="M16">
        <v>3</v>
      </c>
    </row>
    <row r="17" spans="1:18" ht="30.75">
      <c r="A17" s="7">
        <v>45930</v>
      </c>
      <c r="B17" s="8">
        <v>120</v>
      </c>
      <c r="C17" t="s">
        <v>22</v>
      </c>
      <c r="D17" s="153">
        <v>45930</v>
      </c>
      <c r="E17" s="2" t="s">
        <v>23</v>
      </c>
      <c r="F17" s="2" t="s">
        <v>24</v>
      </c>
      <c r="H17" s="76" t="s">
        <v>2107</v>
      </c>
      <c r="I17" s="9"/>
      <c r="J17" s="9" t="s">
        <v>3567</v>
      </c>
      <c r="L17" t="s">
        <v>72</v>
      </c>
      <c r="M17">
        <v>1</v>
      </c>
      <c r="R17" t="s">
        <v>36</v>
      </c>
    </row>
    <row r="18" spans="1:18" ht="30.75">
      <c r="A18" s="153">
        <v>45961</v>
      </c>
      <c r="B18" s="8">
        <v>120</v>
      </c>
      <c r="C18" t="s">
        <v>54</v>
      </c>
      <c r="D18" s="153">
        <v>45961</v>
      </c>
      <c r="E18" s="2" t="s">
        <v>23</v>
      </c>
      <c r="F18" s="2" t="s">
        <v>24</v>
      </c>
      <c r="H18" s="76" t="s">
        <v>2269</v>
      </c>
      <c r="I18" s="9"/>
      <c r="J18" s="9" t="s">
        <v>3568</v>
      </c>
      <c r="L18" t="s">
        <v>72</v>
      </c>
      <c r="M18">
        <v>1</v>
      </c>
    </row>
    <row r="19" spans="1:18" ht="30.75">
      <c r="A19" s="153">
        <v>45989</v>
      </c>
      <c r="B19" s="8">
        <v>120</v>
      </c>
      <c r="C19" t="s">
        <v>27</v>
      </c>
      <c r="D19" s="153">
        <v>45989</v>
      </c>
      <c r="E19" s="2" t="s">
        <v>23</v>
      </c>
      <c r="F19" s="2" t="s">
        <v>24</v>
      </c>
      <c r="H19" s="76" t="s">
        <v>3569</v>
      </c>
      <c r="I19" s="9"/>
      <c r="J19" s="9" t="s">
        <v>3570</v>
      </c>
      <c r="L19" t="s">
        <v>72</v>
      </c>
      <c r="M19">
        <v>1.5</v>
      </c>
    </row>
    <row r="20" spans="1:18" ht="30.75">
      <c r="A20" s="153">
        <v>46020</v>
      </c>
      <c r="B20" s="8">
        <v>120</v>
      </c>
      <c r="C20" t="s">
        <v>30</v>
      </c>
      <c r="D20" s="153">
        <v>46020</v>
      </c>
      <c r="E20" s="2" t="s">
        <v>23</v>
      </c>
      <c r="F20" s="2" t="s">
        <v>24</v>
      </c>
      <c r="H20" s="76" t="s">
        <v>3571</v>
      </c>
      <c r="I20" s="9"/>
      <c r="J20" s="9" t="s">
        <v>3572</v>
      </c>
      <c r="L20" t="s">
        <v>72</v>
      </c>
      <c r="M20">
        <v>1.5</v>
      </c>
    </row>
    <row r="21" spans="1:18" ht="30.75">
      <c r="A21" s="153">
        <v>46057</v>
      </c>
      <c r="B21" s="8">
        <v>120</v>
      </c>
      <c r="C21" t="s">
        <v>32</v>
      </c>
      <c r="D21" s="153">
        <v>46053</v>
      </c>
      <c r="E21" s="2" t="s">
        <v>23</v>
      </c>
      <c r="F21" s="2" t="s">
        <v>24</v>
      </c>
      <c r="H21" s="76" t="s">
        <v>3573</v>
      </c>
      <c r="I21" s="9"/>
      <c r="J21" s="9" t="s">
        <v>3574</v>
      </c>
      <c r="L21" t="s">
        <v>72</v>
      </c>
      <c r="M21" t="s">
        <v>1979</v>
      </c>
    </row>
    <row r="22" spans="1:18" ht="30.75">
      <c r="A22" s="153">
        <v>46084</v>
      </c>
      <c r="B22" s="8">
        <v>120</v>
      </c>
      <c r="C22" t="s">
        <v>34</v>
      </c>
      <c r="D22" s="153">
        <v>46081</v>
      </c>
      <c r="E22" s="2" t="s">
        <v>23</v>
      </c>
      <c r="F22" s="2" t="s">
        <v>24</v>
      </c>
      <c r="H22" s="76" t="s">
        <v>3575</v>
      </c>
      <c r="I22" s="9"/>
      <c r="J22" s="9" t="s">
        <v>3576</v>
      </c>
      <c r="L22" t="s">
        <v>72</v>
      </c>
      <c r="M22">
        <v>1.8</v>
      </c>
    </row>
    <row r="23" spans="1:18" ht="30.75">
      <c r="A23" s="153">
        <v>46112</v>
      </c>
      <c r="B23" s="8">
        <v>120</v>
      </c>
      <c r="C23" t="s">
        <v>38</v>
      </c>
      <c r="D23" s="153">
        <v>46112</v>
      </c>
      <c r="E23" s="2" t="s">
        <v>23</v>
      </c>
      <c r="F23" s="2" t="s">
        <v>24</v>
      </c>
      <c r="H23" s="76" t="s">
        <v>3577</v>
      </c>
      <c r="I23" s="9"/>
      <c r="J23" s="9" t="s">
        <v>3578</v>
      </c>
      <c r="L23" t="s">
        <v>72</v>
      </c>
      <c r="M23">
        <v>1.1000000000000001</v>
      </c>
    </row>
    <row r="24" spans="1:18" ht="30.75">
      <c r="A24" s="153">
        <v>46142</v>
      </c>
      <c r="B24" s="8">
        <v>120</v>
      </c>
      <c r="C24" t="s">
        <v>41</v>
      </c>
      <c r="D24" s="153">
        <v>46141</v>
      </c>
      <c r="E24" s="2" t="s">
        <v>23</v>
      </c>
      <c r="F24" s="2" t="s">
        <v>24</v>
      </c>
      <c r="H24" s="76" t="s">
        <v>3579</v>
      </c>
      <c r="I24" s="9"/>
      <c r="J24" s="9" t="s">
        <v>3580</v>
      </c>
      <c r="L24" t="s">
        <v>72</v>
      </c>
      <c r="M24">
        <v>1</v>
      </c>
    </row>
    <row r="25" spans="1:18" ht="30.75">
      <c r="A25" s="153">
        <v>46171</v>
      </c>
      <c r="B25" s="8">
        <v>120</v>
      </c>
      <c r="C25" t="s">
        <v>44</v>
      </c>
      <c r="E25" s="2" t="s">
        <v>23</v>
      </c>
      <c r="F25" s="2" t="s">
        <v>24</v>
      </c>
      <c r="H25" s="76" t="s">
        <v>3581</v>
      </c>
      <c r="I25" s="9"/>
      <c r="J25" s="9"/>
      <c r="L25" t="s">
        <v>72</v>
      </c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A1:M1"/>
    <mergeCell ref="B5:C5"/>
    <mergeCell ref="G5:M5"/>
    <mergeCell ref="B2:F2"/>
    <mergeCell ref="H2:K2"/>
    <mergeCell ref="F3:M3"/>
    <mergeCell ref="B4:E4"/>
  </mergeCells>
  <dataValidations count="2">
    <dataValidation type="list" allowBlank="1" showInputMessage="1" showErrorMessage="1" sqref="F10:F30" xr:uid="{5687B553-E449-41A6-83A2-00DE94A58CA7}">
      <formula1>"EFECTIVO, CHEQUE, TRANSFERENCIA,DEPOSITO"</formula1>
    </dataValidation>
    <dataValidation type="list" allowBlank="1" showInputMessage="1" showErrorMessage="1" sqref="C10:C30" xr:uid="{1B9D1FE1-E378-43F6-9533-E8A2F25EA318}">
      <formula1>"ENERO,FEBRERO,MARZO,ABRIL,MAYO,JUNIO,JULIO,AGOSTO,SEPTIEMBRE,OCTUBRE,NOVIEMBRE,DICIEMBRE"</formula1>
    </dataValidation>
  </dataValidations>
  <hyperlinks>
    <hyperlink ref="B4:E4" r:id="rId1" display="Hernandezdonayremariafernanda@gmail.com" xr:uid="{AEA94FF6-9C3E-4D61-BA8E-CFB8FD693E61}"/>
  </hyperlinks>
  <pageMargins left="0.7" right="0.7" top="0.75" bottom="0.75" header="0.3" footer="0.3"/>
  <tableParts count="1">
    <tablePart r:id="rId2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1D39-7900-49DC-BC17-09CFCCC6E328}">
  <dimension ref="A1:S432"/>
  <sheetViews>
    <sheetView topLeftCell="A32" workbookViewId="0">
      <selection activeCell="O38" sqref="O38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140625" bestFit="1" customWidth="1"/>
    <col min="5" max="5" width="9.140625" bestFit="1" customWidth="1"/>
    <col min="6" max="6" width="10.7109375" customWidth="1"/>
    <col min="7" max="10" width="9.140625" bestFit="1" customWidth="1"/>
    <col min="11" max="11" width="9.140625" customWidth="1"/>
    <col min="12" max="12" width="15.28515625" customWidth="1"/>
    <col min="13" max="13" width="13.85546875" customWidth="1"/>
  </cols>
  <sheetData>
    <row r="1" spans="1:15" ht="23.25" customHeight="1">
      <c r="A1" s="789" t="s">
        <v>3582</v>
      </c>
      <c r="B1" s="789"/>
      <c r="C1" s="789"/>
      <c r="D1" s="789"/>
      <c r="E1" s="789"/>
      <c r="F1" s="789"/>
      <c r="G1" s="789"/>
      <c r="H1" s="789"/>
    </row>
    <row r="2" spans="1:15" ht="18.75" customHeight="1">
      <c r="A2" s="2" t="s">
        <v>1729</v>
      </c>
      <c r="B2" s="790" t="s">
        <v>3583</v>
      </c>
      <c r="C2" s="790"/>
      <c r="D2" s="790"/>
      <c r="E2" s="790"/>
      <c r="F2" s="790"/>
      <c r="G2" s="256"/>
      <c r="H2" s="693" t="s">
        <v>3584</v>
      </c>
      <c r="I2" s="693"/>
      <c r="J2" s="693"/>
      <c r="K2" s="693"/>
      <c r="L2" s="693"/>
    </row>
    <row r="3" spans="1:15" ht="15.75">
      <c r="A3" s="2" t="s">
        <v>1</v>
      </c>
      <c r="B3" s="811">
        <v>20608647709</v>
      </c>
      <c r="C3" s="811"/>
      <c r="D3" s="811"/>
      <c r="E3" s="811"/>
      <c r="F3" s="811"/>
      <c r="G3" s="637"/>
      <c r="H3" s="637"/>
      <c r="I3" s="637"/>
      <c r="J3" s="637" t="s">
        <v>36</v>
      </c>
      <c r="K3" s="637"/>
      <c r="L3" s="637" t="s">
        <v>36</v>
      </c>
      <c r="M3" s="637"/>
      <c r="N3" s="637"/>
    </row>
    <row r="4" spans="1:15" ht="15" customHeight="1">
      <c r="A4" s="2" t="s">
        <v>2277</v>
      </c>
      <c r="B4" s="798" t="s">
        <v>3585</v>
      </c>
      <c r="C4" s="798"/>
      <c r="D4" s="798"/>
      <c r="E4" s="798"/>
    </row>
    <row r="5" spans="1:15" ht="23.25" customHeight="1">
      <c r="A5" s="257" t="s">
        <v>4</v>
      </c>
      <c r="B5" s="786">
        <v>45721</v>
      </c>
      <c r="C5" s="787"/>
      <c r="F5" s="258"/>
      <c r="G5" s="806" t="s">
        <v>3586</v>
      </c>
      <c r="H5" s="788"/>
      <c r="I5" s="788"/>
      <c r="J5" s="788"/>
      <c r="K5" s="788"/>
      <c r="L5" s="788"/>
      <c r="M5" s="788"/>
      <c r="N5" s="788"/>
    </row>
    <row r="9" spans="1:15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2454</v>
      </c>
      <c r="L9" s="259" t="s">
        <v>18</v>
      </c>
      <c r="M9" s="265" t="s">
        <v>2779</v>
      </c>
      <c r="N9" s="260"/>
      <c r="O9" s="260"/>
    </row>
    <row r="10" spans="1:15" ht="30.75">
      <c r="A10" s="266">
        <v>45719</v>
      </c>
      <c r="B10" s="8"/>
      <c r="C10" s="2" t="s">
        <v>38</v>
      </c>
      <c r="D10" s="153">
        <v>45731</v>
      </c>
      <c r="E10" s="2" t="s">
        <v>23</v>
      </c>
      <c r="F10" s="2"/>
      <c r="G10" s="2"/>
      <c r="H10" s="9" t="s">
        <v>3587</v>
      </c>
      <c r="I10" s="9"/>
      <c r="J10" s="9" t="s">
        <v>3588</v>
      </c>
      <c r="K10" s="9"/>
      <c r="L10" s="2" t="s">
        <v>74</v>
      </c>
      <c r="M10">
        <v>245.25</v>
      </c>
    </row>
    <row r="11" spans="1:15" ht="30.75">
      <c r="A11" s="266">
        <v>45719</v>
      </c>
      <c r="B11" s="8" t="s">
        <v>3589</v>
      </c>
      <c r="C11" s="2" t="s">
        <v>38</v>
      </c>
      <c r="D11" s="153">
        <v>45744</v>
      </c>
      <c r="E11" s="2" t="s">
        <v>23</v>
      </c>
      <c r="F11" s="2"/>
      <c r="G11" s="2"/>
      <c r="H11" s="9" t="s">
        <v>3587</v>
      </c>
      <c r="I11" s="9"/>
      <c r="J11" s="9" t="s">
        <v>3590</v>
      </c>
      <c r="K11" s="9"/>
      <c r="L11" s="2" t="s">
        <v>74</v>
      </c>
      <c r="M11">
        <v>157.30000000000001</v>
      </c>
    </row>
    <row r="12" spans="1:15" ht="30.75">
      <c r="A12" s="266">
        <v>45805</v>
      </c>
      <c r="B12" s="8"/>
      <c r="C12" s="2" t="s">
        <v>41</v>
      </c>
      <c r="D12" s="153">
        <v>45763</v>
      </c>
      <c r="E12" s="2" t="s">
        <v>23</v>
      </c>
      <c r="F12" s="2"/>
      <c r="G12" s="2"/>
      <c r="H12" s="76" t="s">
        <v>3591</v>
      </c>
      <c r="I12" s="9"/>
      <c r="J12" s="9" t="s">
        <v>3592</v>
      </c>
      <c r="K12" s="9"/>
      <c r="L12" s="2" t="s">
        <v>73</v>
      </c>
      <c r="M12">
        <v>196.1</v>
      </c>
    </row>
    <row r="13" spans="1:15" ht="30.75">
      <c r="A13" s="266">
        <v>45805</v>
      </c>
      <c r="B13" s="8">
        <v>2466.1</v>
      </c>
      <c r="C13" t="s">
        <v>41</v>
      </c>
      <c r="D13" s="153">
        <v>45776</v>
      </c>
      <c r="E13" s="2" t="s">
        <v>23</v>
      </c>
      <c r="H13" s="76" t="s">
        <v>3591</v>
      </c>
      <c r="I13" s="9"/>
      <c r="J13" s="9" t="s">
        <v>3593</v>
      </c>
      <c r="K13" s="9"/>
      <c r="L13" s="2" t="s">
        <v>73</v>
      </c>
      <c r="M13">
        <v>156.19999999999999</v>
      </c>
    </row>
    <row r="14" spans="1:15" ht="30.75">
      <c r="A14" s="153">
        <v>45838</v>
      </c>
      <c r="B14" s="154"/>
      <c r="C14" t="s">
        <v>44</v>
      </c>
      <c r="D14" s="153">
        <v>45792</v>
      </c>
      <c r="E14" s="2" t="s">
        <v>23</v>
      </c>
      <c r="H14" s="76" t="s">
        <v>3594</v>
      </c>
      <c r="I14" s="9"/>
      <c r="J14" s="9" t="s">
        <v>3595</v>
      </c>
      <c r="K14" s="9"/>
      <c r="L14" s="2" t="s">
        <v>73</v>
      </c>
      <c r="M14">
        <v>169.4</v>
      </c>
    </row>
    <row r="15" spans="1:15" ht="30.75">
      <c r="A15" s="153">
        <v>45838</v>
      </c>
      <c r="B15" s="154">
        <v>1842</v>
      </c>
      <c r="C15" t="s">
        <v>44</v>
      </c>
      <c r="D15" s="153">
        <v>45805</v>
      </c>
      <c r="E15" s="2" t="s">
        <v>23</v>
      </c>
      <c r="H15" s="76" t="s">
        <v>3594</v>
      </c>
      <c r="I15" s="9"/>
      <c r="J15" s="9" t="s">
        <v>3596</v>
      </c>
      <c r="K15" s="9"/>
      <c r="L15" s="2" t="s">
        <v>73</v>
      </c>
      <c r="M15">
        <v>139.6</v>
      </c>
      <c r="O15" t="s">
        <v>36</v>
      </c>
    </row>
    <row r="16" spans="1:15" ht="30.75">
      <c r="A16" s="7">
        <v>45857</v>
      </c>
      <c r="B16" s="8"/>
      <c r="C16" s="2" t="s">
        <v>57</v>
      </c>
      <c r="D16" s="7">
        <v>45836</v>
      </c>
      <c r="E16" s="2" t="s">
        <v>23</v>
      </c>
      <c r="F16" s="2"/>
      <c r="G16" s="2"/>
      <c r="H16" s="76" t="s">
        <v>3597</v>
      </c>
      <c r="I16" s="9"/>
      <c r="J16" s="9" t="s">
        <v>3598</v>
      </c>
      <c r="K16" s="9"/>
      <c r="L16" s="2" t="s">
        <v>73</v>
      </c>
      <c r="M16">
        <v>134.19999999999999</v>
      </c>
    </row>
    <row r="17" spans="1:19" ht="30.75">
      <c r="A17" s="7">
        <v>45857</v>
      </c>
      <c r="B17" s="8">
        <v>2055.9</v>
      </c>
      <c r="C17" t="s">
        <v>57</v>
      </c>
      <c r="D17" s="153">
        <v>45824</v>
      </c>
      <c r="E17" s="2" t="s">
        <v>23</v>
      </c>
      <c r="F17" s="2"/>
      <c r="H17" s="76" t="s">
        <v>3597</v>
      </c>
      <c r="I17" s="9"/>
      <c r="J17" s="9" t="s">
        <v>3599</v>
      </c>
      <c r="K17" s="9"/>
      <c r="L17" s="2" t="s">
        <v>73</v>
      </c>
      <c r="M17">
        <v>199.5</v>
      </c>
      <c r="S17" t="s">
        <v>36</v>
      </c>
    </row>
    <row r="18" spans="1:19" ht="30.75">
      <c r="A18" s="153">
        <v>45897</v>
      </c>
      <c r="B18" s="154"/>
      <c r="C18" t="s">
        <v>47</v>
      </c>
      <c r="D18" s="175" t="s">
        <v>3600</v>
      </c>
      <c r="E18" s="2" t="s">
        <v>23</v>
      </c>
      <c r="F18" s="2" t="s">
        <v>24</v>
      </c>
      <c r="H18" s="76" t="s">
        <v>3601</v>
      </c>
      <c r="I18" s="9"/>
      <c r="J18" s="9" t="s">
        <v>3602</v>
      </c>
      <c r="K18" s="9"/>
      <c r="L18" s="2" t="s">
        <v>73</v>
      </c>
      <c r="M18">
        <v>142</v>
      </c>
      <c r="O18" t="s">
        <v>2620</v>
      </c>
    </row>
    <row r="19" spans="1:19" ht="30.75">
      <c r="A19" s="153">
        <v>45897</v>
      </c>
      <c r="B19" s="154">
        <v>1372.6</v>
      </c>
      <c r="C19" t="s">
        <v>47</v>
      </c>
      <c r="D19" s="153">
        <v>45869</v>
      </c>
      <c r="E19" s="2" t="s">
        <v>23</v>
      </c>
      <c r="F19" s="2" t="s">
        <v>24</v>
      </c>
      <c r="H19" s="76" t="s">
        <v>3601</v>
      </c>
      <c r="I19" s="9"/>
      <c r="J19" s="9" t="s">
        <v>3603</v>
      </c>
      <c r="K19" s="9"/>
      <c r="L19" s="2" t="s">
        <v>73</v>
      </c>
      <c r="M19">
        <v>100.6</v>
      </c>
    </row>
    <row r="20" spans="1:19" ht="30.75">
      <c r="A20" s="153">
        <v>45930</v>
      </c>
      <c r="B20" s="154"/>
      <c r="C20" t="s">
        <v>50</v>
      </c>
      <c r="D20" s="175">
        <v>45897</v>
      </c>
      <c r="E20" s="2" t="s">
        <v>23</v>
      </c>
      <c r="F20" s="2" t="s">
        <v>24</v>
      </c>
      <c r="H20" s="76" t="s">
        <v>3604</v>
      </c>
      <c r="I20" s="9"/>
      <c r="J20" s="9" t="s">
        <v>3605</v>
      </c>
      <c r="K20" s="9"/>
      <c r="L20" s="2" t="s">
        <v>73</v>
      </c>
      <c r="M20">
        <v>99.3</v>
      </c>
    </row>
    <row r="21" spans="1:19" ht="30.75">
      <c r="A21" s="153">
        <v>45930</v>
      </c>
      <c r="B21" s="154">
        <v>1364.5</v>
      </c>
      <c r="C21" t="s">
        <v>50</v>
      </c>
      <c r="D21" s="153">
        <v>45884</v>
      </c>
      <c r="E21" s="2" t="s">
        <v>23</v>
      </c>
      <c r="F21" s="2" t="s">
        <v>24</v>
      </c>
      <c r="H21" s="76" t="s">
        <v>3604</v>
      </c>
      <c r="I21" s="9"/>
      <c r="J21" s="9" t="s">
        <v>3602</v>
      </c>
      <c r="K21" s="9"/>
      <c r="L21" s="2" t="s">
        <v>73</v>
      </c>
      <c r="M21">
        <v>122.2</v>
      </c>
    </row>
    <row r="22" spans="1:19" ht="30.75">
      <c r="A22" s="153">
        <v>45958</v>
      </c>
      <c r="C22" t="s">
        <v>22</v>
      </c>
      <c r="D22" s="153">
        <v>45915</v>
      </c>
      <c r="E22" s="2" t="s">
        <v>23</v>
      </c>
      <c r="F22" s="2" t="s">
        <v>24</v>
      </c>
      <c r="H22" s="76" t="s">
        <v>3606</v>
      </c>
      <c r="I22" s="9"/>
      <c r="J22" s="9" t="s">
        <v>3607</v>
      </c>
      <c r="K22" s="9"/>
      <c r="L22" s="2" t="s">
        <v>73</v>
      </c>
      <c r="M22">
        <v>150.69999999999999</v>
      </c>
    </row>
    <row r="23" spans="1:19" ht="30.75">
      <c r="A23" s="153">
        <v>45958</v>
      </c>
      <c r="B23" s="154">
        <v>1601.3</v>
      </c>
      <c r="C23" t="s">
        <v>22</v>
      </c>
      <c r="D23" s="153">
        <v>45929</v>
      </c>
      <c r="E23" s="2" t="s">
        <v>23</v>
      </c>
      <c r="F23" s="2" t="s">
        <v>24</v>
      </c>
      <c r="H23" s="76" t="s">
        <v>3606</v>
      </c>
      <c r="I23" s="9"/>
      <c r="J23" s="9" t="s">
        <v>3608</v>
      </c>
      <c r="K23" s="9"/>
      <c r="L23" s="2" t="s">
        <v>73</v>
      </c>
      <c r="M23">
        <v>109.2</v>
      </c>
    </row>
    <row r="24" spans="1:19" ht="30.75">
      <c r="A24" s="528">
        <v>45974</v>
      </c>
      <c r="B24" s="586"/>
      <c r="C24" s="526" t="s">
        <v>54</v>
      </c>
      <c r="D24" s="528">
        <v>45945</v>
      </c>
      <c r="E24" s="531" t="s">
        <v>23</v>
      </c>
      <c r="F24" s="531" t="s">
        <v>24</v>
      </c>
      <c r="G24" s="526"/>
      <c r="H24" s="527" t="s">
        <v>3609</v>
      </c>
      <c r="I24" s="533"/>
      <c r="J24" s="533" t="s">
        <v>3610</v>
      </c>
      <c r="K24" s="9"/>
      <c r="L24" s="2" t="s">
        <v>73</v>
      </c>
      <c r="M24" s="526">
        <v>162.19999999999999</v>
      </c>
    </row>
    <row r="25" spans="1:19" ht="30.75">
      <c r="A25" s="528">
        <v>45974</v>
      </c>
      <c r="B25" s="154">
        <v>1645</v>
      </c>
      <c r="C25" s="526" t="s">
        <v>54</v>
      </c>
      <c r="D25" s="153">
        <v>45960</v>
      </c>
      <c r="E25" s="2" t="s">
        <v>23</v>
      </c>
      <c r="F25" s="2" t="s">
        <v>24</v>
      </c>
      <c r="H25" s="76" t="s">
        <v>3609</v>
      </c>
      <c r="I25" s="9"/>
      <c r="J25" s="9" t="s">
        <v>3611</v>
      </c>
      <c r="K25" s="9"/>
      <c r="L25" s="2" t="s">
        <v>73</v>
      </c>
      <c r="M25">
        <v>104.8</v>
      </c>
    </row>
    <row r="26" spans="1:19" ht="30.75">
      <c r="A26" s="153">
        <v>45997</v>
      </c>
      <c r="C26" s="526" t="s">
        <v>27</v>
      </c>
      <c r="D26" s="153">
        <v>45976</v>
      </c>
      <c r="E26" s="2" t="s">
        <v>23</v>
      </c>
      <c r="F26" s="2" t="s">
        <v>24</v>
      </c>
      <c r="H26" s="76" t="s">
        <v>3612</v>
      </c>
      <c r="I26" s="9"/>
      <c r="J26">
        <v>52186</v>
      </c>
      <c r="L26" s="2" t="s">
        <v>73</v>
      </c>
      <c r="M26">
        <v>165.2</v>
      </c>
    </row>
    <row r="27" spans="1:19" ht="30.75">
      <c r="A27" s="153">
        <v>45997</v>
      </c>
      <c r="B27" s="154">
        <v>1580.2</v>
      </c>
      <c r="C27" s="526" t="s">
        <v>27</v>
      </c>
      <c r="D27" s="153">
        <v>45988</v>
      </c>
      <c r="E27" s="2" t="s">
        <v>23</v>
      </c>
      <c r="F27" s="2" t="s">
        <v>24</v>
      </c>
      <c r="H27" s="76" t="s">
        <v>3612</v>
      </c>
      <c r="I27" s="9"/>
      <c r="J27">
        <v>54617</v>
      </c>
      <c r="L27" s="2" t="s">
        <v>73</v>
      </c>
      <c r="M27">
        <v>91.4</v>
      </c>
    </row>
    <row r="28" spans="1:19" ht="30.75">
      <c r="A28" s="153">
        <v>46037</v>
      </c>
      <c r="C28" t="s">
        <v>30</v>
      </c>
      <c r="D28" s="153">
        <v>46007</v>
      </c>
      <c r="E28" s="2" t="s">
        <v>23</v>
      </c>
      <c r="F28" s="2" t="s">
        <v>24</v>
      </c>
      <c r="H28" s="76" t="s">
        <v>3613</v>
      </c>
      <c r="I28" s="9"/>
      <c r="J28">
        <v>54624</v>
      </c>
      <c r="L28" s="2" t="s">
        <v>73</v>
      </c>
      <c r="M28">
        <v>154.4</v>
      </c>
    </row>
    <row r="29" spans="1:19" ht="30.75">
      <c r="A29" s="153">
        <v>46037</v>
      </c>
      <c r="B29" s="154" t="s">
        <v>3614</v>
      </c>
      <c r="C29" t="s">
        <v>30</v>
      </c>
      <c r="D29" s="153">
        <v>46018</v>
      </c>
      <c r="E29" s="2" t="s">
        <v>23</v>
      </c>
      <c r="F29" s="2" t="s">
        <v>24</v>
      </c>
      <c r="H29" s="76" t="s">
        <v>3613</v>
      </c>
      <c r="I29" s="9"/>
      <c r="J29">
        <v>55641</v>
      </c>
      <c r="L29" s="2" t="s">
        <v>73</v>
      </c>
      <c r="M29">
        <v>59.9</v>
      </c>
    </row>
    <row r="30" spans="1:19" ht="30.75">
      <c r="A30" s="153">
        <v>46071</v>
      </c>
      <c r="C30" t="s">
        <v>32</v>
      </c>
      <c r="D30" s="153">
        <v>46038</v>
      </c>
      <c r="E30" s="2" t="s">
        <v>23</v>
      </c>
      <c r="F30" s="2" t="s">
        <v>24</v>
      </c>
      <c r="H30" s="76" t="s">
        <v>3615</v>
      </c>
      <c r="I30" s="9"/>
      <c r="J30">
        <v>55726</v>
      </c>
      <c r="L30" s="2" t="s">
        <v>73</v>
      </c>
      <c r="M30">
        <v>205.4</v>
      </c>
    </row>
    <row r="31" spans="1:19" ht="30.75">
      <c r="A31" s="153">
        <v>46071</v>
      </c>
      <c r="B31" s="598">
        <v>2147.1999999999998</v>
      </c>
      <c r="C31" t="s">
        <v>32</v>
      </c>
      <c r="D31" s="528">
        <v>46052</v>
      </c>
      <c r="E31" s="2" t="s">
        <v>23</v>
      </c>
      <c r="F31" s="2" t="s">
        <v>24</v>
      </c>
      <c r="G31" s="526"/>
      <c r="H31" s="76" t="s">
        <v>3615</v>
      </c>
      <c r="I31" s="526"/>
      <c r="J31" s="526">
        <v>56463</v>
      </c>
      <c r="L31" s="2" t="s">
        <v>73</v>
      </c>
      <c r="M31" s="526">
        <v>143.19999999999999</v>
      </c>
    </row>
    <row r="32" spans="1:19" ht="30.75">
      <c r="A32" s="507">
        <v>46092</v>
      </c>
      <c r="B32" s="290"/>
      <c r="C32" s="290" t="s">
        <v>34</v>
      </c>
      <c r="D32" s="507">
        <v>46070</v>
      </c>
      <c r="E32" s="100" t="s">
        <v>23</v>
      </c>
      <c r="F32" s="2" t="s">
        <v>24</v>
      </c>
      <c r="G32" s="290"/>
      <c r="H32" s="174" t="s">
        <v>3616</v>
      </c>
      <c r="I32" s="290"/>
      <c r="J32" s="290">
        <v>56468</v>
      </c>
      <c r="K32" s="290"/>
      <c r="L32" s="100" t="s">
        <v>73</v>
      </c>
      <c r="M32" s="290">
        <v>166.1</v>
      </c>
    </row>
    <row r="33" spans="1:13" ht="30.75">
      <c r="A33" s="507">
        <v>46092</v>
      </c>
      <c r="B33" s="290" t="s">
        <v>3617</v>
      </c>
      <c r="C33" s="290" t="s">
        <v>34</v>
      </c>
      <c r="D33" s="507">
        <v>46081</v>
      </c>
      <c r="E33" s="100" t="s">
        <v>23</v>
      </c>
      <c r="F33" s="2" t="s">
        <v>24</v>
      </c>
      <c r="G33" s="290"/>
      <c r="H33" s="174" t="s">
        <v>3616</v>
      </c>
      <c r="I33" s="290"/>
      <c r="J33" s="290">
        <v>58376</v>
      </c>
      <c r="K33" s="290"/>
      <c r="L33" s="100" t="s">
        <v>73</v>
      </c>
      <c r="M33" s="290">
        <v>161.5</v>
      </c>
    </row>
    <row r="34" spans="1:13" ht="30.75">
      <c r="A34" s="528">
        <v>46127</v>
      </c>
      <c r="B34" s="526"/>
      <c r="C34" s="526" t="s">
        <v>38</v>
      </c>
      <c r="D34" s="528">
        <v>46097</v>
      </c>
      <c r="E34" s="2" t="s">
        <v>23</v>
      </c>
      <c r="F34" s="2" t="s">
        <v>24</v>
      </c>
      <c r="G34" s="526"/>
      <c r="H34" s="527" t="s">
        <v>3618</v>
      </c>
      <c r="I34" s="526"/>
      <c r="J34" s="526">
        <v>58381</v>
      </c>
      <c r="L34" s="2" t="s">
        <v>73</v>
      </c>
      <c r="M34" s="526">
        <v>192.8</v>
      </c>
    </row>
    <row r="35" spans="1:13" ht="30.75">
      <c r="A35" s="528">
        <v>46127</v>
      </c>
      <c r="B35" s="526" t="s">
        <v>3619</v>
      </c>
      <c r="C35" s="526" t="s">
        <v>38</v>
      </c>
      <c r="D35" s="528">
        <v>46112</v>
      </c>
      <c r="E35" s="2" t="s">
        <v>23</v>
      </c>
      <c r="F35" s="2" t="s">
        <v>24</v>
      </c>
      <c r="G35" s="526"/>
      <c r="H35" s="527" t="s">
        <v>3618</v>
      </c>
      <c r="I35" s="526"/>
      <c r="J35" s="526">
        <v>59677</v>
      </c>
      <c r="L35" s="2" t="s">
        <v>73</v>
      </c>
      <c r="M35" s="526">
        <v>80.599999999999994</v>
      </c>
    </row>
    <row r="36" spans="1:13" ht="30.75">
      <c r="A36" s="528">
        <v>46161</v>
      </c>
      <c r="B36" s="526"/>
      <c r="C36" s="526" t="s">
        <v>41</v>
      </c>
      <c r="D36" s="528">
        <v>46134</v>
      </c>
      <c r="E36" s="2" t="s">
        <v>23</v>
      </c>
      <c r="F36" s="2" t="s">
        <v>24</v>
      </c>
      <c r="G36" s="526"/>
      <c r="H36" s="527" t="s">
        <v>3620</v>
      </c>
      <c r="I36" s="526"/>
      <c r="J36" s="526">
        <v>59770</v>
      </c>
      <c r="L36" s="526" t="s">
        <v>73</v>
      </c>
      <c r="M36" s="526">
        <v>202.3</v>
      </c>
    </row>
    <row r="37" spans="1:13" ht="30.75">
      <c r="A37" s="528">
        <v>46161</v>
      </c>
      <c r="B37" s="526" t="s">
        <v>3621</v>
      </c>
      <c r="C37" s="526" t="s">
        <v>41</v>
      </c>
      <c r="D37" s="528">
        <v>46142</v>
      </c>
      <c r="E37" s="2" t="s">
        <v>23</v>
      </c>
      <c r="F37" s="2" t="s">
        <v>24</v>
      </c>
      <c r="G37" s="526"/>
      <c r="H37" s="527" t="s">
        <v>3620</v>
      </c>
      <c r="I37" s="526"/>
      <c r="J37" s="526">
        <v>60974</v>
      </c>
      <c r="L37" s="526" t="s">
        <v>73</v>
      </c>
      <c r="M37" s="526">
        <v>125.2</v>
      </c>
    </row>
    <row r="38" spans="1:13">
      <c r="A38" s="526"/>
      <c r="B38" s="526"/>
      <c r="C38" s="526"/>
      <c r="D38" s="528">
        <v>46157</v>
      </c>
      <c r="E38" s="526"/>
      <c r="F38" s="526"/>
      <c r="G38" s="526"/>
      <c r="H38" s="527"/>
      <c r="I38" s="526"/>
      <c r="J38" s="526">
        <v>60979</v>
      </c>
      <c r="L38" s="526"/>
      <c r="M38" s="526">
        <v>190.2</v>
      </c>
    </row>
    <row r="39" spans="1:13">
      <c r="A39" s="526"/>
      <c r="B39" s="526"/>
      <c r="C39" s="526"/>
      <c r="D39" s="528">
        <v>46170</v>
      </c>
      <c r="E39" s="526"/>
      <c r="F39" s="526"/>
      <c r="G39" s="526"/>
      <c r="H39" s="527"/>
      <c r="I39" s="526"/>
      <c r="J39" s="526">
        <v>59771</v>
      </c>
      <c r="L39" s="526"/>
      <c r="M39" s="526">
        <v>123.6</v>
      </c>
    </row>
    <row r="432" spans="2:3">
      <c r="B432" t="s">
        <v>2286</v>
      </c>
      <c r="C432" t="s">
        <v>2287</v>
      </c>
    </row>
  </sheetData>
  <mergeCells count="7">
    <mergeCell ref="G5:N5"/>
    <mergeCell ref="B2:F2"/>
    <mergeCell ref="B4:E4"/>
    <mergeCell ref="B5:C5"/>
    <mergeCell ref="A1:H1"/>
    <mergeCell ref="H2:L2"/>
    <mergeCell ref="B3:F3"/>
  </mergeCells>
  <conditionalFormatting sqref="L1:L1048576">
    <cfRule type="containsText" dxfId="307" priority="1" operator="containsText" text="POR PAGAR">
      <formula>NOT(ISERROR(SEARCH("POR PAGAR",L1)))</formula>
    </cfRule>
  </conditionalFormatting>
  <dataValidations count="2">
    <dataValidation type="list" allowBlank="1" showInputMessage="1" showErrorMessage="1" sqref="F10:F39" xr:uid="{0C962DDA-8667-41C4-9B88-23758B412736}">
      <formula1>"EFECTIVO, CHEQUE, TRANSFERENCIA,DEPOSITO"</formula1>
    </dataValidation>
    <dataValidation type="list" allowBlank="1" showInputMessage="1" showErrorMessage="1" sqref="C10:C39" xr:uid="{166D9AE8-E85E-49BF-BFDB-C08B528967B1}">
      <formula1>"ENERO,FEBRERO,MARZO,ABRIL,MAYO,JUNIO,JULIO,AGOSTO,SEPTIEMBRE,OCTUBRE,NOVIEMBRE,DICIEMBRE"</formula1>
    </dataValidation>
  </dataValidations>
  <hyperlinks>
    <hyperlink ref="B4:E4" r:id="rId1" display="ksotelo@clinicanuevasalud.pe , mmeza@clinicanuevasalud.pe" xr:uid="{15ED8D53-2DC6-4BD0-BA2A-D5DFF315ABD5}"/>
  </hyperlinks>
  <pageMargins left="0.7" right="0.7" top="0.75" bottom="0.75" header="0.3" footer="0.3"/>
  <tableParts count="1">
    <tablePart r:id="rId2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DABA-1464-4378-A1F8-FB8E3B5BDE46}">
  <dimension ref="A1:R433"/>
  <sheetViews>
    <sheetView topLeftCell="A14" workbookViewId="0">
      <selection activeCell="M24" sqref="M24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0.140625" customWidth="1"/>
    <col min="12" max="12" width="14.5703125" customWidth="1"/>
  </cols>
  <sheetData>
    <row r="1" spans="1:14" ht="23.25" customHeight="1">
      <c r="A1" s="789" t="s">
        <v>3622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20607987441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8" t="s">
        <v>36</v>
      </c>
      <c r="C4" s="798"/>
      <c r="D4" s="798"/>
      <c r="E4" s="798"/>
    </row>
    <row r="5" spans="1:14" ht="23.25" customHeight="1">
      <c r="A5" s="257" t="s">
        <v>4</v>
      </c>
      <c r="B5" s="786">
        <v>45740</v>
      </c>
      <c r="C5" s="787"/>
      <c r="F5" s="258"/>
      <c r="G5" s="788" t="s">
        <v>2069</v>
      </c>
      <c r="H5" s="788"/>
      <c r="I5" s="788"/>
      <c r="J5" s="788"/>
      <c r="K5" s="788"/>
      <c r="L5" s="788"/>
      <c r="M5" s="788"/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45737</v>
      </c>
      <c r="B10" s="8">
        <v>70</v>
      </c>
      <c r="C10" s="2" t="s">
        <v>38</v>
      </c>
      <c r="D10" s="153">
        <v>45744</v>
      </c>
      <c r="E10" s="2" t="s">
        <v>23</v>
      </c>
      <c r="F10" s="2" t="s">
        <v>24</v>
      </c>
      <c r="G10" s="2" t="s">
        <v>36</v>
      </c>
      <c r="H10" s="9" t="s">
        <v>3623</v>
      </c>
      <c r="I10" s="9" t="s">
        <v>3624</v>
      </c>
      <c r="J10" s="9" t="s">
        <v>3625</v>
      </c>
      <c r="K10" s="2" t="s">
        <v>36</v>
      </c>
      <c r="L10" t="s">
        <v>72</v>
      </c>
      <c r="M10">
        <v>6.6</v>
      </c>
    </row>
    <row r="11" spans="1:14" ht="30.75">
      <c r="A11" s="7">
        <v>45776</v>
      </c>
      <c r="B11" s="8">
        <v>70</v>
      </c>
      <c r="C11" t="s">
        <v>41</v>
      </c>
      <c r="D11" s="153">
        <v>45776</v>
      </c>
      <c r="E11" s="2" t="s">
        <v>23</v>
      </c>
      <c r="F11" s="2" t="s">
        <v>28</v>
      </c>
      <c r="H11" s="76" t="s">
        <v>3626</v>
      </c>
      <c r="I11" s="9"/>
      <c r="J11" s="9" t="s">
        <v>3627</v>
      </c>
      <c r="K11" s="2"/>
      <c r="L11" s="2" t="s">
        <v>26</v>
      </c>
      <c r="M11">
        <v>3.5</v>
      </c>
    </row>
    <row r="12" spans="1:14" ht="30.75">
      <c r="A12" s="7">
        <v>45805</v>
      </c>
      <c r="B12" s="8">
        <v>70</v>
      </c>
      <c r="C12" t="s">
        <v>44</v>
      </c>
      <c r="D12" s="153">
        <v>45805</v>
      </c>
      <c r="E12" s="2" t="s">
        <v>23</v>
      </c>
      <c r="F12" s="2" t="s">
        <v>24</v>
      </c>
      <c r="H12" s="76" t="s">
        <v>3628</v>
      </c>
      <c r="I12" s="9"/>
      <c r="J12" s="9" t="s">
        <v>3629</v>
      </c>
      <c r="K12" s="2"/>
      <c r="L12" t="s">
        <v>72</v>
      </c>
      <c r="M12">
        <v>7.4</v>
      </c>
    </row>
    <row r="13" spans="1:14" ht="30.75">
      <c r="A13" s="153">
        <v>45836</v>
      </c>
      <c r="B13" s="8">
        <v>70</v>
      </c>
      <c r="C13" t="s">
        <v>57</v>
      </c>
      <c r="D13" s="153">
        <v>45836</v>
      </c>
      <c r="E13" s="2" t="s">
        <v>23</v>
      </c>
      <c r="F13" s="2" t="s">
        <v>24</v>
      </c>
      <c r="H13" s="76">
        <v>35705</v>
      </c>
      <c r="I13" s="9"/>
      <c r="J13" s="9" t="s">
        <v>3630</v>
      </c>
      <c r="K13" s="2"/>
      <c r="L13" t="s">
        <v>72</v>
      </c>
      <c r="M13">
        <v>3.5</v>
      </c>
    </row>
    <row r="14" spans="1:14" ht="30.75">
      <c r="A14" s="153">
        <v>45864</v>
      </c>
      <c r="B14" s="8">
        <v>70</v>
      </c>
      <c r="C14" t="s">
        <v>47</v>
      </c>
      <c r="D14" s="153">
        <v>45864</v>
      </c>
      <c r="E14" s="2" t="s">
        <v>23</v>
      </c>
      <c r="F14" t="s">
        <v>28</v>
      </c>
      <c r="H14" s="76" t="s">
        <v>3631</v>
      </c>
      <c r="I14" s="9"/>
      <c r="J14" s="9" t="s">
        <v>3509</v>
      </c>
      <c r="K14" s="2"/>
      <c r="L14" s="2" t="s">
        <v>26</v>
      </c>
      <c r="M14">
        <v>2</v>
      </c>
    </row>
    <row r="15" spans="1:14" ht="30.75">
      <c r="A15" s="153">
        <v>45897</v>
      </c>
      <c r="B15" s="8">
        <v>70</v>
      </c>
      <c r="C15" t="s">
        <v>50</v>
      </c>
      <c r="D15" s="153">
        <v>45897</v>
      </c>
      <c r="E15" s="2" t="s">
        <v>23</v>
      </c>
      <c r="F15" s="2" t="s">
        <v>24</v>
      </c>
      <c r="H15" s="76" t="s">
        <v>3632</v>
      </c>
      <c r="I15" s="9"/>
      <c r="J15" s="9" t="s">
        <v>3633</v>
      </c>
      <c r="K15" s="2"/>
      <c r="L15" t="s">
        <v>72</v>
      </c>
      <c r="M15">
        <v>1</v>
      </c>
      <c r="N15" t="s">
        <v>36</v>
      </c>
    </row>
    <row r="16" spans="1:14" ht="30.75">
      <c r="A16" s="7">
        <v>45929</v>
      </c>
      <c r="B16" s="8">
        <v>70</v>
      </c>
      <c r="C16" t="s">
        <v>22</v>
      </c>
      <c r="D16" s="7">
        <v>45929</v>
      </c>
      <c r="E16" s="2" t="s">
        <v>23</v>
      </c>
      <c r="F16" s="2" t="s">
        <v>24</v>
      </c>
      <c r="G16" s="2"/>
      <c r="H16" s="76" t="s">
        <v>3634</v>
      </c>
      <c r="I16" s="9"/>
      <c r="J16" s="9" t="s">
        <v>3635</v>
      </c>
      <c r="K16" s="2"/>
      <c r="L16" t="s">
        <v>72</v>
      </c>
      <c r="M16">
        <v>1.5</v>
      </c>
    </row>
    <row r="17" spans="1:18" ht="30.75">
      <c r="A17" s="7">
        <v>45960</v>
      </c>
      <c r="B17" s="8">
        <v>70</v>
      </c>
      <c r="C17" t="s">
        <v>54</v>
      </c>
      <c r="D17" s="153">
        <v>45960</v>
      </c>
      <c r="E17" s="2" t="s">
        <v>23</v>
      </c>
      <c r="F17" s="2" t="s">
        <v>24</v>
      </c>
      <c r="H17" s="76" t="s">
        <v>3636</v>
      </c>
      <c r="I17" s="9"/>
      <c r="J17" s="9" t="s">
        <v>3637</v>
      </c>
      <c r="L17" t="s">
        <v>72</v>
      </c>
      <c r="M17">
        <v>1.5</v>
      </c>
      <c r="R17" t="s">
        <v>36</v>
      </c>
    </row>
    <row r="18" spans="1:18" ht="30.75">
      <c r="A18" s="153">
        <v>45988</v>
      </c>
      <c r="B18" s="8">
        <v>70</v>
      </c>
      <c r="C18" t="s">
        <v>27</v>
      </c>
      <c r="D18" s="153">
        <v>45988</v>
      </c>
      <c r="E18" s="2" t="s">
        <v>23</v>
      </c>
      <c r="F18" s="2" t="s">
        <v>28</v>
      </c>
      <c r="H18" s="76" t="s">
        <v>3638</v>
      </c>
      <c r="I18" s="9"/>
      <c r="J18" s="9" t="s">
        <v>3639</v>
      </c>
      <c r="L18" s="2" t="s">
        <v>26</v>
      </c>
      <c r="M18">
        <v>1.3</v>
      </c>
    </row>
    <row r="19" spans="1:18" ht="30.75">
      <c r="A19" s="153">
        <v>46018</v>
      </c>
      <c r="B19" s="8">
        <v>70</v>
      </c>
      <c r="C19" t="s">
        <v>30</v>
      </c>
      <c r="D19" s="153">
        <v>46018</v>
      </c>
      <c r="E19" s="2" t="s">
        <v>23</v>
      </c>
      <c r="F19" s="2" t="s">
        <v>28</v>
      </c>
      <c r="H19" s="76" t="s">
        <v>3640</v>
      </c>
      <c r="I19" s="9"/>
      <c r="J19" s="9" t="s">
        <v>3641</v>
      </c>
      <c r="L19" s="2" t="s">
        <v>26</v>
      </c>
      <c r="M19">
        <v>1.4</v>
      </c>
    </row>
    <row r="20" spans="1:18" ht="30.75">
      <c r="A20" s="153">
        <v>46052</v>
      </c>
      <c r="B20" s="8">
        <v>70</v>
      </c>
      <c r="C20" t="s">
        <v>32</v>
      </c>
      <c r="D20" s="153">
        <v>46052</v>
      </c>
      <c r="E20" s="2" t="s">
        <v>23</v>
      </c>
      <c r="F20" t="s">
        <v>28</v>
      </c>
      <c r="H20" s="76" t="s">
        <v>3642</v>
      </c>
      <c r="I20" s="9"/>
      <c r="J20" s="9" t="s">
        <v>3643</v>
      </c>
      <c r="L20" s="2" t="s">
        <v>26</v>
      </c>
      <c r="M20">
        <v>2.1</v>
      </c>
    </row>
    <row r="21" spans="1:18" ht="30.75">
      <c r="A21" s="153">
        <v>46081</v>
      </c>
      <c r="B21" s="8">
        <v>70</v>
      </c>
      <c r="C21" t="s">
        <v>34</v>
      </c>
      <c r="D21" s="153">
        <v>46081</v>
      </c>
      <c r="E21" s="2" t="s">
        <v>23</v>
      </c>
      <c r="F21" t="s">
        <v>28</v>
      </c>
      <c r="H21" s="76" t="s">
        <v>3644</v>
      </c>
      <c r="I21" s="9"/>
      <c r="J21" s="9" t="s">
        <v>3645</v>
      </c>
      <c r="L21" s="2" t="s">
        <v>26</v>
      </c>
      <c r="M21">
        <v>1.2</v>
      </c>
    </row>
    <row r="22" spans="1:18" ht="30.75">
      <c r="A22" s="153">
        <v>46119</v>
      </c>
      <c r="B22" s="8">
        <v>70</v>
      </c>
      <c r="C22" t="s">
        <v>38</v>
      </c>
      <c r="D22" s="153">
        <v>46112</v>
      </c>
      <c r="E22" s="2" t="s">
        <v>23</v>
      </c>
      <c r="F22" s="2" t="s">
        <v>24</v>
      </c>
      <c r="H22" s="76" t="s">
        <v>3646</v>
      </c>
      <c r="I22" s="9"/>
      <c r="J22" s="9" t="s">
        <v>3647</v>
      </c>
      <c r="L22" t="s">
        <v>72</v>
      </c>
      <c r="M22">
        <v>2.8</v>
      </c>
    </row>
    <row r="23" spans="1:18" ht="30.75">
      <c r="A23" s="153">
        <v>46509</v>
      </c>
      <c r="B23" s="8">
        <v>70</v>
      </c>
      <c r="C23" t="s">
        <v>41</v>
      </c>
      <c r="D23" s="153">
        <v>46142</v>
      </c>
      <c r="E23" s="2" t="s">
        <v>23</v>
      </c>
      <c r="F23" s="2" t="s">
        <v>24</v>
      </c>
      <c r="H23" s="76" t="s">
        <v>3648</v>
      </c>
      <c r="I23" s="9"/>
      <c r="J23" s="9" t="s">
        <v>3649</v>
      </c>
      <c r="L23" t="s">
        <v>72</v>
      </c>
      <c r="M23">
        <v>1.5</v>
      </c>
    </row>
    <row r="24" spans="1:18" ht="30.75">
      <c r="D24" s="153">
        <v>46170</v>
      </c>
      <c r="E24" s="2" t="s">
        <v>23</v>
      </c>
      <c r="H24" s="76"/>
      <c r="I24" s="9"/>
      <c r="J24" s="9" t="s">
        <v>3650</v>
      </c>
      <c r="M24">
        <v>1</v>
      </c>
    </row>
    <row r="25" spans="1:18" ht="30.75">
      <c r="E25" s="2" t="s">
        <v>23</v>
      </c>
      <c r="H25" s="76"/>
      <c r="I25" s="9"/>
      <c r="J25" s="9"/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91D35535-E6C4-4E69-84DB-7F62B4397FC1}">
      <formula1>"ENERO,FEBRERO,MARZO,ABRIL,MAYO,JUNIO,JULIO,AGOSTO,SEPTIEMBRE,OCTUBRE,NOVIEMBRE,DICIEMBRE"</formula1>
    </dataValidation>
    <dataValidation type="list" allowBlank="1" showInputMessage="1" showErrorMessage="1" sqref="F10:F30" xr:uid="{E6EBFD93-09E6-4F61-B031-8B15F137345C}">
      <formula1>"EFECTIVO, CHEQUE, TRANSFERENCIA,DEPOSITO"</formula1>
    </dataValidation>
  </dataValidations>
  <hyperlinks>
    <hyperlink ref="B4:E4" r:id="rId1" display="Jr_2080@hotmail.com" xr:uid="{16DEAFE4-5B9B-4010-8425-79FFC6D02831}"/>
  </hyperlinks>
  <pageMargins left="0.7" right="0.7" top="0.75" bottom="0.75" header="0.3" footer="0.3"/>
  <tableParts count="1">
    <tablePart r:id="rId2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C7D6-10A8-49A1-929C-220EA693355C}">
  <dimension ref="A1:R433"/>
  <sheetViews>
    <sheetView topLeftCell="A16" workbookViewId="0">
      <selection activeCell="Q26" sqref="Q26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3.140625" customWidth="1"/>
    <col min="14" max="14" width="29.28515625" bestFit="1" customWidth="1"/>
  </cols>
  <sheetData>
    <row r="1" spans="1:14" ht="23.25" customHeight="1">
      <c r="A1" s="789" t="s">
        <v>3651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10768018044</v>
      </c>
      <c r="F3" s="794"/>
      <c r="G3" s="794"/>
      <c r="H3" s="794"/>
      <c r="I3" s="794"/>
      <c r="J3" s="794"/>
      <c r="K3" s="794"/>
      <c r="L3" s="794"/>
      <c r="M3" s="794"/>
      <c r="N3" s="290" t="s">
        <v>3652</v>
      </c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>
        <v>45771</v>
      </c>
      <c r="C5" s="787"/>
      <c r="F5" s="258"/>
      <c r="G5" s="788" t="s">
        <v>3653</v>
      </c>
      <c r="H5" s="788"/>
      <c r="I5" s="788"/>
      <c r="J5" s="788"/>
      <c r="K5" s="788"/>
      <c r="L5" s="788"/>
      <c r="M5" s="788"/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45771</v>
      </c>
      <c r="B10" s="8">
        <v>150</v>
      </c>
      <c r="C10" s="2" t="s">
        <v>44</v>
      </c>
      <c r="D10" s="153">
        <v>45808</v>
      </c>
      <c r="E10" s="2" t="s">
        <v>23</v>
      </c>
      <c r="F10" s="2" t="s">
        <v>24</v>
      </c>
      <c r="G10" s="2">
        <v>1</v>
      </c>
      <c r="H10" s="9" t="s">
        <v>3654</v>
      </c>
      <c r="I10" s="9" t="s">
        <v>3655</v>
      </c>
      <c r="J10" s="9" t="s">
        <v>3656</v>
      </c>
      <c r="K10" s="2" t="s">
        <v>36</v>
      </c>
      <c r="L10" s="2" t="s">
        <v>72</v>
      </c>
      <c r="M10">
        <v>3.6</v>
      </c>
    </row>
    <row r="11" spans="1:14" ht="30.75">
      <c r="A11" s="153">
        <v>45838</v>
      </c>
      <c r="B11" s="8">
        <v>150</v>
      </c>
      <c r="C11" s="2" t="s">
        <v>57</v>
      </c>
      <c r="D11" s="153">
        <v>45838</v>
      </c>
      <c r="E11" s="2" t="s">
        <v>23</v>
      </c>
      <c r="F11" s="2" t="s">
        <v>28</v>
      </c>
      <c r="G11">
        <v>2</v>
      </c>
      <c r="H11" s="76" t="s">
        <v>3657</v>
      </c>
      <c r="I11" s="9"/>
      <c r="J11" s="9" t="s">
        <v>3658</v>
      </c>
      <c r="K11" s="2"/>
      <c r="L11" s="2" t="s">
        <v>26</v>
      </c>
      <c r="M11">
        <v>3</v>
      </c>
    </row>
    <row r="12" spans="1:14" ht="30.75">
      <c r="A12" s="153">
        <v>45869</v>
      </c>
      <c r="B12" s="8">
        <v>150</v>
      </c>
      <c r="C12" s="2" t="s">
        <v>47</v>
      </c>
      <c r="D12" s="153">
        <v>45869</v>
      </c>
      <c r="E12" s="2" t="s">
        <v>23</v>
      </c>
      <c r="F12" s="2" t="s">
        <v>28</v>
      </c>
      <c r="G12">
        <v>3</v>
      </c>
      <c r="H12" s="76" t="s">
        <v>3659</v>
      </c>
      <c r="I12" s="9"/>
      <c r="J12" s="9" t="s">
        <v>3660</v>
      </c>
      <c r="K12" s="2"/>
      <c r="L12" s="2" t="s">
        <v>26</v>
      </c>
      <c r="M12">
        <v>3.3</v>
      </c>
    </row>
    <row r="13" spans="1:14" ht="30.75">
      <c r="A13" s="153">
        <v>45898</v>
      </c>
      <c r="B13" s="8">
        <v>150</v>
      </c>
      <c r="C13" s="2" t="s">
        <v>50</v>
      </c>
      <c r="D13" s="153">
        <v>45898</v>
      </c>
      <c r="E13" s="2" t="s">
        <v>23</v>
      </c>
      <c r="F13" t="s">
        <v>28</v>
      </c>
      <c r="G13">
        <v>4</v>
      </c>
      <c r="H13" s="76" t="s">
        <v>1635</v>
      </c>
      <c r="I13" s="9"/>
      <c r="J13" s="9" t="s">
        <v>3661</v>
      </c>
      <c r="K13" s="2"/>
      <c r="L13" s="2" t="s">
        <v>26</v>
      </c>
      <c r="M13">
        <v>2.33</v>
      </c>
    </row>
    <row r="14" spans="1:14" ht="30.75">
      <c r="A14" s="153">
        <v>45930</v>
      </c>
      <c r="B14" s="8">
        <v>150</v>
      </c>
      <c r="C14" s="2" t="s">
        <v>22</v>
      </c>
      <c r="D14" s="153">
        <v>45930</v>
      </c>
      <c r="E14" s="2" t="s">
        <v>23</v>
      </c>
      <c r="F14" t="s">
        <v>28</v>
      </c>
      <c r="G14">
        <v>5</v>
      </c>
      <c r="H14" s="76" t="s">
        <v>3038</v>
      </c>
      <c r="I14" s="9"/>
      <c r="J14" s="9" t="s">
        <v>3662</v>
      </c>
      <c r="K14" s="2"/>
      <c r="L14" s="2" t="s">
        <v>26</v>
      </c>
      <c r="M14">
        <v>1.9</v>
      </c>
    </row>
    <row r="15" spans="1:14" ht="30.75">
      <c r="A15" s="153">
        <v>45961</v>
      </c>
      <c r="B15" s="8">
        <v>150</v>
      </c>
      <c r="C15" s="2" t="s">
        <v>54</v>
      </c>
      <c r="D15" s="153">
        <v>45961</v>
      </c>
      <c r="E15" s="2" t="s">
        <v>23</v>
      </c>
      <c r="F15" t="s">
        <v>28</v>
      </c>
      <c r="H15" s="76" t="s">
        <v>1542</v>
      </c>
      <c r="I15" s="9"/>
      <c r="J15" s="9" t="s">
        <v>3663</v>
      </c>
      <c r="K15" s="2"/>
      <c r="L15" s="2" t="s">
        <v>26</v>
      </c>
      <c r="M15">
        <v>1.7</v>
      </c>
      <c r="N15" t="s">
        <v>36</v>
      </c>
    </row>
    <row r="16" spans="1:14" ht="30.75">
      <c r="A16" s="7">
        <v>45990</v>
      </c>
      <c r="B16" s="8">
        <v>150</v>
      </c>
      <c r="C16" s="2" t="s">
        <v>27</v>
      </c>
      <c r="D16" s="7">
        <v>45990</v>
      </c>
      <c r="E16" s="2" t="s">
        <v>23</v>
      </c>
      <c r="F16" t="s">
        <v>28</v>
      </c>
      <c r="G16" s="2"/>
      <c r="H16" s="76" t="s">
        <v>3664</v>
      </c>
      <c r="I16" s="9"/>
      <c r="J16" s="9" t="s">
        <v>3665</v>
      </c>
      <c r="K16" s="2"/>
      <c r="L16" s="2" t="s">
        <v>26</v>
      </c>
      <c r="M16">
        <v>1.7</v>
      </c>
    </row>
    <row r="17" spans="1:18" ht="30.75">
      <c r="A17" s="153">
        <v>46021</v>
      </c>
      <c r="B17" s="8">
        <v>150</v>
      </c>
      <c r="C17" s="2" t="s">
        <v>30</v>
      </c>
      <c r="D17" s="153">
        <v>46021</v>
      </c>
      <c r="E17" s="2" t="s">
        <v>23</v>
      </c>
      <c r="F17" t="s">
        <v>28</v>
      </c>
      <c r="H17" s="76" t="s">
        <v>3666</v>
      </c>
      <c r="I17" s="9"/>
      <c r="J17" s="9" t="s">
        <v>3667</v>
      </c>
      <c r="L17" s="2" t="s">
        <v>26</v>
      </c>
      <c r="M17">
        <v>3.1</v>
      </c>
      <c r="R17" t="s">
        <v>36</v>
      </c>
    </row>
    <row r="18" spans="1:18" ht="30.75">
      <c r="A18" s="153">
        <v>46053</v>
      </c>
      <c r="B18" s="8">
        <v>150</v>
      </c>
      <c r="C18" s="2" t="s">
        <v>32</v>
      </c>
      <c r="D18" s="153">
        <v>46053</v>
      </c>
      <c r="E18" s="2" t="s">
        <v>23</v>
      </c>
      <c r="F18" t="s">
        <v>28</v>
      </c>
      <c r="H18" s="76" t="s">
        <v>3668</v>
      </c>
      <c r="I18" s="9"/>
      <c r="J18" s="9" t="s">
        <v>3669</v>
      </c>
      <c r="L18" s="2" t="s">
        <v>26</v>
      </c>
      <c r="M18">
        <v>3.1</v>
      </c>
    </row>
    <row r="19" spans="1:18" ht="30.75">
      <c r="A19" s="153">
        <v>46081</v>
      </c>
      <c r="B19" s="8">
        <v>150</v>
      </c>
      <c r="C19" s="2" t="s">
        <v>34</v>
      </c>
      <c r="D19" s="153">
        <v>46081</v>
      </c>
      <c r="E19" s="2" t="s">
        <v>23</v>
      </c>
      <c r="F19" t="s">
        <v>28</v>
      </c>
      <c r="H19" s="76" t="s">
        <v>3670</v>
      </c>
      <c r="I19" s="9"/>
      <c r="J19" s="9" t="s">
        <v>3671</v>
      </c>
      <c r="L19" s="2" t="s">
        <v>26</v>
      </c>
      <c r="M19">
        <v>3.8</v>
      </c>
    </row>
    <row r="20" spans="1:18" ht="30.75">
      <c r="A20" s="153">
        <v>46111</v>
      </c>
      <c r="B20" s="8">
        <v>150</v>
      </c>
      <c r="C20" s="2" t="s">
        <v>38</v>
      </c>
      <c r="D20" s="153">
        <v>46111</v>
      </c>
      <c r="E20" s="2" t="s">
        <v>23</v>
      </c>
      <c r="F20" t="s">
        <v>28</v>
      </c>
      <c r="H20" s="76" t="s">
        <v>3672</v>
      </c>
      <c r="I20" s="9"/>
      <c r="J20" s="9" t="s">
        <v>3673</v>
      </c>
      <c r="L20" s="2" t="s">
        <v>26</v>
      </c>
      <c r="M20">
        <v>2.9</v>
      </c>
    </row>
    <row r="21" spans="1:18" ht="30.75">
      <c r="A21" s="153">
        <v>46142</v>
      </c>
      <c r="B21" s="8">
        <v>150</v>
      </c>
      <c r="C21" s="2" t="s">
        <v>41</v>
      </c>
      <c r="D21" s="153">
        <v>46142</v>
      </c>
      <c r="E21" s="2" t="s">
        <v>23</v>
      </c>
      <c r="F21" t="s">
        <v>28</v>
      </c>
      <c r="H21" s="76" t="s">
        <v>3674</v>
      </c>
      <c r="I21" s="9"/>
      <c r="J21" s="9" t="s">
        <v>3675</v>
      </c>
      <c r="L21" t="s">
        <v>26</v>
      </c>
      <c r="M21">
        <v>2.1</v>
      </c>
    </row>
    <row r="22" spans="1:18" ht="30.75">
      <c r="A22" s="153">
        <v>46172</v>
      </c>
      <c r="B22" s="8">
        <v>150</v>
      </c>
      <c r="C22" s="2" t="s">
        <v>44</v>
      </c>
      <c r="D22" s="153">
        <v>46172</v>
      </c>
      <c r="E22" s="2" t="s">
        <v>23</v>
      </c>
      <c r="F22" t="s">
        <v>28</v>
      </c>
      <c r="H22" s="76" t="s">
        <v>3676</v>
      </c>
      <c r="I22" s="9"/>
      <c r="J22" s="9" t="s">
        <v>3677</v>
      </c>
      <c r="L22" t="s">
        <v>26</v>
      </c>
      <c r="M22">
        <v>2.2000000000000002</v>
      </c>
    </row>
    <row r="23" spans="1:18" ht="30.75">
      <c r="E23" s="2" t="s">
        <v>23</v>
      </c>
      <c r="H23" s="76"/>
      <c r="I23" s="9"/>
      <c r="J23" s="9"/>
    </row>
    <row r="24" spans="1:18" ht="30.75">
      <c r="E24" s="2" t="s">
        <v>23</v>
      </c>
      <c r="H24" s="76"/>
      <c r="I24" s="9"/>
      <c r="J24" s="9"/>
    </row>
    <row r="25" spans="1:18" ht="30.75">
      <c r="E25" s="2" t="s">
        <v>23</v>
      </c>
      <c r="H25" s="76"/>
      <c r="I25" s="9"/>
      <c r="J25" s="9"/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30A0001C-09F6-4CA0-B0F2-3DD92DCC81FF}">
      <formula1>"ENERO,FEBRERO,MARZO,ABRIL,MAYO,JUNIO,JULIO,AGOSTO,SEPTIEMBRE,OCTUBRE,NOVIEMBRE,DICIEMBRE"</formula1>
    </dataValidation>
    <dataValidation type="list" allowBlank="1" showInputMessage="1" showErrorMessage="1" sqref="F10:F30" xr:uid="{EAB311E7-6916-4924-BA87-3B6591D45507}">
      <formula1>"EFECTIVO, CHEQUE, TRANSFERENCIA,DEPOSITO"</formula1>
    </dataValidation>
  </dataValidations>
  <hyperlinks>
    <hyperlink ref="B4:E4" r:id="rId1" display="Jr_2080@hotmail.com" xr:uid="{FAA8FC58-B047-44B2-BA13-7BC4FD095B28}"/>
  </hyperlinks>
  <pageMargins left="0.7" right="0.7" top="0.75" bottom="0.75" header="0.3" footer="0.3"/>
  <tableParts count="1">
    <tablePart r:id="rId2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BA1D-3F4F-43D1-9CF5-6CC86323E87A}">
  <dimension ref="A1:R432"/>
  <sheetViews>
    <sheetView topLeftCell="A15" workbookViewId="0">
      <selection activeCell="P27" sqref="P27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0.7109375" customWidth="1"/>
  </cols>
  <sheetData>
    <row r="1" spans="1:18" ht="23.25" customHeight="1">
      <c r="A1" s="789" t="s">
        <v>3678</v>
      </c>
      <c r="B1" s="788"/>
      <c r="C1" s="788"/>
      <c r="D1" s="788"/>
      <c r="E1" s="788"/>
      <c r="F1" s="788"/>
    </row>
    <row r="2" spans="1:18" ht="18.75" customHeight="1">
      <c r="A2" s="2" t="s">
        <v>1729</v>
      </c>
      <c r="B2" s="790" t="s">
        <v>3679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8" ht="15.75">
      <c r="A3" s="2" t="s">
        <v>1</v>
      </c>
      <c r="B3" s="2">
        <v>20604590371</v>
      </c>
      <c r="F3" s="794"/>
      <c r="G3" s="794"/>
      <c r="H3" s="794"/>
      <c r="I3" s="794"/>
      <c r="J3" s="794"/>
      <c r="K3" s="794"/>
      <c r="L3" s="794"/>
      <c r="M3" s="794"/>
    </row>
    <row r="4" spans="1:18" ht="15" customHeight="1">
      <c r="A4" s="2" t="s">
        <v>2277</v>
      </c>
      <c r="B4" s="796" t="s">
        <v>3680</v>
      </c>
      <c r="C4" s="796"/>
      <c r="D4" s="796"/>
      <c r="E4" s="796"/>
    </row>
    <row r="5" spans="1:18" ht="23.25" customHeight="1">
      <c r="A5" s="257" t="s">
        <v>4</v>
      </c>
      <c r="B5" s="786">
        <v>45786</v>
      </c>
      <c r="C5" s="787"/>
      <c r="F5" s="258"/>
      <c r="G5" s="788" t="s">
        <v>3257</v>
      </c>
      <c r="H5" s="788"/>
      <c r="I5" s="788"/>
      <c r="J5" s="788"/>
      <c r="K5" s="788"/>
      <c r="L5" s="788"/>
      <c r="M5" s="788"/>
    </row>
    <row r="9" spans="1:18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8" ht="30.75">
      <c r="A10" s="266">
        <v>45786</v>
      </c>
      <c r="B10" s="8">
        <v>120</v>
      </c>
      <c r="C10" s="2" t="s">
        <v>44</v>
      </c>
      <c r="D10" s="153">
        <v>45808</v>
      </c>
      <c r="E10" s="2" t="s">
        <v>23</v>
      </c>
      <c r="F10" s="2" t="s">
        <v>24</v>
      </c>
      <c r="G10" s="2">
        <v>1</v>
      </c>
      <c r="H10" s="9" t="s">
        <v>3681</v>
      </c>
      <c r="I10" s="9" t="s">
        <v>3682</v>
      </c>
      <c r="J10" s="9" t="s">
        <v>3683</v>
      </c>
      <c r="K10" s="2" t="s">
        <v>36</v>
      </c>
      <c r="L10" s="2" t="s">
        <v>26</v>
      </c>
      <c r="M10">
        <v>1.4</v>
      </c>
    </row>
    <row r="11" spans="1:18" ht="30.75">
      <c r="A11" s="7">
        <v>45835</v>
      </c>
      <c r="B11" s="8">
        <v>120</v>
      </c>
      <c r="C11" t="s">
        <v>57</v>
      </c>
      <c r="D11" s="153">
        <v>45835</v>
      </c>
      <c r="E11" s="2" t="s">
        <v>23</v>
      </c>
      <c r="F11" s="2" t="s">
        <v>24</v>
      </c>
      <c r="G11">
        <v>2</v>
      </c>
      <c r="H11" s="76" t="s">
        <v>3684</v>
      </c>
      <c r="I11" s="9"/>
      <c r="J11" s="9" t="s">
        <v>3685</v>
      </c>
      <c r="K11" s="2"/>
      <c r="L11" s="2" t="s">
        <v>72</v>
      </c>
      <c r="M11">
        <v>1</v>
      </c>
    </row>
    <row r="12" spans="1:18" ht="30.75">
      <c r="A12" s="153">
        <v>45869</v>
      </c>
      <c r="B12" s="8">
        <v>120</v>
      </c>
      <c r="C12" t="s">
        <v>47</v>
      </c>
      <c r="D12" s="153">
        <v>45868</v>
      </c>
      <c r="E12" s="2" t="s">
        <v>23</v>
      </c>
      <c r="F12" s="2" t="s">
        <v>24</v>
      </c>
      <c r="G12">
        <v>3</v>
      </c>
      <c r="H12" s="76" t="s">
        <v>3686</v>
      </c>
      <c r="I12" s="9"/>
      <c r="J12" s="9" t="s">
        <v>3687</v>
      </c>
      <c r="K12" s="2"/>
      <c r="L12" t="s">
        <v>72</v>
      </c>
      <c r="M12">
        <v>0.5</v>
      </c>
    </row>
    <row r="13" spans="1:18" ht="30.75">
      <c r="A13" s="153">
        <v>45898</v>
      </c>
      <c r="B13" s="8">
        <v>120</v>
      </c>
      <c r="C13" t="s">
        <v>50</v>
      </c>
      <c r="D13" s="153">
        <v>45898</v>
      </c>
      <c r="E13" s="2" t="s">
        <v>23</v>
      </c>
      <c r="F13" s="2" t="s">
        <v>24</v>
      </c>
      <c r="G13">
        <v>4</v>
      </c>
      <c r="H13" s="76" t="s">
        <v>3688</v>
      </c>
      <c r="I13" s="9"/>
      <c r="J13" s="9" t="s">
        <v>3689</v>
      </c>
      <c r="K13" s="2"/>
      <c r="L13" t="s">
        <v>72</v>
      </c>
      <c r="M13">
        <v>1</v>
      </c>
    </row>
    <row r="14" spans="1:18" ht="30.75">
      <c r="A14" s="153">
        <v>45933</v>
      </c>
      <c r="B14" s="8">
        <v>120</v>
      </c>
      <c r="C14" t="s">
        <v>22</v>
      </c>
      <c r="D14" s="153">
        <v>45930</v>
      </c>
      <c r="E14" s="2" t="s">
        <v>23</v>
      </c>
      <c r="F14" s="2" t="s">
        <v>24</v>
      </c>
      <c r="G14">
        <v>5</v>
      </c>
      <c r="H14" s="76" t="s">
        <v>3690</v>
      </c>
      <c r="I14" s="9"/>
      <c r="J14" s="9" t="s">
        <v>3691</v>
      </c>
      <c r="K14" s="2"/>
      <c r="L14" t="s">
        <v>72</v>
      </c>
      <c r="M14">
        <v>1</v>
      </c>
      <c r="N14" t="s">
        <v>36</v>
      </c>
    </row>
    <row r="15" spans="1:18" ht="30.75">
      <c r="A15" s="7">
        <v>45966</v>
      </c>
      <c r="B15" s="8">
        <v>120</v>
      </c>
      <c r="C15" t="s">
        <v>54</v>
      </c>
      <c r="D15" s="7">
        <v>45961</v>
      </c>
      <c r="E15" s="2" t="s">
        <v>23</v>
      </c>
      <c r="F15" s="2" t="s">
        <v>24</v>
      </c>
      <c r="G15">
        <v>6</v>
      </c>
      <c r="H15" s="76" t="s">
        <v>3692</v>
      </c>
      <c r="I15" s="9"/>
      <c r="J15" s="9" t="s">
        <v>3693</v>
      </c>
      <c r="K15" s="2"/>
      <c r="L15" t="s">
        <v>72</v>
      </c>
      <c r="M15">
        <v>1</v>
      </c>
    </row>
    <row r="16" spans="1:18" ht="30.75">
      <c r="A16" s="7">
        <v>45992</v>
      </c>
      <c r="B16" s="8">
        <v>120</v>
      </c>
      <c r="C16" t="s">
        <v>27</v>
      </c>
      <c r="D16" s="153">
        <v>45989</v>
      </c>
      <c r="E16" s="2" t="s">
        <v>23</v>
      </c>
      <c r="F16" s="2" t="s">
        <v>24</v>
      </c>
      <c r="G16">
        <v>7</v>
      </c>
      <c r="H16" s="76" t="s">
        <v>3694</v>
      </c>
      <c r="I16" s="526"/>
      <c r="J16" s="9" t="s">
        <v>3695</v>
      </c>
      <c r="L16" t="s">
        <v>72</v>
      </c>
      <c r="M16">
        <v>1</v>
      </c>
      <c r="R16" t="s">
        <v>36</v>
      </c>
    </row>
    <row r="17" spans="1:13" ht="30.75">
      <c r="A17" s="153">
        <v>46029</v>
      </c>
      <c r="B17" s="8">
        <v>120</v>
      </c>
      <c r="C17" t="s">
        <v>30</v>
      </c>
      <c r="D17" s="153">
        <v>46020</v>
      </c>
      <c r="E17" s="2" t="s">
        <v>23</v>
      </c>
      <c r="F17" s="2" t="s">
        <v>24</v>
      </c>
      <c r="G17">
        <v>8</v>
      </c>
      <c r="H17" s="76" t="s">
        <v>3696</v>
      </c>
      <c r="I17" s="9"/>
      <c r="J17" s="9" t="s">
        <v>3697</v>
      </c>
      <c r="L17" t="s">
        <v>72</v>
      </c>
      <c r="M17">
        <v>1</v>
      </c>
    </row>
    <row r="18" spans="1:13" ht="30.75">
      <c r="A18" s="153">
        <v>46060</v>
      </c>
      <c r="B18" s="8">
        <v>120</v>
      </c>
      <c r="C18" t="s">
        <v>32</v>
      </c>
      <c r="D18" s="153">
        <v>46053</v>
      </c>
      <c r="E18" s="2" t="s">
        <v>23</v>
      </c>
      <c r="F18" s="2" t="s">
        <v>24</v>
      </c>
      <c r="G18">
        <v>9</v>
      </c>
      <c r="H18" s="76" t="s">
        <v>3698</v>
      </c>
      <c r="I18" s="9"/>
      <c r="J18" s="9" t="s">
        <v>3699</v>
      </c>
      <c r="L18" t="s">
        <v>72</v>
      </c>
      <c r="M18">
        <v>1</v>
      </c>
    </row>
    <row r="19" spans="1:13" ht="30.75">
      <c r="A19" s="153">
        <v>46112</v>
      </c>
      <c r="B19" s="8">
        <v>120</v>
      </c>
      <c r="C19" t="s">
        <v>38</v>
      </c>
      <c r="D19" s="153">
        <v>46112</v>
      </c>
      <c r="E19" s="2" t="s">
        <v>23</v>
      </c>
      <c r="F19" s="2" t="s">
        <v>24</v>
      </c>
      <c r="G19">
        <v>10</v>
      </c>
      <c r="H19" s="76" t="s">
        <v>3700</v>
      </c>
      <c r="I19" s="9"/>
      <c r="J19" s="9" t="s">
        <v>3701</v>
      </c>
      <c r="L19" t="s">
        <v>73</v>
      </c>
      <c r="M19">
        <v>1</v>
      </c>
    </row>
    <row r="20" spans="1:13" ht="30.75">
      <c r="A20" s="153">
        <v>46147</v>
      </c>
      <c r="B20" s="8">
        <v>120</v>
      </c>
      <c r="C20" t="s">
        <v>41</v>
      </c>
      <c r="D20" s="153">
        <v>46141</v>
      </c>
      <c r="E20" s="2" t="s">
        <v>23</v>
      </c>
      <c r="F20" s="2" t="s">
        <v>24</v>
      </c>
      <c r="G20">
        <v>11</v>
      </c>
      <c r="H20" s="76" t="s">
        <v>3702</v>
      </c>
      <c r="I20" s="9"/>
      <c r="J20" s="9" t="s">
        <v>3703</v>
      </c>
      <c r="L20" s="616" t="s">
        <v>72</v>
      </c>
      <c r="M20">
        <v>1</v>
      </c>
    </row>
    <row r="21" spans="1:13" ht="30.75">
      <c r="A21" s="153">
        <v>46171</v>
      </c>
      <c r="B21" s="8">
        <v>120</v>
      </c>
      <c r="C21" t="s">
        <v>44</v>
      </c>
      <c r="E21" s="2" t="s">
        <v>23</v>
      </c>
      <c r="F21" s="2" t="s">
        <v>24</v>
      </c>
      <c r="G21">
        <v>12</v>
      </c>
      <c r="H21" s="76" t="s">
        <v>3704</v>
      </c>
      <c r="I21" s="9"/>
      <c r="J21" s="9"/>
      <c r="L21" s="616" t="s">
        <v>72</v>
      </c>
    </row>
    <row r="22" spans="1:13" ht="30.75">
      <c r="E22" s="2" t="s">
        <v>23</v>
      </c>
      <c r="G22">
        <v>13</v>
      </c>
      <c r="H22" s="76"/>
      <c r="I22" s="9"/>
      <c r="J22" s="9"/>
    </row>
    <row r="23" spans="1:13" ht="30.75">
      <c r="E23" s="2" t="s">
        <v>23</v>
      </c>
      <c r="G23">
        <v>14</v>
      </c>
      <c r="H23" s="76"/>
      <c r="I23" s="9"/>
      <c r="J23" s="9"/>
    </row>
    <row r="24" spans="1:13" ht="30.75">
      <c r="E24" s="2" t="s">
        <v>23</v>
      </c>
      <c r="G24">
        <v>15</v>
      </c>
      <c r="H24" s="76"/>
      <c r="I24" s="9"/>
      <c r="J24" s="9"/>
    </row>
    <row r="25" spans="1:13" ht="30.75">
      <c r="E25" s="2" t="s">
        <v>23</v>
      </c>
      <c r="G25">
        <v>16</v>
      </c>
      <c r="H25" s="76"/>
      <c r="I25" s="9"/>
    </row>
    <row r="26" spans="1:13">
      <c r="G26">
        <v>17</v>
      </c>
      <c r="H26" s="76"/>
      <c r="I26" s="9"/>
    </row>
    <row r="27" spans="1:13">
      <c r="G27">
        <v>18</v>
      </c>
      <c r="H27" s="76"/>
      <c r="I27" s="9"/>
    </row>
    <row r="28" spans="1:13">
      <c r="G28">
        <v>19</v>
      </c>
      <c r="H28" s="76"/>
      <c r="I28" s="9"/>
    </row>
    <row r="29" spans="1:13">
      <c r="G29">
        <v>20</v>
      </c>
      <c r="H29" s="76"/>
      <c r="I29" s="9"/>
    </row>
    <row r="432" spans="2:3">
      <c r="B432" t="s">
        <v>2286</v>
      </c>
      <c r="C432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29" xr:uid="{70760792-D374-47CA-8A02-E7A87FCAA514}">
      <formula1>"ENERO,FEBRERO,MARZO,ABRIL,MAYO,JUNIO,JULIO,AGOSTO,SEPTIEMBRE,OCTUBRE,NOVIEMBRE,DICIEMBRE"</formula1>
    </dataValidation>
    <dataValidation type="list" allowBlank="1" showInputMessage="1" showErrorMessage="1" sqref="F10:F29" xr:uid="{AE20BCF1-1C26-467F-A913-7EECAC49100D}">
      <formula1>"EFECTIVO, CHEQUE, TRANSFERENCIA,DEPOSITO"</formula1>
    </dataValidation>
  </dataValidations>
  <hyperlinks>
    <hyperlink ref="B4:E4" r:id="rId1" display="franroman39@hotmail.com" xr:uid="{1FA06420-33BE-47CC-ACF1-94559E1DACD3}"/>
  </hyperlinks>
  <pageMargins left="0.7" right="0.7" top="0.75" bottom="0.75" header="0.3" footer="0.3"/>
  <tableParts count="1">
    <tablePart r:id="rId2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F4D8-7CB8-4755-A558-1E8F5F79F850}">
  <dimension ref="A1:R433"/>
  <sheetViews>
    <sheetView topLeftCell="A13" workbookViewId="0">
      <selection activeCell="M22" sqref="M22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0.7109375" customWidth="1"/>
  </cols>
  <sheetData>
    <row r="1" spans="1:14" ht="23.25" customHeight="1">
      <c r="A1" s="789" t="s">
        <v>3705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3706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20611374799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3707</v>
      </c>
      <c r="C4" s="796"/>
      <c r="D4" s="796"/>
      <c r="E4" s="796"/>
    </row>
    <row r="5" spans="1:14" ht="23.25" customHeight="1">
      <c r="A5" s="257" t="s">
        <v>4</v>
      </c>
      <c r="B5" s="786">
        <v>45800</v>
      </c>
      <c r="C5" s="787"/>
      <c r="F5" s="258"/>
      <c r="G5" s="788" t="s">
        <v>2069</v>
      </c>
      <c r="H5" s="788"/>
      <c r="I5" s="788"/>
      <c r="J5" s="788"/>
      <c r="K5" s="788"/>
      <c r="L5" s="788"/>
      <c r="M5" s="788"/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45800</v>
      </c>
      <c r="B10" s="8">
        <v>70</v>
      </c>
      <c r="C10" s="2" t="s">
        <v>44</v>
      </c>
      <c r="D10" s="153">
        <v>45805</v>
      </c>
      <c r="E10" s="2" t="s">
        <v>23</v>
      </c>
      <c r="F10" s="2" t="s">
        <v>24</v>
      </c>
      <c r="G10" s="2">
        <v>1</v>
      </c>
      <c r="H10" s="9" t="s">
        <v>3708</v>
      </c>
      <c r="I10" s="9"/>
      <c r="J10" s="9" t="s">
        <v>3709</v>
      </c>
      <c r="K10" s="2" t="s">
        <v>36</v>
      </c>
      <c r="L10" s="2" t="s">
        <v>26</v>
      </c>
      <c r="M10">
        <v>5.3</v>
      </c>
    </row>
    <row r="11" spans="1:14" ht="30.75">
      <c r="A11" s="7">
        <v>45836</v>
      </c>
      <c r="B11" s="8">
        <v>70</v>
      </c>
      <c r="C11" s="2" t="s">
        <v>57</v>
      </c>
      <c r="D11" s="153">
        <v>45836</v>
      </c>
      <c r="E11" s="2" t="s">
        <v>23</v>
      </c>
      <c r="F11" s="2" t="s">
        <v>28</v>
      </c>
      <c r="G11">
        <v>2</v>
      </c>
      <c r="H11" s="76" t="s">
        <v>3710</v>
      </c>
      <c r="I11" s="9"/>
      <c r="J11" s="9" t="s">
        <v>3711</v>
      </c>
      <c r="K11" s="2"/>
      <c r="L11" s="2" t="s">
        <v>26</v>
      </c>
      <c r="M11">
        <v>5.5</v>
      </c>
    </row>
    <row r="12" spans="1:14" ht="30.75">
      <c r="A12" s="7">
        <v>45864</v>
      </c>
      <c r="B12" s="8">
        <v>70</v>
      </c>
      <c r="C12" s="2" t="s">
        <v>47</v>
      </c>
      <c r="D12" s="153">
        <v>45864</v>
      </c>
      <c r="E12" s="2" t="s">
        <v>23</v>
      </c>
      <c r="F12" s="2" t="s">
        <v>28</v>
      </c>
      <c r="G12">
        <v>3</v>
      </c>
      <c r="H12" s="76" t="s">
        <v>3712</v>
      </c>
      <c r="I12" s="9"/>
      <c r="J12" s="9" t="s">
        <v>3713</v>
      </c>
      <c r="K12" s="2"/>
      <c r="L12" s="2" t="s">
        <v>3714</v>
      </c>
      <c r="M12">
        <v>7.5</v>
      </c>
    </row>
    <row r="13" spans="1:14" ht="30.75">
      <c r="A13" s="153">
        <v>45897</v>
      </c>
      <c r="B13" s="8">
        <v>70</v>
      </c>
      <c r="C13" s="2" t="s">
        <v>50</v>
      </c>
      <c r="D13" s="153">
        <v>45897</v>
      </c>
      <c r="E13" s="2" t="s">
        <v>23</v>
      </c>
      <c r="F13" t="s">
        <v>28</v>
      </c>
      <c r="G13">
        <v>4</v>
      </c>
      <c r="H13" s="76" t="s">
        <v>3715</v>
      </c>
      <c r="I13" s="9"/>
      <c r="J13" s="9" t="s">
        <v>3716</v>
      </c>
      <c r="K13" s="2"/>
      <c r="L13" s="2" t="s">
        <v>26</v>
      </c>
      <c r="M13">
        <v>4.0999999999999996</v>
      </c>
    </row>
    <row r="14" spans="1:14" ht="30.75">
      <c r="A14" s="153">
        <v>45929</v>
      </c>
      <c r="B14" s="8">
        <v>70</v>
      </c>
      <c r="C14" s="2" t="s">
        <v>22</v>
      </c>
      <c r="D14" t="s">
        <v>3717</v>
      </c>
      <c r="E14" s="2" t="s">
        <v>23</v>
      </c>
      <c r="F14" s="2" t="s">
        <v>24</v>
      </c>
      <c r="G14">
        <v>5</v>
      </c>
      <c r="H14" s="76" t="s">
        <v>3718</v>
      </c>
      <c r="I14" s="9"/>
      <c r="J14" s="9" t="s">
        <v>3719</v>
      </c>
      <c r="K14" s="2"/>
      <c r="L14" t="s">
        <v>72</v>
      </c>
      <c r="M14">
        <v>2</v>
      </c>
    </row>
    <row r="15" spans="1:14" ht="30.75">
      <c r="A15" s="153">
        <v>45960</v>
      </c>
      <c r="B15" s="8">
        <v>70</v>
      </c>
      <c r="C15" s="2" t="s">
        <v>54</v>
      </c>
      <c r="D15" s="153">
        <v>45960</v>
      </c>
      <c r="E15" s="2" t="s">
        <v>23</v>
      </c>
      <c r="F15" s="2" t="s">
        <v>24</v>
      </c>
      <c r="G15">
        <v>6</v>
      </c>
      <c r="H15" s="76" t="s">
        <v>3720</v>
      </c>
      <c r="I15" s="9"/>
      <c r="J15" s="9" t="s">
        <v>3721</v>
      </c>
      <c r="K15" s="2"/>
      <c r="L15" t="s">
        <v>72</v>
      </c>
      <c r="M15">
        <v>1</v>
      </c>
      <c r="N15" t="s">
        <v>36</v>
      </c>
    </row>
    <row r="16" spans="1:14" ht="30.75">
      <c r="A16" s="7">
        <v>45988</v>
      </c>
      <c r="B16" s="8">
        <v>70</v>
      </c>
      <c r="C16" s="2" t="s">
        <v>27</v>
      </c>
      <c r="D16" s="7">
        <v>45988</v>
      </c>
      <c r="E16" s="2" t="s">
        <v>23</v>
      </c>
      <c r="F16" t="s">
        <v>28</v>
      </c>
      <c r="G16">
        <v>7</v>
      </c>
      <c r="H16" s="76" t="s">
        <v>3722</v>
      </c>
      <c r="I16" s="9"/>
      <c r="J16" s="9" t="s">
        <v>3723</v>
      </c>
      <c r="K16" s="2"/>
      <c r="L16" s="2" t="s">
        <v>26</v>
      </c>
      <c r="M16">
        <v>1</v>
      </c>
    </row>
    <row r="17" spans="1:18" ht="30.75">
      <c r="A17" s="7">
        <v>46018</v>
      </c>
      <c r="B17" s="8">
        <v>70</v>
      </c>
      <c r="C17" s="2" t="s">
        <v>30</v>
      </c>
      <c r="D17" s="153">
        <v>46018</v>
      </c>
      <c r="E17" s="2" t="s">
        <v>23</v>
      </c>
      <c r="F17" t="s">
        <v>28</v>
      </c>
      <c r="G17">
        <v>8</v>
      </c>
      <c r="H17" s="76" t="s">
        <v>3724</v>
      </c>
      <c r="I17" s="9"/>
      <c r="J17" s="9" t="s">
        <v>3725</v>
      </c>
      <c r="L17" s="2" t="s">
        <v>26</v>
      </c>
      <c r="M17">
        <v>1.3</v>
      </c>
      <c r="R17" t="s">
        <v>36</v>
      </c>
    </row>
    <row r="18" spans="1:18" ht="30.75">
      <c r="A18" s="153">
        <v>46052</v>
      </c>
      <c r="B18" s="8">
        <v>70</v>
      </c>
      <c r="C18" s="2" t="s">
        <v>32</v>
      </c>
      <c r="D18" s="153">
        <v>46052</v>
      </c>
      <c r="E18" s="2" t="s">
        <v>23</v>
      </c>
      <c r="F18" t="s">
        <v>28</v>
      </c>
      <c r="G18">
        <v>9</v>
      </c>
      <c r="H18" s="76" t="s">
        <v>3726</v>
      </c>
      <c r="I18" s="9"/>
      <c r="J18" s="9" t="s">
        <v>3643</v>
      </c>
      <c r="L18" s="2" t="s">
        <v>26</v>
      </c>
      <c r="M18">
        <v>1.5</v>
      </c>
    </row>
    <row r="19" spans="1:18" ht="30.75">
      <c r="A19" s="153">
        <v>46081</v>
      </c>
      <c r="B19" s="8">
        <v>70</v>
      </c>
      <c r="C19" s="2" t="s">
        <v>34</v>
      </c>
      <c r="D19" s="153">
        <v>46081</v>
      </c>
      <c r="E19" s="2" t="s">
        <v>23</v>
      </c>
      <c r="F19" t="s">
        <v>28</v>
      </c>
      <c r="G19">
        <v>10</v>
      </c>
      <c r="H19" s="76" t="s">
        <v>3727</v>
      </c>
      <c r="I19" s="9"/>
      <c r="J19" s="9" t="s">
        <v>3728</v>
      </c>
      <c r="L19" s="2" t="s">
        <v>26</v>
      </c>
      <c r="M19">
        <v>4.0999999999999996</v>
      </c>
    </row>
    <row r="20" spans="1:18" ht="30.75">
      <c r="A20" s="153">
        <v>46142</v>
      </c>
      <c r="B20" s="8">
        <v>70</v>
      </c>
      <c r="C20" t="s">
        <v>41</v>
      </c>
      <c r="D20" s="153">
        <v>46142</v>
      </c>
      <c r="E20" s="2" t="s">
        <v>23</v>
      </c>
      <c r="F20" t="s">
        <v>28</v>
      </c>
      <c r="G20">
        <v>11</v>
      </c>
      <c r="H20" s="76" t="s">
        <v>3729</v>
      </c>
      <c r="I20" s="9"/>
      <c r="J20" s="9" t="s">
        <v>3730</v>
      </c>
      <c r="L20" s="2" t="s">
        <v>26</v>
      </c>
      <c r="M20">
        <v>3.1</v>
      </c>
    </row>
    <row r="21" spans="1:18" ht="30.75">
      <c r="B21" s="154"/>
      <c r="D21" s="153">
        <v>46170</v>
      </c>
      <c r="E21" s="2" t="s">
        <v>23</v>
      </c>
      <c r="G21">
        <v>12</v>
      </c>
      <c r="H21" s="76"/>
      <c r="I21" s="9"/>
      <c r="J21" s="9" t="s">
        <v>3731</v>
      </c>
      <c r="M21">
        <v>2.2000000000000002</v>
      </c>
    </row>
    <row r="22" spans="1:18" ht="30.75">
      <c r="E22" s="2" t="s">
        <v>23</v>
      </c>
      <c r="G22">
        <v>13</v>
      </c>
      <c r="H22" s="76"/>
      <c r="I22" s="9"/>
      <c r="J22" s="9"/>
    </row>
    <row r="23" spans="1:18" ht="30.75">
      <c r="E23" s="2" t="s">
        <v>23</v>
      </c>
      <c r="G23">
        <v>14</v>
      </c>
      <c r="H23" s="76"/>
      <c r="I23" s="9"/>
      <c r="J23" s="9"/>
    </row>
    <row r="24" spans="1:18" ht="30.75">
      <c r="E24" s="2" t="s">
        <v>23</v>
      </c>
      <c r="G24">
        <v>15</v>
      </c>
      <c r="H24" s="76"/>
      <c r="I24" s="9"/>
      <c r="J24" s="9"/>
    </row>
    <row r="25" spans="1:18" ht="30.75">
      <c r="E25" s="2" t="s">
        <v>23</v>
      </c>
      <c r="G25">
        <v>16</v>
      </c>
      <c r="H25" s="76"/>
      <c r="I25" s="9"/>
      <c r="J25" s="9"/>
    </row>
    <row r="26" spans="1:18" ht="30.75">
      <c r="E26" s="2" t="s">
        <v>23</v>
      </c>
      <c r="G26">
        <v>17</v>
      </c>
      <c r="H26" s="76"/>
      <c r="I26" s="9"/>
    </row>
    <row r="27" spans="1:18">
      <c r="G27">
        <v>18</v>
      </c>
      <c r="H27" s="76"/>
      <c r="I27" s="9"/>
    </row>
    <row r="28" spans="1:18">
      <c r="G28">
        <v>19</v>
      </c>
      <c r="H28" s="76"/>
      <c r="I28" s="9"/>
    </row>
    <row r="29" spans="1:18">
      <c r="G29">
        <v>20</v>
      </c>
      <c r="H29" s="76"/>
      <c r="I29" s="9"/>
    </row>
    <row r="30" spans="1:18">
      <c r="G30">
        <v>21</v>
      </c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3F20EF4D-CFDC-4B49-B963-CDD9D4F6A343}">
      <formula1>"ENERO,FEBRERO,MARZO,ABRIL,MAYO,JUNIO,JULIO,AGOSTO,SEPTIEMBRE,OCTUBRE,NOVIEMBRE,DICIEMBRE"</formula1>
    </dataValidation>
    <dataValidation type="list" allowBlank="1" showInputMessage="1" showErrorMessage="1" sqref="F10:F30" xr:uid="{0218F16E-EBA0-4406-BACE-187B979091A2}">
      <formula1>"EFECTIVO, CHEQUE, TRANSFERENCIA,DEPOSITO"</formula1>
    </dataValidation>
  </dataValidations>
  <hyperlinks>
    <hyperlink ref="B4:E4" r:id="rId1" display="alonzovet25@gmail.com" xr:uid="{F7894226-96BA-4B15-8898-0F5C944027B6}"/>
  </hyperlinks>
  <pageMargins left="0.7" right="0.7" top="0.75" bottom="0.75" header="0.3" footer="0.3"/>
  <tableParts count="1">
    <tablePart r:id="rId2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BAAD-9947-4714-BA27-62259FB7C40E}">
  <dimension ref="A1:S433"/>
  <sheetViews>
    <sheetView workbookViewId="0">
      <selection activeCell="N12" sqref="N12"/>
    </sheetView>
  </sheetViews>
  <sheetFormatPr defaultRowHeight="15"/>
  <cols>
    <col min="1" max="1" width="18" customWidth="1"/>
    <col min="2" max="2" width="12.5703125" bestFit="1" customWidth="1"/>
    <col min="3" max="5" width="13.7109375" bestFit="1" customWidth="1"/>
    <col min="6" max="6" width="15.7109375" customWidth="1"/>
    <col min="7" max="8" width="13.7109375" bestFit="1" customWidth="1"/>
    <col min="9" max="9" width="10.28515625" customWidth="1"/>
    <col min="10" max="10" width="13.7109375" bestFit="1" customWidth="1"/>
    <col min="11" max="11" width="9.28515625" bestFit="1" customWidth="1"/>
    <col min="12" max="12" width="13.7109375" bestFit="1" customWidth="1"/>
    <col min="13" max="13" width="9.28515625" bestFit="1" customWidth="1"/>
  </cols>
  <sheetData>
    <row r="1" spans="1:18" ht="40.5" customHeight="1">
      <c r="A1" s="812" t="s">
        <v>3732</v>
      </c>
      <c r="B1" s="813"/>
      <c r="C1" s="813"/>
      <c r="D1" s="813"/>
      <c r="E1" s="813"/>
      <c r="F1" s="813"/>
      <c r="G1" s="813"/>
      <c r="H1" s="813"/>
    </row>
    <row r="2" spans="1:18" ht="30.75">
      <c r="A2" s="2" t="s">
        <v>1729</v>
      </c>
      <c r="B2" s="790" t="s">
        <v>3733</v>
      </c>
      <c r="C2" s="790"/>
      <c r="D2" s="790"/>
      <c r="E2" s="790"/>
      <c r="F2" s="790"/>
      <c r="G2" s="256"/>
      <c r="H2" s="693" t="s">
        <v>5</v>
      </c>
      <c r="I2" s="693"/>
      <c r="J2" s="693"/>
      <c r="K2" s="693"/>
      <c r="L2" s="693"/>
    </row>
    <row r="3" spans="1:18" ht="32.25" customHeight="1">
      <c r="A3" s="2" t="s">
        <v>1</v>
      </c>
      <c r="B3" s="814">
        <v>10469256621</v>
      </c>
      <c r="C3" s="814"/>
      <c r="D3" s="814"/>
      <c r="E3" s="814"/>
      <c r="F3" s="814"/>
      <c r="G3" s="637"/>
      <c r="H3" s="637"/>
      <c r="I3" s="637"/>
      <c r="J3" s="637" t="s">
        <v>36</v>
      </c>
      <c r="K3" s="637"/>
      <c r="L3" s="637" t="s">
        <v>36</v>
      </c>
      <c r="M3" s="637"/>
      <c r="N3" s="637"/>
    </row>
    <row r="4" spans="1:18">
      <c r="A4" s="2" t="s">
        <v>2277</v>
      </c>
      <c r="B4" s="798" t="s">
        <v>3734</v>
      </c>
      <c r="C4" s="798"/>
      <c r="D4" s="798"/>
      <c r="E4" s="798"/>
    </row>
    <row r="5" spans="1:18" ht="23.25">
      <c r="A5" s="257" t="s">
        <v>4</v>
      </c>
      <c r="B5" s="786">
        <v>45877</v>
      </c>
      <c r="C5" s="787"/>
      <c r="F5" s="258"/>
      <c r="G5" s="806" t="s">
        <v>2069</v>
      </c>
      <c r="H5" s="788"/>
      <c r="I5" s="788"/>
      <c r="J5" s="788"/>
      <c r="K5" s="788"/>
      <c r="L5" s="788"/>
      <c r="M5" s="788"/>
      <c r="N5" s="788"/>
    </row>
    <row r="9" spans="1:18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2454</v>
      </c>
      <c r="L9" s="259" t="s">
        <v>18</v>
      </c>
      <c r="M9" s="265" t="s">
        <v>2779</v>
      </c>
      <c r="N9" s="260"/>
      <c r="R9" s="260"/>
    </row>
    <row r="10" spans="1:18" ht="30.75">
      <c r="A10" s="266">
        <v>45876</v>
      </c>
      <c r="B10" s="8">
        <v>70</v>
      </c>
      <c r="C10" s="2" t="s">
        <v>22</v>
      </c>
      <c r="D10" s="153">
        <v>45929</v>
      </c>
      <c r="E10" s="2" t="s">
        <v>23</v>
      </c>
      <c r="F10" s="2" t="s">
        <v>24</v>
      </c>
      <c r="G10" s="2">
        <v>1</v>
      </c>
      <c r="H10" s="9" t="s">
        <v>3735</v>
      </c>
      <c r="I10" s="9"/>
      <c r="J10" s="9" t="s">
        <v>3736</v>
      </c>
      <c r="K10" s="9"/>
      <c r="L10" s="2" t="s">
        <v>26</v>
      </c>
      <c r="M10">
        <v>7.5</v>
      </c>
    </row>
    <row r="11" spans="1:18" ht="30.75">
      <c r="A11" s="153">
        <v>45960</v>
      </c>
      <c r="B11" s="8">
        <v>70</v>
      </c>
      <c r="C11" s="2" t="s">
        <v>54</v>
      </c>
      <c r="D11" s="153">
        <v>45960</v>
      </c>
      <c r="E11" s="2" t="s">
        <v>23</v>
      </c>
      <c r="F11" s="2" t="s">
        <v>24</v>
      </c>
      <c r="G11" s="2">
        <v>2</v>
      </c>
      <c r="H11" s="76" t="s">
        <v>3737</v>
      </c>
      <c r="I11" s="9"/>
      <c r="J11" s="9" t="s">
        <v>3738</v>
      </c>
      <c r="K11" s="9"/>
      <c r="L11" s="2" t="s">
        <v>72</v>
      </c>
      <c r="M11">
        <v>2.5</v>
      </c>
    </row>
    <row r="12" spans="1:18" ht="30.75">
      <c r="A12" s="266">
        <v>45988</v>
      </c>
      <c r="B12" s="8">
        <v>70</v>
      </c>
      <c r="C12" s="2" t="s">
        <v>27</v>
      </c>
      <c r="D12" s="153">
        <v>45988</v>
      </c>
      <c r="E12" s="2" t="s">
        <v>23</v>
      </c>
      <c r="F12" s="2" t="s">
        <v>24</v>
      </c>
      <c r="G12" s="2"/>
      <c r="H12" s="76" t="s">
        <v>3739</v>
      </c>
      <c r="I12" s="9"/>
      <c r="J12" s="9" t="s">
        <v>3740</v>
      </c>
      <c r="K12" s="9"/>
      <c r="L12" s="2" t="s">
        <v>72</v>
      </c>
      <c r="M12">
        <v>1.5</v>
      </c>
    </row>
    <row r="13" spans="1:18" ht="30.75">
      <c r="A13" s="153">
        <v>46018</v>
      </c>
      <c r="B13" s="8">
        <v>70</v>
      </c>
      <c r="C13" s="2" t="s">
        <v>30</v>
      </c>
      <c r="D13" s="153">
        <v>46018</v>
      </c>
      <c r="E13" s="2" t="s">
        <v>23</v>
      </c>
      <c r="F13" s="2" t="s">
        <v>24</v>
      </c>
      <c r="H13" s="76" t="s">
        <v>3741</v>
      </c>
      <c r="I13" s="9"/>
      <c r="J13" s="9" t="s">
        <v>3742</v>
      </c>
      <c r="K13" s="9"/>
      <c r="L13" s="2" t="s">
        <v>72</v>
      </c>
      <c r="M13">
        <v>3.5</v>
      </c>
    </row>
    <row r="14" spans="1:18" ht="30.75">
      <c r="A14" s="153">
        <v>46056</v>
      </c>
      <c r="B14" s="8">
        <v>70</v>
      </c>
      <c r="C14" t="s">
        <v>32</v>
      </c>
      <c r="D14" s="153">
        <v>46052</v>
      </c>
      <c r="E14" s="2" t="s">
        <v>23</v>
      </c>
      <c r="F14" s="2" t="s">
        <v>24</v>
      </c>
      <c r="H14" s="76" t="s">
        <v>3743</v>
      </c>
      <c r="I14" s="9"/>
      <c r="J14" s="9" t="s">
        <v>3744</v>
      </c>
      <c r="K14" s="9"/>
      <c r="L14" s="2" t="s">
        <v>72</v>
      </c>
      <c r="M14">
        <v>1.5</v>
      </c>
    </row>
    <row r="15" spans="1:18" ht="30.75">
      <c r="A15" s="153">
        <v>46081</v>
      </c>
      <c r="B15" s="8">
        <v>70</v>
      </c>
      <c r="C15" t="s">
        <v>34</v>
      </c>
      <c r="D15" s="153">
        <v>46081</v>
      </c>
      <c r="E15" s="2" t="s">
        <v>23</v>
      </c>
      <c r="F15" t="s">
        <v>28</v>
      </c>
      <c r="H15" s="76" t="s">
        <v>3745</v>
      </c>
      <c r="I15" s="9"/>
      <c r="J15" s="9" t="s">
        <v>3746</v>
      </c>
      <c r="K15" s="9"/>
      <c r="L15" s="2" t="s">
        <v>26</v>
      </c>
      <c r="M15">
        <v>1.8</v>
      </c>
      <c r="R15" t="s">
        <v>36</v>
      </c>
    </row>
    <row r="16" spans="1:18" ht="30.75">
      <c r="A16" s="7">
        <v>46112</v>
      </c>
      <c r="B16" s="8">
        <v>70</v>
      </c>
      <c r="C16" t="s">
        <v>38</v>
      </c>
      <c r="D16" s="7">
        <v>46112</v>
      </c>
      <c r="E16" s="2" t="s">
        <v>23</v>
      </c>
      <c r="F16" s="2" t="s">
        <v>24</v>
      </c>
      <c r="G16" s="2"/>
      <c r="H16" s="76" t="s">
        <v>3747</v>
      </c>
      <c r="I16" s="9"/>
      <c r="J16" s="9" t="s">
        <v>3748</v>
      </c>
      <c r="K16" s="9"/>
      <c r="L16" s="2" t="s">
        <v>72</v>
      </c>
      <c r="M16">
        <v>2.8</v>
      </c>
    </row>
    <row r="17" spans="1:19" ht="30.75">
      <c r="A17" s="7">
        <v>46144</v>
      </c>
      <c r="B17" s="8">
        <v>70</v>
      </c>
      <c r="C17" t="s">
        <v>41</v>
      </c>
      <c r="D17" s="153">
        <v>46142</v>
      </c>
      <c r="E17" s="2" t="s">
        <v>23</v>
      </c>
      <c r="F17" s="2" t="s">
        <v>24</v>
      </c>
      <c r="H17" s="76" t="s">
        <v>3749</v>
      </c>
      <c r="I17" s="9"/>
      <c r="J17" s="9" t="s">
        <v>3750</v>
      </c>
      <c r="K17" s="9"/>
      <c r="L17" s="2" t="s">
        <v>72</v>
      </c>
      <c r="M17">
        <v>2.2999999999999998</v>
      </c>
      <c r="S17" t="s">
        <v>36</v>
      </c>
    </row>
    <row r="18" spans="1:19" ht="30.75">
      <c r="B18" s="154"/>
      <c r="E18" s="2" t="s">
        <v>23</v>
      </c>
      <c r="H18" s="76"/>
      <c r="I18" s="9"/>
      <c r="J18" s="9"/>
      <c r="K18" s="9"/>
      <c r="R18" t="s">
        <v>2620</v>
      </c>
    </row>
    <row r="19" spans="1:19" ht="30.75">
      <c r="B19" s="154"/>
      <c r="E19" s="2" t="s">
        <v>23</v>
      </c>
      <c r="H19" s="76"/>
      <c r="I19" s="9"/>
      <c r="J19" s="9"/>
      <c r="K19" s="9"/>
    </row>
    <row r="20" spans="1:19" ht="30.75">
      <c r="B20" s="154"/>
      <c r="E20" s="2" t="s">
        <v>23</v>
      </c>
      <c r="H20" s="76"/>
      <c r="I20" s="9"/>
      <c r="J20" s="9"/>
      <c r="K20" s="9"/>
    </row>
    <row r="21" spans="1:19" ht="30.75">
      <c r="B21" s="154"/>
      <c r="E21" s="2" t="s">
        <v>23</v>
      </c>
      <c r="H21" s="76"/>
      <c r="I21" s="9"/>
      <c r="J21" s="9"/>
      <c r="K21" s="9"/>
    </row>
    <row r="22" spans="1:19" ht="30.75">
      <c r="E22" s="2" t="s">
        <v>23</v>
      </c>
      <c r="H22" s="76"/>
      <c r="I22" s="9"/>
      <c r="J22" s="9"/>
      <c r="K22" s="9"/>
    </row>
    <row r="23" spans="1:19" ht="30.75">
      <c r="E23" s="2" t="s">
        <v>23</v>
      </c>
      <c r="H23" s="76"/>
      <c r="I23" s="9"/>
      <c r="J23" s="9"/>
      <c r="K23" s="9"/>
    </row>
    <row r="24" spans="1:19" ht="30.75">
      <c r="E24" s="2" t="s">
        <v>23</v>
      </c>
      <c r="H24" s="76"/>
      <c r="I24" s="9"/>
      <c r="J24" s="9"/>
      <c r="K24" s="9"/>
    </row>
    <row r="25" spans="1:19" ht="30.75">
      <c r="E25" s="2" t="s">
        <v>23</v>
      </c>
      <c r="H25" s="76"/>
      <c r="I25" s="9"/>
      <c r="J25" s="9"/>
      <c r="K25" s="9"/>
    </row>
    <row r="26" spans="1:19" ht="30.75">
      <c r="E26" s="2" t="s">
        <v>23</v>
      </c>
      <c r="H26" s="76"/>
      <c r="I26" s="9"/>
    </row>
    <row r="27" spans="1:19">
      <c r="H27" s="76"/>
      <c r="I27" s="9"/>
    </row>
    <row r="28" spans="1:19">
      <c r="H28" s="76"/>
      <c r="I28" s="9"/>
    </row>
    <row r="29" spans="1:19">
      <c r="H29" s="76"/>
      <c r="I29" s="9"/>
    </row>
    <row r="30" spans="1:19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N5"/>
    <mergeCell ref="A1:H1"/>
    <mergeCell ref="B2:F2"/>
    <mergeCell ref="H2:L2"/>
    <mergeCell ref="B3:F3"/>
    <mergeCell ref="B4:E4"/>
  </mergeCells>
  <dataValidations count="2">
    <dataValidation type="list" allowBlank="1" showInputMessage="1" showErrorMessage="1" sqref="F10:F30" xr:uid="{CCC425ED-68A0-44FC-8E28-35E98BDD7721}">
      <formula1>"EFECTIVO, CHEQUE, TRANSFERENCIA,DEPOSITO"</formula1>
    </dataValidation>
    <dataValidation type="list" allowBlank="1" showInputMessage="1" showErrorMessage="1" sqref="C10:C30" xr:uid="{4D3612D9-4721-495A-8E49-C00B255125B7}">
      <formula1>"ENERO,FEBRERO,MARZO,ABRIL,MAYO,JUNIO,JULIO,AGOSTO,SEPTIEMBRE,OCTUBRE,NOVIEMBRE,DICIEMBRE"</formula1>
    </dataValidation>
  </dataValidations>
  <hyperlinks>
    <hyperlink ref="B4:E4" r:id="rId1" display="zayoncayo@gmail.com" xr:uid="{6AFF41D2-DCAC-4482-8447-FF66C471384B}"/>
  </hyperlinks>
  <pageMargins left="0.7" right="0.7" top="0.75" bottom="0.75" header="0.3" footer="0.3"/>
  <tableParts count="1">
    <tablePart r:id="rId2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1539-3F63-47D2-912C-6B2CDB1A9C1D}">
  <dimension ref="A1:N34"/>
  <sheetViews>
    <sheetView topLeftCell="A18" workbookViewId="0">
      <selection activeCell="J30" sqref="J30"/>
    </sheetView>
  </sheetViews>
  <sheetFormatPr defaultRowHeight="15"/>
  <cols>
    <col min="1" max="1" width="18" customWidth="1"/>
    <col min="2" max="2" width="12.5703125" bestFit="1" customWidth="1"/>
    <col min="3" max="5" width="13.7109375" bestFit="1" customWidth="1"/>
    <col min="6" max="6" width="15.28515625" bestFit="1" customWidth="1"/>
    <col min="7" max="10" width="13.7109375" bestFit="1" customWidth="1"/>
    <col min="11" max="11" width="9.28515625" bestFit="1" customWidth="1"/>
    <col min="12" max="12" width="13.7109375" bestFit="1" customWidth="1"/>
    <col min="13" max="13" width="9.28515625" bestFit="1" customWidth="1"/>
  </cols>
  <sheetData>
    <row r="1" spans="1:14" ht="50.25" customHeight="1">
      <c r="A1" s="812" t="s">
        <v>3751</v>
      </c>
      <c r="B1" s="813"/>
      <c r="C1" s="813"/>
      <c r="D1" s="813"/>
      <c r="E1" s="813"/>
      <c r="F1" s="813"/>
      <c r="G1" s="813"/>
      <c r="H1" s="813"/>
    </row>
    <row r="2" spans="1:14" ht="45.75">
      <c r="A2" s="2" t="s">
        <v>1729</v>
      </c>
      <c r="B2" s="790" t="s">
        <v>3752</v>
      </c>
      <c r="C2" s="790"/>
      <c r="D2" s="790"/>
      <c r="E2" s="790"/>
      <c r="F2" s="790"/>
      <c r="G2" s="256"/>
      <c r="H2" s="793" t="s">
        <v>5</v>
      </c>
      <c r="I2" s="793"/>
      <c r="J2" s="793"/>
      <c r="K2" s="793"/>
      <c r="L2" s="793"/>
    </row>
    <row r="3" spans="1:14" ht="34.5" customHeight="1">
      <c r="A3" s="2" t="s">
        <v>1</v>
      </c>
      <c r="B3" s="814">
        <v>10705649796</v>
      </c>
      <c r="C3" s="814"/>
      <c r="D3" s="814"/>
      <c r="E3" s="814"/>
      <c r="F3" s="814"/>
      <c r="G3" s="637"/>
      <c r="H3" s="637"/>
      <c r="I3" s="637"/>
      <c r="J3" s="637" t="s">
        <v>36</v>
      </c>
      <c r="K3" s="637"/>
      <c r="L3" s="637" t="s">
        <v>36</v>
      </c>
      <c r="M3" s="637"/>
      <c r="N3" s="637"/>
    </row>
    <row r="4" spans="1:14" ht="30.75">
      <c r="A4" s="2" t="s">
        <v>2277</v>
      </c>
      <c r="B4" s="798" t="s">
        <v>3753</v>
      </c>
      <c r="C4" s="798"/>
      <c r="D4" s="798"/>
      <c r="E4" s="798"/>
    </row>
    <row r="5" spans="1:14" ht="41.25">
      <c r="A5" s="257" t="s">
        <v>4</v>
      </c>
      <c r="B5" s="786">
        <v>45824</v>
      </c>
      <c r="C5" s="787"/>
      <c r="F5" s="258"/>
      <c r="G5" s="806" t="s">
        <v>2069</v>
      </c>
      <c r="H5" s="788"/>
      <c r="I5" s="788"/>
      <c r="J5" s="788"/>
      <c r="K5" s="788"/>
      <c r="L5" s="788"/>
      <c r="M5" s="788"/>
      <c r="N5" s="788"/>
    </row>
    <row r="9" spans="1:14" ht="75.75">
      <c r="A9" s="574" t="s">
        <v>7</v>
      </c>
      <c r="B9" s="574" t="s">
        <v>8</v>
      </c>
      <c r="C9" s="574" t="s">
        <v>9</v>
      </c>
      <c r="D9" s="574" t="s">
        <v>10</v>
      </c>
      <c r="E9" s="574" t="s">
        <v>11</v>
      </c>
      <c r="F9" s="574" t="s">
        <v>12</v>
      </c>
      <c r="G9" s="574" t="s">
        <v>13</v>
      </c>
      <c r="H9" s="574" t="s">
        <v>14</v>
      </c>
      <c r="I9" s="574" t="s">
        <v>15</v>
      </c>
      <c r="J9" s="574" t="s">
        <v>16</v>
      </c>
      <c r="K9" s="574" t="s">
        <v>2454</v>
      </c>
      <c r="L9" s="574" t="s">
        <v>18</v>
      </c>
      <c r="M9" s="575" t="s">
        <v>2779</v>
      </c>
      <c r="N9" s="260"/>
    </row>
    <row r="10" spans="1:14" ht="30.75">
      <c r="A10" s="578">
        <v>45824</v>
      </c>
      <c r="B10" s="579">
        <v>70</v>
      </c>
      <c r="C10" s="580" t="s">
        <v>57</v>
      </c>
      <c r="D10" s="581">
        <v>45836</v>
      </c>
      <c r="E10" s="580" t="s">
        <v>23</v>
      </c>
      <c r="F10" s="580" t="s">
        <v>24</v>
      </c>
      <c r="G10" s="580">
        <v>1</v>
      </c>
      <c r="H10" s="582" t="s">
        <v>3754</v>
      </c>
      <c r="I10" s="582"/>
      <c r="J10" s="582" t="s">
        <v>3755</v>
      </c>
      <c r="K10" s="582"/>
      <c r="L10" s="580" t="s">
        <v>26</v>
      </c>
      <c r="M10" s="583">
        <v>2.1</v>
      </c>
    </row>
    <row r="11" spans="1:14" ht="30.75">
      <c r="A11" s="578">
        <v>45864</v>
      </c>
      <c r="B11" s="579">
        <v>70</v>
      </c>
      <c r="C11" s="580" t="s">
        <v>47</v>
      </c>
      <c r="D11" s="581">
        <v>45864</v>
      </c>
      <c r="E11" s="580" t="s">
        <v>23</v>
      </c>
      <c r="F11" s="580" t="s">
        <v>24</v>
      </c>
      <c r="G11" s="580">
        <v>2</v>
      </c>
      <c r="H11" s="584" t="s">
        <v>3756</v>
      </c>
      <c r="I11" s="582"/>
      <c r="J11" s="582" t="s">
        <v>3757</v>
      </c>
      <c r="K11" s="582"/>
      <c r="L11" s="580" t="s">
        <v>72</v>
      </c>
      <c r="M11" s="583">
        <v>4.5</v>
      </c>
    </row>
    <row r="12" spans="1:14" ht="30.75">
      <c r="A12" s="581">
        <v>45897</v>
      </c>
      <c r="B12" s="579">
        <v>70</v>
      </c>
      <c r="C12" s="580" t="s">
        <v>50</v>
      </c>
      <c r="D12" s="581">
        <v>45897</v>
      </c>
      <c r="E12" s="580" t="s">
        <v>23</v>
      </c>
      <c r="F12" s="580" t="s">
        <v>24</v>
      </c>
      <c r="G12" s="580">
        <v>3</v>
      </c>
      <c r="H12" s="584" t="s">
        <v>3758</v>
      </c>
      <c r="I12" s="582"/>
      <c r="J12" s="582" t="s">
        <v>3759</v>
      </c>
      <c r="K12" s="582"/>
      <c r="L12" s="580" t="s">
        <v>72</v>
      </c>
      <c r="M12" s="583">
        <v>2.1</v>
      </c>
    </row>
    <row r="13" spans="1:14" ht="30.75">
      <c r="A13" s="581">
        <v>45929</v>
      </c>
      <c r="B13" s="579">
        <v>70</v>
      </c>
      <c r="C13" s="580" t="s">
        <v>22</v>
      </c>
      <c r="D13" s="581">
        <v>45929</v>
      </c>
      <c r="E13" s="580" t="s">
        <v>23</v>
      </c>
      <c r="F13" s="583" t="s">
        <v>28</v>
      </c>
      <c r="G13" s="580">
        <v>4</v>
      </c>
      <c r="H13" s="584" t="s">
        <v>3760</v>
      </c>
      <c r="I13" s="582"/>
      <c r="J13" s="582" t="s">
        <v>3761</v>
      </c>
      <c r="K13" s="582"/>
      <c r="L13" s="580" t="s">
        <v>26</v>
      </c>
      <c r="M13" s="583">
        <v>1.9</v>
      </c>
    </row>
    <row r="14" spans="1:14" ht="30.75">
      <c r="A14" s="581">
        <v>45960</v>
      </c>
      <c r="B14" s="579">
        <v>70</v>
      </c>
      <c r="C14" s="580" t="s">
        <v>54</v>
      </c>
      <c r="D14" s="581">
        <v>45960</v>
      </c>
      <c r="E14" s="580" t="s">
        <v>23</v>
      </c>
      <c r="F14" s="583" t="s">
        <v>24</v>
      </c>
      <c r="G14" s="580">
        <v>5</v>
      </c>
      <c r="H14" s="584" t="s">
        <v>3762</v>
      </c>
      <c r="I14" s="582"/>
      <c r="J14" s="582" t="s">
        <v>3763</v>
      </c>
      <c r="K14" s="582"/>
      <c r="L14" s="580" t="s">
        <v>72</v>
      </c>
      <c r="M14" s="583">
        <v>1.5</v>
      </c>
    </row>
    <row r="15" spans="1:14" ht="30.75">
      <c r="A15" s="581">
        <v>45988</v>
      </c>
      <c r="B15" s="579">
        <v>70</v>
      </c>
      <c r="C15" s="580" t="s">
        <v>27</v>
      </c>
      <c r="D15" s="581">
        <v>45988</v>
      </c>
      <c r="E15" s="580" t="s">
        <v>23</v>
      </c>
      <c r="F15" s="583" t="s">
        <v>24</v>
      </c>
      <c r="G15" s="580">
        <v>6</v>
      </c>
      <c r="H15" s="584" t="s">
        <v>3764</v>
      </c>
      <c r="I15" s="582"/>
      <c r="J15" s="582" t="s">
        <v>3765</v>
      </c>
      <c r="K15" s="582"/>
      <c r="L15" s="580" t="s">
        <v>72</v>
      </c>
      <c r="M15" s="583">
        <v>1</v>
      </c>
    </row>
    <row r="16" spans="1:14" ht="30.75">
      <c r="A16" s="603">
        <v>46018</v>
      </c>
      <c r="B16" s="604">
        <v>70</v>
      </c>
      <c r="C16" s="605" t="s">
        <v>30</v>
      </c>
      <c r="D16" s="603">
        <v>46018</v>
      </c>
      <c r="E16" s="605" t="s">
        <v>23</v>
      </c>
      <c r="F16" s="606" t="s">
        <v>24</v>
      </c>
      <c r="G16" s="605">
        <v>7</v>
      </c>
      <c r="H16" s="607" t="s">
        <v>3766</v>
      </c>
      <c r="I16" s="608"/>
      <c r="J16" s="608" t="s">
        <v>3767</v>
      </c>
      <c r="K16" s="608"/>
      <c r="L16" s="605" t="s">
        <v>72</v>
      </c>
      <c r="M16" s="606">
        <v>1</v>
      </c>
    </row>
    <row r="17" spans="1:13" ht="30.75">
      <c r="A17" s="581">
        <v>46052</v>
      </c>
      <c r="B17" s="579">
        <v>70</v>
      </c>
      <c r="C17" s="580" t="s">
        <v>32</v>
      </c>
      <c r="D17" s="581">
        <v>46052</v>
      </c>
      <c r="E17" s="580" t="s">
        <v>23</v>
      </c>
      <c r="F17" s="580" t="s">
        <v>28</v>
      </c>
      <c r="G17" s="580">
        <v>8</v>
      </c>
      <c r="H17" s="584" t="s">
        <v>3768</v>
      </c>
      <c r="I17" s="582"/>
      <c r="J17" s="582" t="s">
        <v>3769</v>
      </c>
      <c r="K17" s="582"/>
      <c r="L17" s="583" t="s">
        <v>26</v>
      </c>
      <c r="M17" s="583">
        <v>1.2</v>
      </c>
    </row>
    <row r="18" spans="1:13" ht="30.75">
      <c r="A18" s="581">
        <v>46081</v>
      </c>
      <c r="B18" s="579">
        <v>70</v>
      </c>
      <c r="C18" s="580" t="s">
        <v>34</v>
      </c>
      <c r="D18" s="581">
        <v>46081</v>
      </c>
      <c r="E18" s="580" t="s">
        <v>23</v>
      </c>
      <c r="F18" s="583" t="s">
        <v>24</v>
      </c>
      <c r="G18" s="580">
        <v>9</v>
      </c>
      <c r="H18" s="584" t="s">
        <v>3770</v>
      </c>
      <c r="I18" s="582"/>
      <c r="J18" s="582" t="s">
        <v>3771</v>
      </c>
      <c r="K18" s="582"/>
      <c r="L18" s="583" t="s">
        <v>72</v>
      </c>
      <c r="M18" s="583">
        <v>1.1000000000000001</v>
      </c>
    </row>
    <row r="19" spans="1:13" ht="30.75">
      <c r="A19" s="581">
        <v>46112</v>
      </c>
      <c r="B19" s="579">
        <v>70</v>
      </c>
      <c r="C19" s="580" t="s">
        <v>38</v>
      </c>
      <c r="D19" s="581">
        <v>46112</v>
      </c>
      <c r="E19" s="580" t="s">
        <v>23</v>
      </c>
      <c r="F19" s="583" t="s">
        <v>28</v>
      </c>
      <c r="G19" s="580">
        <v>10</v>
      </c>
      <c r="H19" s="584" t="s">
        <v>3772</v>
      </c>
      <c r="I19" s="582"/>
      <c r="J19" s="582" t="s">
        <v>3773</v>
      </c>
      <c r="K19" s="582"/>
      <c r="L19" s="583" t="s">
        <v>26</v>
      </c>
      <c r="M19" s="583">
        <v>2.1</v>
      </c>
    </row>
    <row r="20" spans="1:13" ht="30.75">
      <c r="A20" s="581">
        <v>46144</v>
      </c>
      <c r="B20" s="579">
        <v>70</v>
      </c>
      <c r="C20" s="580" t="s">
        <v>41</v>
      </c>
      <c r="D20" s="581">
        <v>46142</v>
      </c>
      <c r="E20" s="580" t="s">
        <v>23</v>
      </c>
      <c r="F20" s="583" t="s">
        <v>24</v>
      </c>
      <c r="G20" s="580">
        <v>11</v>
      </c>
      <c r="H20" s="584" t="s">
        <v>3774</v>
      </c>
      <c r="I20" s="582"/>
      <c r="J20" s="582" t="s">
        <v>3775</v>
      </c>
      <c r="K20" s="582"/>
      <c r="L20" s="583" t="s">
        <v>72</v>
      </c>
      <c r="M20" s="583">
        <v>1</v>
      </c>
    </row>
    <row r="21" spans="1:13" ht="30.75">
      <c r="A21" s="583"/>
      <c r="B21" s="602"/>
      <c r="C21" s="583"/>
      <c r="D21" s="583"/>
      <c r="E21" s="580" t="s">
        <v>23</v>
      </c>
      <c r="F21" s="583"/>
      <c r="G21" s="580">
        <v>12</v>
      </c>
      <c r="H21" s="584"/>
      <c r="I21" s="582"/>
      <c r="J21" s="582"/>
      <c r="K21" s="582"/>
      <c r="L21" s="583"/>
      <c r="M21" s="583"/>
    </row>
    <row r="22" spans="1:13" ht="30.75">
      <c r="A22" s="583"/>
      <c r="B22" s="583"/>
      <c r="C22" s="583"/>
      <c r="D22" s="583"/>
      <c r="E22" s="580" t="s">
        <v>23</v>
      </c>
      <c r="F22" s="583"/>
      <c r="G22" s="580">
        <v>13</v>
      </c>
      <c r="H22" s="584"/>
      <c r="I22" s="582"/>
      <c r="J22" s="582"/>
      <c r="K22" s="582"/>
      <c r="L22" s="583"/>
      <c r="M22" s="583"/>
    </row>
    <row r="23" spans="1:13" ht="30.75">
      <c r="A23" s="583"/>
      <c r="B23" s="583"/>
      <c r="C23" s="583"/>
      <c r="D23" s="583"/>
      <c r="E23" s="580" t="s">
        <v>23</v>
      </c>
      <c r="F23" s="583"/>
      <c r="G23" s="580">
        <v>14</v>
      </c>
      <c r="H23" s="584"/>
      <c r="I23" s="582"/>
      <c r="J23" s="582"/>
      <c r="K23" s="582"/>
      <c r="L23" s="583"/>
      <c r="M23" s="583"/>
    </row>
    <row r="24" spans="1:13" ht="30.75">
      <c r="A24" s="583"/>
      <c r="B24" s="583"/>
      <c r="C24" s="583"/>
      <c r="D24" s="583"/>
      <c r="E24" s="580" t="s">
        <v>23</v>
      </c>
      <c r="F24" s="583"/>
      <c r="G24" s="580">
        <v>15</v>
      </c>
      <c r="H24" s="584"/>
      <c r="I24" s="582"/>
      <c r="J24" s="582"/>
      <c r="K24" s="582"/>
      <c r="L24" s="583"/>
      <c r="M24" s="583"/>
    </row>
    <row r="25" spans="1:13">
      <c r="A25" s="585"/>
      <c r="B25" s="585"/>
      <c r="C25" s="585"/>
      <c r="D25" s="585"/>
      <c r="E25" s="585"/>
      <c r="F25" s="585"/>
      <c r="G25" s="601">
        <v>16</v>
      </c>
      <c r="H25" s="585"/>
      <c r="I25" s="585"/>
      <c r="J25" s="585"/>
      <c r="K25" s="585"/>
      <c r="L25" s="585"/>
      <c r="M25" s="585"/>
    </row>
    <row r="26" spans="1:13">
      <c r="A26" s="585"/>
      <c r="B26" s="585"/>
      <c r="C26" s="585"/>
      <c r="D26" s="585"/>
      <c r="E26" s="585"/>
      <c r="F26" s="585"/>
      <c r="G26" s="580">
        <v>17</v>
      </c>
      <c r="H26" s="585"/>
      <c r="I26" s="585"/>
      <c r="J26" s="585"/>
      <c r="K26" s="585"/>
      <c r="L26" s="585"/>
      <c r="M26" s="585"/>
    </row>
    <row r="27" spans="1:13">
      <c r="A27" s="585"/>
      <c r="B27" s="585"/>
      <c r="C27" s="585"/>
      <c r="D27" s="585"/>
      <c r="E27" s="585"/>
      <c r="F27" s="585"/>
      <c r="G27" s="580">
        <v>18</v>
      </c>
      <c r="H27" s="585"/>
      <c r="I27" s="585"/>
      <c r="J27" s="585"/>
      <c r="K27" s="585"/>
      <c r="L27" s="585"/>
      <c r="M27" s="585"/>
    </row>
    <row r="28" spans="1:13">
      <c r="A28" s="585"/>
      <c r="B28" s="585"/>
      <c r="C28" s="585"/>
      <c r="D28" s="585"/>
      <c r="E28" s="585"/>
      <c r="F28" s="585"/>
      <c r="G28" s="580">
        <v>19</v>
      </c>
      <c r="H28" s="585"/>
      <c r="I28" s="585"/>
      <c r="J28" s="585"/>
      <c r="K28" s="585"/>
      <c r="L28" s="585"/>
      <c r="M28" s="585"/>
    </row>
    <row r="29" spans="1:13">
      <c r="A29" s="585"/>
      <c r="B29" s="585"/>
      <c r="C29" s="585"/>
      <c r="D29" s="585"/>
      <c r="E29" s="585"/>
      <c r="F29" s="585"/>
      <c r="G29" s="580">
        <v>20</v>
      </c>
      <c r="H29" s="585"/>
      <c r="I29" s="585"/>
      <c r="J29" s="585"/>
      <c r="K29" s="585"/>
      <c r="L29" s="585"/>
      <c r="M29" s="585"/>
    </row>
    <row r="30" spans="1:13">
      <c r="G30" s="573">
        <v>21</v>
      </c>
    </row>
    <row r="31" spans="1:13">
      <c r="G31" s="573">
        <v>22</v>
      </c>
    </row>
    <row r="32" spans="1:13">
      <c r="G32" s="573">
        <v>23</v>
      </c>
    </row>
    <row r="33" spans="7:7">
      <c r="G33" s="573">
        <v>24</v>
      </c>
    </row>
    <row r="34" spans="7:7">
      <c r="G34" s="573">
        <v>25</v>
      </c>
    </row>
  </sheetData>
  <mergeCells count="7">
    <mergeCell ref="B5:C5"/>
    <mergeCell ref="G5:N5"/>
    <mergeCell ref="A1:H1"/>
    <mergeCell ref="B2:F2"/>
    <mergeCell ref="H2:L2"/>
    <mergeCell ref="B3:F3"/>
    <mergeCell ref="B4:E4"/>
  </mergeCells>
  <dataValidations count="2">
    <dataValidation type="list" allowBlank="1" showInputMessage="1" showErrorMessage="1" sqref="F10:F24" xr:uid="{AAA12E67-DA19-41FC-9FFB-949EDAA6E85E}">
      <formula1>"EFECTIVO, CHEQUE, TRANSFERENCIA,DEPOSITO"</formula1>
    </dataValidation>
    <dataValidation type="list" allowBlank="1" showInputMessage="1" showErrorMessage="1" sqref="C10:C24" xr:uid="{3323448D-BC41-40EC-82A9-6D9886829085}">
      <formula1>"ENERO,FEBRERO,MARZO,ABRIL,MAYO,JUNIO,JULIO,AGOSTO,SEPTIEMBRE,OCTUBRE,NOVIEMBRE,DICIEMBRE"</formula1>
    </dataValidation>
  </dataValidations>
  <hyperlinks>
    <hyperlink ref="B4:E4" r:id="rId1" display="yulyjm18af@gmail.com" xr:uid="{A37F14F5-730E-4135-9CB7-539B2B912142}"/>
  </hyperlinks>
  <pageMargins left="0.7" right="0.7" top="0.75" bottom="0.75" header="0.3" footer="0.3"/>
  <tableParts count="1">
    <tablePart r:id="rId2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33DB-7786-4305-BB3C-348289B46D27}">
  <dimension ref="A1:R434"/>
  <sheetViews>
    <sheetView topLeftCell="A14" workbookViewId="0">
      <selection activeCell="T25" sqref="T25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0.7109375" customWidth="1"/>
  </cols>
  <sheetData>
    <row r="1" spans="1:14" ht="23.25" customHeight="1">
      <c r="A1" s="789" t="s">
        <v>3776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341</v>
      </c>
      <c r="I2" s="793"/>
      <c r="J2" s="793"/>
      <c r="K2" s="793"/>
    </row>
    <row r="3" spans="1:14" ht="15.75">
      <c r="A3" s="2" t="s">
        <v>1</v>
      </c>
      <c r="B3" s="2">
        <v>10430226059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>
        <v>45805</v>
      </c>
      <c r="C5" s="787"/>
      <c r="F5" s="258"/>
      <c r="G5" s="788" t="s">
        <v>3777</v>
      </c>
      <c r="H5" s="788"/>
      <c r="I5" s="788"/>
      <c r="J5" s="788"/>
      <c r="K5" s="788"/>
      <c r="L5" s="788"/>
      <c r="M5" s="788"/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45805</v>
      </c>
      <c r="B10" s="8">
        <v>90</v>
      </c>
      <c r="C10" s="2" t="s">
        <v>57</v>
      </c>
      <c r="D10" s="153">
        <v>45835</v>
      </c>
      <c r="E10" s="2" t="s">
        <v>23</v>
      </c>
      <c r="F10" s="2" t="s">
        <v>24</v>
      </c>
      <c r="G10" s="2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1</v>
      </c>
      <c r="H10" s="9" t="s">
        <v>3778</v>
      </c>
      <c r="I10" s="9"/>
      <c r="J10" s="9" t="s">
        <v>3779</v>
      </c>
      <c r="K10" s="2" t="s">
        <v>36</v>
      </c>
      <c r="L10" s="2" t="s">
        <v>26</v>
      </c>
      <c r="M10">
        <v>2</v>
      </c>
    </row>
    <row r="11" spans="1:14" ht="30.75">
      <c r="A11" s="266">
        <v>45805</v>
      </c>
      <c r="B11" s="8">
        <v>90</v>
      </c>
      <c r="C11" s="2" t="s">
        <v>47</v>
      </c>
      <c r="D11" s="153">
        <v>45868</v>
      </c>
      <c r="E11" s="2" t="s">
        <v>23</v>
      </c>
      <c r="F11" s="2" t="s">
        <v>24</v>
      </c>
      <c r="G11" s="2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2</v>
      </c>
      <c r="H11" s="9" t="s">
        <v>3778</v>
      </c>
      <c r="I11" s="9"/>
      <c r="J11" s="9" t="s">
        <v>3780</v>
      </c>
      <c r="K11" s="2" t="s">
        <v>36</v>
      </c>
      <c r="L11" s="2" t="s">
        <v>26</v>
      </c>
      <c r="M11">
        <v>2.2000000000000002</v>
      </c>
    </row>
    <row r="12" spans="1:14" ht="30.75">
      <c r="A12" s="266">
        <v>45805</v>
      </c>
      <c r="B12" s="8">
        <v>90</v>
      </c>
      <c r="C12" s="2" t="s">
        <v>50</v>
      </c>
      <c r="D12" s="153">
        <v>45898</v>
      </c>
      <c r="E12" s="2" t="s">
        <v>23</v>
      </c>
      <c r="F12" s="2" t="s">
        <v>24</v>
      </c>
      <c r="G12" s="2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3</v>
      </c>
      <c r="H12" s="9" t="s">
        <v>3778</v>
      </c>
      <c r="I12" s="9"/>
      <c r="J12" s="9" t="s">
        <v>3781</v>
      </c>
      <c r="K12" s="2" t="s">
        <v>36</v>
      </c>
      <c r="L12" s="2" t="s">
        <v>26</v>
      </c>
      <c r="M12">
        <v>2</v>
      </c>
    </row>
    <row r="13" spans="1:14" ht="30.75">
      <c r="A13" s="266">
        <v>45805</v>
      </c>
      <c r="B13" s="8">
        <v>90</v>
      </c>
      <c r="C13" s="2" t="s">
        <v>22</v>
      </c>
      <c r="D13" s="153">
        <v>45930</v>
      </c>
      <c r="E13" s="2" t="s">
        <v>23</v>
      </c>
      <c r="F13" s="2" t="s">
        <v>24</v>
      </c>
      <c r="G13" s="2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4</v>
      </c>
      <c r="H13" s="9" t="s">
        <v>3778</v>
      </c>
      <c r="I13" s="9"/>
      <c r="J13" s="9" t="s">
        <v>3782</v>
      </c>
      <c r="K13" s="2" t="s">
        <v>36</v>
      </c>
      <c r="L13" s="2" t="s">
        <v>26</v>
      </c>
      <c r="M13">
        <v>1.1000000000000001</v>
      </c>
    </row>
    <row r="14" spans="1:14" ht="30.75">
      <c r="A14" s="266">
        <v>45805</v>
      </c>
      <c r="B14" s="8">
        <v>90</v>
      </c>
      <c r="C14" s="2" t="s">
        <v>54</v>
      </c>
      <c r="D14" s="153">
        <v>45961</v>
      </c>
      <c r="E14" s="2" t="s">
        <v>23</v>
      </c>
      <c r="F14" s="2" t="s">
        <v>24</v>
      </c>
      <c r="G14" s="2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5</v>
      </c>
      <c r="H14" s="9" t="s">
        <v>3778</v>
      </c>
      <c r="I14" s="9"/>
      <c r="J14" s="9" t="s">
        <v>3783</v>
      </c>
      <c r="K14" s="2" t="s">
        <v>36</v>
      </c>
      <c r="L14" s="2" t="s">
        <v>26</v>
      </c>
      <c r="M14">
        <v>2.5</v>
      </c>
    </row>
    <row r="15" spans="1:14" ht="30.75">
      <c r="A15" s="153">
        <v>45898</v>
      </c>
      <c r="B15" s="154">
        <v>70</v>
      </c>
      <c r="C15" s="2" t="s">
        <v>27</v>
      </c>
      <c r="D15" s="153">
        <v>45989</v>
      </c>
      <c r="E15" s="2" t="s">
        <v>23</v>
      </c>
      <c r="F15" s="2" t="s">
        <v>24</v>
      </c>
      <c r="G15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6</v>
      </c>
      <c r="H15" s="76" t="s">
        <v>3784</v>
      </c>
      <c r="I15" s="9"/>
      <c r="J15" s="9" t="s">
        <v>3785</v>
      </c>
      <c r="K15" s="2"/>
      <c r="L15" s="2" t="s">
        <v>3786</v>
      </c>
      <c r="M15">
        <v>1.1000000000000001</v>
      </c>
      <c r="N15" t="s">
        <v>36</v>
      </c>
    </row>
    <row r="16" spans="1:14" ht="45.75">
      <c r="A16" s="528">
        <v>45994</v>
      </c>
      <c r="B16" s="586">
        <v>20</v>
      </c>
      <c r="C16" s="2" t="s">
        <v>27</v>
      </c>
      <c r="D16" s="528"/>
      <c r="E16" s="2" t="s">
        <v>23</v>
      </c>
      <c r="F16" s="2" t="s">
        <v>24</v>
      </c>
      <c r="G16" s="526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7</v>
      </c>
      <c r="H16" s="76" t="s">
        <v>3784</v>
      </c>
      <c r="I16" s="533"/>
      <c r="J16" s="9" t="s">
        <v>3785</v>
      </c>
      <c r="K16" s="531"/>
      <c r="L16" s="267" t="s">
        <v>3787</v>
      </c>
      <c r="M16" s="526"/>
    </row>
    <row r="17" spans="1:18" ht="30.75">
      <c r="A17" s="7">
        <v>45930</v>
      </c>
      <c r="B17" s="8">
        <v>90</v>
      </c>
      <c r="C17" s="2" t="s">
        <v>30</v>
      </c>
      <c r="D17" s="7">
        <v>46020</v>
      </c>
      <c r="E17" s="2" t="s">
        <v>23</v>
      </c>
      <c r="F17" s="2" t="s">
        <v>24</v>
      </c>
      <c r="G17" s="2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8</v>
      </c>
      <c r="H17" s="76" t="s">
        <v>3788</v>
      </c>
      <c r="I17" s="9"/>
      <c r="J17" s="9" t="s">
        <v>3789</v>
      </c>
      <c r="K17" s="2"/>
      <c r="L17" t="s">
        <v>72</v>
      </c>
      <c r="M17">
        <v>2</v>
      </c>
    </row>
    <row r="18" spans="1:18" ht="30.75">
      <c r="A18" s="153">
        <v>46053</v>
      </c>
      <c r="B18" s="8">
        <v>90</v>
      </c>
      <c r="C18" s="2" t="s">
        <v>32</v>
      </c>
      <c r="D18" s="153">
        <v>46053</v>
      </c>
      <c r="E18" s="2" t="s">
        <v>23</v>
      </c>
      <c r="F18" s="2" t="s">
        <v>28</v>
      </c>
      <c r="G18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9</v>
      </c>
      <c r="H18" s="76" t="s">
        <v>3790</v>
      </c>
      <c r="I18" s="9"/>
      <c r="J18" s="9" t="s">
        <v>3791</v>
      </c>
      <c r="L18" s="2" t="s">
        <v>26</v>
      </c>
      <c r="M18">
        <v>4.5</v>
      </c>
      <c r="R18" t="s">
        <v>36</v>
      </c>
    </row>
    <row r="19" spans="1:18" ht="30.75">
      <c r="A19" s="153">
        <v>46141</v>
      </c>
      <c r="B19" s="8">
        <v>90</v>
      </c>
      <c r="C19" s="2" t="s">
        <v>34</v>
      </c>
      <c r="D19" s="153">
        <v>46081</v>
      </c>
      <c r="E19" s="2" t="s">
        <v>23</v>
      </c>
      <c r="F19" s="2" t="s">
        <v>24</v>
      </c>
      <c r="G19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10</v>
      </c>
      <c r="H19" s="76" t="s">
        <v>3792</v>
      </c>
      <c r="I19" s="9"/>
      <c r="J19" s="9" t="s">
        <v>3793</v>
      </c>
      <c r="L19" t="s">
        <v>72</v>
      </c>
      <c r="M19">
        <v>3.5</v>
      </c>
    </row>
    <row r="20" spans="1:18" ht="30.75">
      <c r="A20" s="153">
        <v>46141</v>
      </c>
      <c r="B20" s="8">
        <v>90</v>
      </c>
      <c r="C20" s="2" t="s">
        <v>38</v>
      </c>
      <c r="D20" s="153">
        <v>46112</v>
      </c>
      <c r="E20" s="2" t="s">
        <v>23</v>
      </c>
      <c r="F20" s="2" t="s">
        <v>24</v>
      </c>
      <c r="G20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11</v>
      </c>
      <c r="H20" s="76" t="s">
        <v>3794</v>
      </c>
      <c r="I20" s="9"/>
      <c r="J20" s="9" t="s">
        <v>3795</v>
      </c>
      <c r="L20" t="s">
        <v>72</v>
      </c>
      <c r="M20">
        <v>1.3</v>
      </c>
    </row>
    <row r="21" spans="1:18" ht="30.75">
      <c r="B21" s="8">
        <v>90</v>
      </c>
      <c r="C21" s="2" t="s">
        <v>41</v>
      </c>
      <c r="D21" s="153">
        <v>46141</v>
      </c>
      <c r="E21" s="2" t="s">
        <v>23</v>
      </c>
      <c r="F21" s="2" t="s">
        <v>24</v>
      </c>
      <c r="G21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12</v>
      </c>
      <c r="H21" s="76" t="s">
        <v>3796</v>
      </c>
      <c r="I21" s="9"/>
      <c r="J21" s="9" t="s">
        <v>3797</v>
      </c>
      <c r="L21" s="567" t="s">
        <v>2854</v>
      </c>
      <c r="M21">
        <v>1.7</v>
      </c>
    </row>
    <row r="22" spans="1:18" ht="30.75">
      <c r="B22" s="154"/>
      <c r="E22" s="2" t="s">
        <v>23</v>
      </c>
      <c r="G22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13</v>
      </c>
      <c r="H22" s="76"/>
      <c r="I22" s="9"/>
      <c r="J22" s="9"/>
    </row>
    <row r="23" spans="1:18" ht="30.75">
      <c r="E23" s="2" t="s">
        <v>23</v>
      </c>
      <c r="G23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14</v>
      </c>
      <c r="H23" s="76"/>
      <c r="I23" s="9"/>
      <c r="J23" s="9"/>
    </row>
    <row r="24" spans="1:18" ht="30.75">
      <c r="E24" s="2" t="s">
        <v>23</v>
      </c>
      <c r="G24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15</v>
      </c>
      <c r="H24" s="76"/>
      <c r="I24" s="9"/>
      <c r="J24" s="9"/>
    </row>
    <row r="25" spans="1:18" ht="30.75">
      <c r="E25" s="2" t="s">
        <v>23</v>
      </c>
      <c r="G25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16</v>
      </c>
      <c r="H25" s="76"/>
      <c r="I25" s="9"/>
      <c r="J25" s="9"/>
    </row>
    <row r="26" spans="1:18" ht="30.75">
      <c r="E26" s="2" t="s">
        <v>23</v>
      </c>
      <c r="G26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17</v>
      </c>
      <c r="H26" s="76"/>
      <c r="I26" s="9"/>
      <c r="J26" s="9"/>
    </row>
    <row r="27" spans="1:18" ht="30.75">
      <c r="E27" s="2" t="s">
        <v>23</v>
      </c>
      <c r="G27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18</v>
      </c>
      <c r="H27" s="76"/>
      <c r="I27" s="9"/>
    </row>
    <row r="28" spans="1:18">
      <c r="G28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19</v>
      </c>
      <c r="H28" s="76"/>
      <c r="I28" s="9"/>
    </row>
    <row r="29" spans="1:18">
      <c r="G29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20</v>
      </c>
      <c r="H29" s="76"/>
      <c r="I29" s="9"/>
    </row>
    <row r="30" spans="1:18">
      <c r="G30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21</v>
      </c>
      <c r="H30" s="76"/>
      <c r="I30" s="9"/>
    </row>
    <row r="31" spans="1:18">
      <c r="G31">
        <f>ROW() - ROW(Tabla232528293027323335161718211922232425262728293031363738394041424344454647484950515253545556575859606162636465666768697071747576777879808281838485878891929394959697989910010110210310410510610710810911011111211311411511611711811912012112212312212412112[[#Headers],[N° SERVICIO]])</f>
        <v>22</v>
      </c>
      <c r="H31" s="76"/>
      <c r="I31" s="9"/>
    </row>
    <row r="434" spans="2:3">
      <c r="B434" t="s">
        <v>2286</v>
      </c>
      <c r="C434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F10:F31" xr:uid="{A4A4BD18-B980-4420-9FCA-3E712152BE09}">
      <formula1>"EFECTIVO, CHEQUE, TRANSFERENCIA,DEPOSITO"</formula1>
    </dataValidation>
    <dataValidation type="list" allowBlank="1" showInputMessage="1" showErrorMessage="1" sqref="C10:C31" xr:uid="{3C1D46E9-1B02-4EF2-93DE-C31422D97B16}">
      <formula1>"ENERO,FEBRERO,MARZO,ABRIL,MAYO,JUNIO,JULIO,AGOSTO,SEPTIEMBRE,OCTUBRE,NOVIEMBRE,DICIEMBRE"</formula1>
    </dataValidation>
  </dataValidations>
  <hyperlinks>
    <hyperlink ref="B4:E4" r:id="rId1" display="Jr_2080@hotmail.com" xr:uid="{81612849-8B7C-4D96-ACFB-CC7163A06E83}"/>
  </hyperlinks>
  <pageMargins left="0.7" right="0.7" top="0.75" bottom="0.75" header="0.3" footer="0.3"/>
  <tableParts count="1">
    <tablePart r:id="rId2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F9DC-27FD-4A80-9BC5-FEC6DD3F14F1}">
  <dimension ref="A1:R433"/>
  <sheetViews>
    <sheetView topLeftCell="A17" workbookViewId="0">
      <selection activeCell="Q30" sqref="Q30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7.7109375" customWidth="1"/>
    <col min="7" max="10" width="9.140625" bestFit="1" customWidth="1"/>
    <col min="11" max="11" width="15.28515625" customWidth="1"/>
    <col min="12" max="12" width="13.42578125" customWidth="1"/>
  </cols>
  <sheetData>
    <row r="1" spans="1:14" ht="23.25" customHeight="1">
      <c r="A1" s="815" t="s">
        <v>3798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3798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8" customHeight="1">
      <c r="A3" s="2" t="s">
        <v>1</v>
      </c>
      <c r="B3" s="267">
        <v>10215605880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3799</v>
      </c>
      <c r="C4" s="796"/>
      <c r="D4" s="796"/>
      <c r="E4" s="796"/>
    </row>
    <row r="5" spans="1:14" ht="23.25" customHeight="1">
      <c r="A5" s="257" t="s">
        <v>4</v>
      </c>
      <c r="B5" s="786">
        <v>45796</v>
      </c>
      <c r="C5" s="787"/>
      <c r="F5" s="258"/>
      <c r="G5" s="788" t="s">
        <v>2069</v>
      </c>
      <c r="H5" s="788"/>
      <c r="I5" s="788"/>
      <c r="J5" s="788"/>
      <c r="K5" s="788"/>
      <c r="L5" s="788"/>
      <c r="M5" s="788"/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45792</v>
      </c>
      <c r="B10" s="8">
        <v>70</v>
      </c>
      <c r="C10" s="2" t="s">
        <v>44</v>
      </c>
      <c r="D10" s="153">
        <v>45808</v>
      </c>
      <c r="E10" s="2" t="s">
        <v>23</v>
      </c>
      <c r="F10" s="2" t="s">
        <v>24</v>
      </c>
      <c r="G10" s="2">
        <v>1</v>
      </c>
      <c r="H10" s="9" t="s">
        <v>3800</v>
      </c>
      <c r="I10" s="9"/>
      <c r="J10" s="9" t="s">
        <v>3801</v>
      </c>
      <c r="K10" s="2" t="s">
        <v>36</v>
      </c>
      <c r="L10" s="2" t="s">
        <v>72</v>
      </c>
      <c r="M10">
        <v>8.1999999999999993</v>
      </c>
    </row>
    <row r="11" spans="1:14" ht="30.75">
      <c r="A11" s="153">
        <v>45835</v>
      </c>
      <c r="B11" s="8">
        <v>70</v>
      </c>
      <c r="C11" s="2" t="s">
        <v>57</v>
      </c>
      <c r="D11" s="153">
        <v>45835</v>
      </c>
      <c r="E11" s="2" t="s">
        <v>23</v>
      </c>
      <c r="F11" s="2" t="s">
        <v>28</v>
      </c>
      <c r="G11">
        <v>2</v>
      </c>
      <c r="H11" s="76" t="s">
        <v>3802</v>
      </c>
      <c r="I11" s="9"/>
      <c r="J11" s="9" t="s">
        <v>3803</v>
      </c>
      <c r="K11" s="2"/>
      <c r="L11" s="2" t="s">
        <v>26</v>
      </c>
      <c r="M11">
        <v>5.4</v>
      </c>
    </row>
    <row r="12" spans="1:14" ht="30.75">
      <c r="A12" s="7">
        <v>45827</v>
      </c>
      <c r="B12" s="8">
        <v>70</v>
      </c>
      <c r="C12" s="2" t="s">
        <v>47</v>
      </c>
      <c r="D12" s="153">
        <v>45868</v>
      </c>
      <c r="E12" s="2" t="s">
        <v>23</v>
      </c>
      <c r="F12" s="2" t="s">
        <v>24</v>
      </c>
      <c r="G12">
        <v>3</v>
      </c>
      <c r="H12" s="76" t="s">
        <v>3804</v>
      </c>
      <c r="I12" s="9"/>
      <c r="J12" s="9" t="s">
        <v>3805</v>
      </c>
      <c r="K12" s="2"/>
      <c r="L12" t="s">
        <v>72</v>
      </c>
      <c r="M12">
        <v>7.5</v>
      </c>
    </row>
    <row r="13" spans="1:14" ht="30.75">
      <c r="A13" s="153">
        <v>45868</v>
      </c>
      <c r="B13" s="8">
        <v>70</v>
      </c>
      <c r="C13" s="2" t="s">
        <v>50</v>
      </c>
      <c r="D13" s="153">
        <v>45898</v>
      </c>
      <c r="E13" s="2" t="s">
        <v>23</v>
      </c>
      <c r="F13" s="2" t="s">
        <v>24</v>
      </c>
      <c r="G13">
        <v>4</v>
      </c>
      <c r="H13" s="76" t="s">
        <v>3806</v>
      </c>
      <c r="I13" s="9"/>
      <c r="J13" s="9" t="s">
        <v>3807</v>
      </c>
      <c r="K13" s="2"/>
      <c r="L13" t="s">
        <v>72</v>
      </c>
      <c r="M13">
        <v>9.9</v>
      </c>
    </row>
    <row r="14" spans="1:14" ht="30.75">
      <c r="A14" s="153">
        <v>45930</v>
      </c>
      <c r="B14" s="8">
        <v>70</v>
      </c>
      <c r="C14" s="2" t="s">
        <v>22</v>
      </c>
      <c r="D14" s="153">
        <v>45930</v>
      </c>
      <c r="E14" s="2" t="s">
        <v>23</v>
      </c>
      <c r="F14" t="s">
        <v>28</v>
      </c>
      <c r="G14">
        <v>5</v>
      </c>
      <c r="H14" s="76" t="s">
        <v>3304</v>
      </c>
      <c r="I14" s="9"/>
      <c r="J14" s="9" t="s">
        <v>3808</v>
      </c>
      <c r="K14" s="2"/>
      <c r="L14" s="2" t="s">
        <v>26</v>
      </c>
      <c r="M14">
        <v>9.5</v>
      </c>
    </row>
    <row r="15" spans="1:14" ht="30.75">
      <c r="A15" s="153">
        <v>45961</v>
      </c>
      <c r="B15" s="8">
        <v>70</v>
      </c>
      <c r="C15" s="2" t="s">
        <v>54</v>
      </c>
      <c r="D15" s="153">
        <v>45961</v>
      </c>
      <c r="E15" s="2" t="s">
        <v>23</v>
      </c>
      <c r="F15" t="s">
        <v>28</v>
      </c>
      <c r="H15" s="76" t="s">
        <v>3809</v>
      </c>
      <c r="I15" s="9"/>
      <c r="J15" s="9" t="s">
        <v>3810</v>
      </c>
      <c r="K15" s="2"/>
      <c r="L15" s="2" t="s">
        <v>26</v>
      </c>
      <c r="M15">
        <v>8</v>
      </c>
      <c r="N15" t="s">
        <v>36</v>
      </c>
    </row>
    <row r="16" spans="1:14" ht="30.75">
      <c r="A16" s="7">
        <v>45989</v>
      </c>
      <c r="B16" s="8">
        <v>70</v>
      </c>
      <c r="C16" s="2" t="s">
        <v>27</v>
      </c>
      <c r="D16" s="7">
        <v>45989</v>
      </c>
      <c r="E16" s="2" t="s">
        <v>23</v>
      </c>
      <c r="F16" s="2" t="s">
        <v>24</v>
      </c>
      <c r="G16" s="2"/>
      <c r="H16" s="76" t="s">
        <v>3811</v>
      </c>
      <c r="I16" s="9"/>
      <c r="J16" s="9" t="s">
        <v>3812</v>
      </c>
      <c r="K16" s="2"/>
      <c r="L16" t="s">
        <v>72</v>
      </c>
      <c r="M16">
        <v>3.5</v>
      </c>
    </row>
    <row r="17" spans="1:18" ht="30.75">
      <c r="A17" s="7">
        <v>46020</v>
      </c>
      <c r="B17" s="8">
        <v>70</v>
      </c>
      <c r="C17" s="2" t="s">
        <v>30</v>
      </c>
      <c r="D17" s="153">
        <v>46020</v>
      </c>
      <c r="E17" s="2" t="s">
        <v>23</v>
      </c>
      <c r="F17" s="2" t="s">
        <v>24</v>
      </c>
      <c r="H17" s="76" t="s">
        <v>3813</v>
      </c>
      <c r="I17" s="9"/>
      <c r="J17" s="9" t="s">
        <v>3814</v>
      </c>
      <c r="L17" t="s">
        <v>72</v>
      </c>
      <c r="M17">
        <v>9</v>
      </c>
      <c r="R17" t="s">
        <v>36</v>
      </c>
    </row>
    <row r="18" spans="1:18" ht="30.75">
      <c r="A18" s="153">
        <v>46053</v>
      </c>
      <c r="B18" s="8">
        <v>70</v>
      </c>
      <c r="C18" s="526" t="s">
        <v>32</v>
      </c>
      <c r="D18" s="153">
        <v>46053</v>
      </c>
      <c r="E18" s="2" t="s">
        <v>23</v>
      </c>
      <c r="F18" t="s">
        <v>28</v>
      </c>
      <c r="H18" s="76">
        <v>41616</v>
      </c>
      <c r="I18" s="9"/>
      <c r="J18" s="9" t="s">
        <v>3815</v>
      </c>
      <c r="L18" s="2" t="s">
        <v>26</v>
      </c>
      <c r="M18">
        <v>4.8</v>
      </c>
    </row>
    <row r="19" spans="1:18" ht="30.75">
      <c r="A19" s="153">
        <v>46081</v>
      </c>
      <c r="B19" s="8">
        <v>70</v>
      </c>
      <c r="C19" t="s">
        <v>34</v>
      </c>
      <c r="D19" s="153">
        <v>46081</v>
      </c>
      <c r="E19" s="2" t="s">
        <v>23</v>
      </c>
      <c r="F19" t="s">
        <v>28</v>
      </c>
      <c r="H19" s="76" t="s">
        <v>3816</v>
      </c>
      <c r="I19" s="9"/>
      <c r="J19" s="9" t="s">
        <v>3817</v>
      </c>
      <c r="L19" s="2" t="s">
        <v>26</v>
      </c>
      <c r="M19">
        <v>4.8</v>
      </c>
    </row>
    <row r="20" spans="1:18" ht="30.75">
      <c r="A20" s="153">
        <v>46112</v>
      </c>
      <c r="B20" s="8">
        <v>70</v>
      </c>
      <c r="C20" t="s">
        <v>38</v>
      </c>
      <c r="D20" s="153">
        <v>46112</v>
      </c>
      <c r="E20" s="2" t="s">
        <v>23</v>
      </c>
      <c r="F20" s="2" t="s">
        <v>24</v>
      </c>
      <c r="H20" s="76" t="s">
        <v>3818</v>
      </c>
      <c r="I20" s="9"/>
      <c r="J20" s="9" t="s">
        <v>3819</v>
      </c>
      <c r="L20" t="s">
        <v>72</v>
      </c>
      <c r="M20">
        <v>3</v>
      </c>
    </row>
    <row r="21" spans="1:18" ht="30.75">
      <c r="A21" s="153">
        <v>46142</v>
      </c>
      <c r="B21" s="8">
        <v>70</v>
      </c>
      <c r="C21" t="s">
        <v>41</v>
      </c>
      <c r="D21" s="153">
        <v>46142</v>
      </c>
      <c r="E21" s="2" t="s">
        <v>23</v>
      </c>
      <c r="F21" t="s">
        <v>28</v>
      </c>
      <c r="H21" s="76" t="s">
        <v>3820</v>
      </c>
      <c r="I21" s="9"/>
      <c r="J21" s="9" t="s">
        <v>3821</v>
      </c>
      <c r="L21" t="s">
        <v>26</v>
      </c>
      <c r="M21">
        <v>8</v>
      </c>
    </row>
    <row r="22" spans="1:18" ht="30.75">
      <c r="A22" s="153">
        <v>46171</v>
      </c>
      <c r="B22" s="8">
        <v>70</v>
      </c>
      <c r="C22" t="s">
        <v>44</v>
      </c>
      <c r="E22" s="2" t="s">
        <v>23</v>
      </c>
      <c r="F22" t="s">
        <v>24</v>
      </c>
      <c r="H22" s="76" t="s">
        <v>3822</v>
      </c>
      <c r="I22" s="9"/>
      <c r="J22" s="9"/>
      <c r="L22" t="s">
        <v>72</v>
      </c>
    </row>
    <row r="23" spans="1:18" ht="30.75">
      <c r="E23" s="2" t="s">
        <v>23</v>
      </c>
      <c r="H23" s="76"/>
      <c r="I23" s="9"/>
      <c r="J23" s="9"/>
    </row>
    <row r="24" spans="1:18" ht="30.75">
      <c r="E24" s="2" t="s">
        <v>23</v>
      </c>
      <c r="H24" s="76"/>
      <c r="I24" s="9"/>
      <c r="J24" s="9"/>
    </row>
    <row r="25" spans="1:18" ht="30.75">
      <c r="E25" s="2" t="s">
        <v>23</v>
      </c>
      <c r="H25" s="76"/>
      <c r="I25" s="9"/>
      <c r="J25" s="9"/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F10:F30" xr:uid="{9CB9784F-80C6-4648-975C-61D1EC00AF18}">
      <formula1>"EFECTIVO, CHEQUE, TRANSFERENCIA,DEPOSITO"</formula1>
    </dataValidation>
    <dataValidation type="list" allowBlank="1" showInputMessage="1" showErrorMessage="1" sqref="C10:C17 C23:C30" xr:uid="{A18AB041-A730-4071-8CF1-D7B77DA750EB}">
      <formula1>"ENERO,FEBRERO,MARZO,ABRIL,MAYO,JUNIO,JULIO,AGOSTO,SEPTIEMBRE,OCTUBRE,NOVIEMBRE,DICIEMBRE"</formula1>
    </dataValidation>
  </dataValidations>
  <hyperlinks>
    <hyperlink ref="B4:E4" r:id="rId1" display="emersonescribapalomino@gmail.com " xr:uid="{20E25055-5A5D-4C46-A950-3596FB7241A0}"/>
  </hyperlinks>
  <pageMargins left="0.7" right="0.7" top="0.75" bottom="0.75" header="0.3" footer="0.3"/>
  <tableParts count="1">
    <tablePart r:id="rId2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3914-4D36-413D-BFC8-4A7566063419}">
  <dimension ref="A1:R433"/>
  <sheetViews>
    <sheetView topLeftCell="A16" workbookViewId="0">
      <selection activeCell="S26" sqref="S26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4.28515625" customWidth="1"/>
  </cols>
  <sheetData>
    <row r="1" spans="1:14" ht="23.25" customHeight="1">
      <c r="A1" s="789" t="s">
        <v>3823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20600279581</v>
      </c>
      <c r="F3" s="794" t="s">
        <v>3824</v>
      </c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8" t="s">
        <v>36</v>
      </c>
      <c r="C4" s="798"/>
      <c r="D4" s="798"/>
      <c r="E4" s="798"/>
    </row>
    <row r="5" spans="1:14" ht="23.25" customHeight="1">
      <c r="A5" s="257" t="s">
        <v>4</v>
      </c>
      <c r="B5" s="786">
        <v>45902</v>
      </c>
      <c r="C5" s="787"/>
      <c r="F5" s="258"/>
      <c r="G5" s="788" t="s">
        <v>2069</v>
      </c>
      <c r="H5" s="788"/>
      <c r="I5" s="788"/>
      <c r="J5" s="788"/>
      <c r="K5" s="788"/>
      <c r="L5" s="788"/>
      <c r="M5" s="788"/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45896</v>
      </c>
      <c r="B10" s="8">
        <v>70</v>
      </c>
      <c r="C10" s="2" t="s">
        <v>50</v>
      </c>
      <c r="D10" s="153">
        <v>45898</v>
      </c>
      <c r="E10" s="2" t="s">
        <v>23</v>
      </c>
      <c r="F10" s="2" t="s">
        <v>24</v>
      </c>
      <c r="G10" s="2">
        <v>1</v>
      </c>
      <c r="H10" s="9" t="s">
        <v>3825</v>
      </c>
      <c r="I10" s="9" t="s">
        <v>3826</v>
      </c>
      <c r="J10" s="9" t="s">
        <v>3827</v>
      </c>
      <c r="K10" s="2" t="s">
        <v>36</v>
      </c>
      <c r="L10" t="s">
        <v>72</v>
      </c>
      <c r="M10">
        <v>7.8</v>
      </c>
    </row>
    <row r="11" spans="1:14" ht="30.75">
      <c r="A11" s="266">
        <v>45896</v>
      </c>
      <c r="B11" s="8">
        <v>70</v>
      </c>
      <c r="C11" t="s">
        <v>22</v>
      </c>
      <c r="D11" s="153">
        <v>45930</v>
      </c>
      <c r="E11" s="2" t="s">
        <v>23</v>
      </c>
      <c r="F11" s="2" t="s">
        <v>24</v>
      </c>
      <c r="G11">
        <v>2</v>
      </c>
      <c r="H11" s="9" t="s">
        <v>3825</v>
      </c>
      <c r="I11" s="9"/>
      <c r="J11" s="9" t="s">
        <v>3828</v>
      </c>
      <c r="K11" s="2"/>
      <c r="L11" t="s">
        <v>72</v>
      </c>
      <c r="M11">
        <v>3</v>
      </c>
    </row>
    <row r="12" spans="1:14" ht="30.75">
      <c r="A12" s="7">
        <v>45930</v>
      </c>
      <c r="B12" s="8">
        <v>70</v>
      </c>
      <c r="C12" t="s">
        <v>54</v>
      </c>
      <c r="D12" s="153">
        <v>45961</v>
      </c>
      <c r="E12" s="2" t="s">
        <v>23</v>
      </c>
      <c r="F12" s="2" t="s">
        <v>28</v>
      </c>
      <c r="G12" s="2">
        <v>3</v>
      </c>
      <c r="H12" s="76" t="s">
        <v>3829</v>
      </c>
      <c r="I12" s="9"/>
      <c r="J12" s="9" t="s">
        <v>3830</v>
      </c>
      <c r="K12" s="2"/>
      <c r="L12" s="2" t="s">
        <v>26</v>
      </c>
      <c r="M12">
        <v>1</v>
      </c>
    </row>
    <row r="13" spans="1:14" ht="30.75">
      <c r="A13" s="153">
        <v>45989</v>
      </c>
      <c r="B13" s="8">
        <v>70</v>
      </c>
      <c r="C13" t="s">
        <v>27</v>
      </c>
      <c r="D13" s="153">
        <v>45989</v>
      </c>
      <c r="E13" s="2" t="s">
        <v>23</v>
      </c>
      <c r="F13" s="2" t="s">
        <v>24</v>
      </c>
      <c r="G13">
        <v>4</v>
      </c>
      <c r="H13" s="76" t="s">
        <v>3831</v>
      </c>
      <c r="I13" s="9"/>
      <c r="J13" s="9" t="s">
        <v>3832</v>
      </c>
      <c r="K13" s="2"/>
      <c r="L13" t="s">
        <v>72</v>
      </c>
      <c r="M13">
        <v>1</v>
      </c>
    </row>
    <row r="14" spans="1:14" ht="30.75">
      <c r="A14" s="153">
        <v>46020</v>
      </c>
      <c r="B14" s="8">
        <v>70</v>
      </c>
      <c r="C14" t="s">
        <v>30</v>
      </c>
      <c r="D14" s="153">
        <v>46020</v>
      </c>
      <c r="E14" s="2" t="s">
        <v>23</v>
      </c>
      <c r="F14" s="2" t="s">
        <v>28</v>
      </c>
      <c r="G14" s="2">
        <v>5</v>
      </c>
      <c r="H14" s="76" t="s">
        <v>3833</v>
      </c>
      <c r="I14" s="9"/>
      <c r="J14" s="9" t="s">
        <v>3834</v>
      </c>
      <c r="K14" s="2"/>
      <c r="L14" t="s">
        <v>26</v>
      </c>
      <c r="M14">
        <v>1</v>
      </c>
    </row>
    <row r="15" spans="1:14" ht="30.75">
      <c r="A15" s="153">
        <v>46057</v>
      </c>
      <c r="B15" s="8">
        <v>70</v>
      </c>
      <c r="C15" t="s">
        <v>32</v>
      </c>
      <c r="D15" s="153">
        <v>46053</v>
      </c>
      <c r="E15" s="2" t="s">
        <v>23</v>
      </c>
      <c r="F15" s="2" t="s">
        <v>24</v>
      </c>
      <c r="G15">
        <v>6</v>
      </c>
      <c r="H15" s="76" t="s">
        <v>3835</v>
      </c>
      <c r="I15" s="9"/>
      <c r="J15" s="9" t="s">
        <v>3836</v>
      </c>
      <c r="K15" s="2"/>
      <c r="L15" t="s">
        <v>72</v>
      </c>
      <c r="M15">
        <v>1.1000000000000001</v>
      </c>
      <c r="N15" t="s">
        <v>36</v>
      </c>
    </row>
    <row r="16" spans="1:14" ht="30.75">
      <c r="A16" s="7">
        <v>46084</v>
      </c>
      <c r="B16" s="8">
        <v>70</v>
      </c>
      <c r="C16" t="s">
        <v>34</v>
      </c>
      <c r="D16" s="7">
        <v>46081</v>
      </c>
      <c r="E16" s="2" t="s">
        <v>23</v>
      </c>
      <c r="F16" s="2" t="s">
        <v>24</v>
      </c>
      <c r="G16" s="2">
        <v>7</v>
      </c>
      <c r="H16" s="76" t="s">
        <v>3837</v>
      </c>
      <c r="I16" s="9"/>
      <c r="J16" s="9" t="s">
        <v>3838</v>
      </c>
      <c r="K16" s="2"/>
      <c r="L16" t="s">
        <v>72</v>
      </c>
      <c r="M16">
        <v>1.1000000000000001</v>
      </c>
    </row>
    <row r="17" spans="1:18" ht="30.75">
      <c r="A17" s="153">
        <v>46112</v>
      </c>
      <c r="B17" s="8">
        <v>70</v>
      </c>
      <c r="C17" t="s">
        <v>38</v>
      </c>
      <c r="D17" s="153">
        <v>46112</v>
      </c>
      <c r="E17" s="2" t="s">
        <v>23</v>
      </c>
      <c r="F17" s="2" t="s">
        <v>28</v>
      </c>
      <c r="G17">
        <v>8</v>
      </c>
      <c r="H17" s="76" t="s">
        <v>3839</v>
      </c>
      <c r="I17" s="9"/>
      <c r="J17" s="9" t="s">
        <v>3840</v>
      </c>
      <c r="L17" t="s">
        <v>26</v>
      </c>
      <c r="M17">
        <v>1.1000000000000001</v>
      </c>
      <c r="R17" t="s">
        <v>36</v>
      </c>
    </row>
    <row r="18" spans="1:18" ht="30.75">
      <c r="A18" s="153">
        <v>46142</v>
      </c>
      <c r="B18" s="8">
        <v>70</v>
      </c>
      <c r="C18" t="s">
        <v>41</v>
      </c>
      <c r="D18" s="153">
        <v>46141</v>
      </c>
      <c r="E18" s="2" t="s">
        <v>23</v>
      </c>
      <c r="F18" s="2" t="s">
        <v>24</v>
      </c>
      <c r="G18" s="2">
        <v>9</v>
      </c>
      <c r="H18" s="76" t="s">
        <v>3841</v>
      </c>
      <c r="I18" s="9"/>
      <c r="J18" s="9" t="s">
        <v>3842</v>
      </c>
      <c r="L18" t="s">
        <v>72</v>
      </c>
      <c r="M18">
        <v>1.5</v>
      </c>
    </row>
    <row r="19" spans="1:18" ht="30.75">
      <c r="A19" s="153">
        <v>46171</v>
      </c>
      <c r="B19" s="8">
        <v>70</v>
      </c>
      <c r="C19" t="s">
        <v>44</v>
      </c>
      <c r="E19" s="2" t="s">
        <v>23</v>
      </c>
      <c r="F19" s="2" t="s">
        <v>24</v>
      </c>
      <c r="G19">
        <v>10</v>
      </c>
      <c r="H19" s="76" t="s">
        <v>3843</v>
      </c>
      <c r="I19" s="9"/>
      <c r="J19" s="9"/>
      <c r="L19" t="s">
        <v>72</v>
      </c>
    </row>
    <row r="20" spans="1:18" ht="30.75">
      <c r="B20" s="154"/>
      <c r="E20" s="2" t="s">
        <v>23</v>
      </c>
      <c r="G20" s="2">
        <v>11</v>
      </c>
      <c r="H20" s="76"/>
      <c r="I20" s="9"/>
      <c r="J20" s="9"/>
    </row>
    <row r="21" spans="1:18" ht="30.75">
      <c r="B21" s="154"/>
      <c r="E21" s="2" t="s">
        <v>23</v>
      </c>
      <c r="G21">
        <v>12</v>
      </c>
      <c r="H21" s="76"/>
      <c r="I21" s="9"/>
      <c r="J21" s="9"/>
    </row>
    <row r="22" spans="1:18" ht="30.75">
      <c r="E22" s="2" t="s">
        <v>23</v>
      </c>
      <c r="G22" s="2">
        <v>13</v>
      </c>
      <c r="H22" s="76"/>
      <c r="I22" s="9"/>
      <c r="J22" s="9"/>
    </row>
    <row r="23" spans="1:18" ht="30.75">
      <c r="E23" s="2" t="s">
        <v>23</v>
      </c>
      <c r="G23">
        <v>14</v>
      </c>
      <c r="H23" s="76"/>
      <c r="I23" s="9"/>
      <c r="J23" s="9"/>
    </row>
    <row r="24" spans="1:18" ht="30.75">
      <c r="E24" s="2" t="s">
        <v>23</v>
      </c>
      <c r="G24" s="2">
        <v>15</v>
      </c>
      <c r="H24" s="76"/>
      <c r="I24" s="9"/>
      <c r="J24" s="9"/>
    </row>
    <row r="25" spans="1:18" ht="30.75">
      <c r="E25" s="2" t="s">
        <v>23</v>
      </c>
      <c r="G25">
        <v>16</v>
      </c>
      <c r="H25" s="76"/>
      <c r="I25" s="9"/>
      <c r="J25" s="9"/>
    </row>
    <row r="26" spans="1:18" ht="30.75">
      <c r="E26" s="2" t="s">
        <v>23</v>
      </c>
      <c r="G26" s="2">
        <v>17</v>
      </c>
      <c r="H26" s="76"/>
      <c r="I26" s="9"/>
    </row>
    <row r="27" spans="1:18">
      <c r="G27">
        <v>18</v>
      </c>
      <c r="H27" s="76"/>
      <c r="I27" s="9"/>
    </row>
    <row r="28" spans="1:18">
      <c r="G28" s="2">
        <v>19</v>
      </c>
      <c r="H28" s="76"/>
      <c r="I28" s="9"/>
    </row>
    <row r="29" spans="1:18">
      <c r="G29">
        <v>20</v>
      </c>
      <c r="H29" s="76"/>
      <c r="I29" s="9"/>
    </row>
    <row r="30" spans="1:18">
      <c r="G30" s="2">
        <v>21</v>
      </c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9BE2321B-E533-44BD-954A-72B0E0A43D98}">
      <formula1>"ENERO,FEBRERO,MARZO,ABRIL,MAYO,JUNIO,JULIO,AGOSTO,SEPTIEMBRE,OCTUBRE,NOVIEMBRE,DICIEMBRE"</formula1>
    </dataValidation>
    <dataValidation type="list" allowBlank="1" showInputMessage="1" showErrorMessage="1" sqref="F10:F30" xr:uid="{7AC532C1-900E-4CD9-9DAD-8CB6CF6CB756}">
      <formula1>"EFECTIVO, CHEQUE, TRANSFERENCIA,DEPOSITO"</formula1>
    </dataValidation>
  </dataValidations>
  <hyperlinks>
    <hyperlink ref="B4:E4" r:id="rId1" display="Jr_2080@hotmail.com" xr:uid="{9B5296BF-58CB-475D-8F8D-5D206EF5D326}"/>
  </hyperlinks>
  <pageMargins left="0.7" right="0.7" top="0.75" bottom="0.75" header="0.3" footer="0.3"/>
  <tableParts count="1">
    <tablePart r:id="rId2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3E41-DB7B-456F-8E35-81609F8EE558}">
  <dimension ref="A1:R433"/>
  <sheetViews>
    <sheetView topLeftCell="A2" workbookViewId="0">
      <selection activeCell="O11" sqref="O11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2.28515625" customWidth="1"/>
  </cols>
  <sheetData>
    <row r="1" spans="1:14" ht="23.25" customHeight="1">
      <c r="A1" s="789" t="s">
        <v>3844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20601805741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8" t="s">
        <v>3845</v>
      </c>
      <c r="C4" s="798"/>
      <c r="D4" s="798"/>
      <c r="E4" s="798"/>
    </row>
    <row r="5" spans="1:14" ht="23.25" customHeight="1">
      <c r="A5" s="257" t="s">
        <v>4</v>
      </c>
      <c r="B5" s="786">
        <v>45910</v>
      </c>
      <c r="C5" s="787"/>
      <c r="F5" s="258"/>
      <c r="G5" s="788" t="s">
        <v>2069</v>
      </c>
      <c r="H5" s="788"/>
      <c r="I5" s="788"/>
      <c r="J5" s="788"/>
      <c r="K5" s="788"/>
      <c r="L5" s="788"/>
      <c r="M5" s="788"/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45926</v>
      </c>
      <c r="B10" s="8">
        <v>70</v>
      </c>
      <c r="C10" s="2" t="s">
        <v>22</v>
      </c>
      <c r="D10" s="153">
        <v>45930</v>
      </c>
      <c r="E10" s="2" t="s">
        <v>23</v>
      </c>
      <c r="F10" s="2" t="s">
        <v>24</v>
      </c>
      <c r="G10" s="2">
        <v>1</v>
      </c>
      <c r="H10" s="9" t="s">
        <v>3846</v>
      </c>
      <c r="I10" s="9"/>
      <c r="J10" s="9" t="s">
        <v>3847</v>
      </c>
      <c r="K10" s="2" t="s">
        <v>36</v>
      </c>
      <c r="L10" s="2" t="s">
        <v>72</v>
      </c>
      <c r="M10">
        <v>10</v>
      </c>
    </row>
    <row r="11" spans="1:14" ht="30.75">
      <c r="A11" s="153">
        <v>45961</v>
      </c>
      <c r="B11" s="8">
        <v>70</v>
      </c>
      <c r="C11" s="2" t="s">
        <v>54</v>
      </c>
      <c r="D11" s="153">
        <v>45961</v>
      </c>
      <c r="E11" s="2" t="s">
        <v>23</v>
      </c>
      <c r="F11" s="2" t="s">
        <v>28</v>
      </c>
      <c r="G11">
        <v>2</v>
      </c>
      <c r="H11" s="76" t="s">
        <v>3848</v>
      </c>
      <c r="I11" s="9"/>
      <c r="J11" s="9" t="s">
        <v>3849</v>
      </c>
      <c r="K11" s="2"/>
      <c r="L11" s="2" t="s">
        <v>26</v>
      </c>
      <c r="M11">
        <v>12</v>
      </c>
    </row>
    <row r="12" spans="1:14" ht="30.75">
      <c r="A12" s="153">
        <v>45989</v>
      </c>
      <c r="B12" s="8">
        <v>70</v>
      </c>
      <c r="C12" s="2" t="s">
        <v>27</v>
      </c>
      <c r="D12" s="153">
        <v>45989</v>
      </c>
      <c r="E12" s="2" t="s">
        <v>23</v>
      </c>
      <c r="F12" s="2" t="s">
        <v>28</v>
      </c>
      <c r="H12" s="76" t="s">
        <v>3850</v>
      </c>
      <c r="I12" s="9"/>
      <c r="J12" s="9" t="s">
        <v>3851</v>
      </c>
      <c r="K12" s="2"/>
      <c r="L12" t="s">
        <v>26</v>
      </c>
      <c r="M12">
        <v>6.5</v>
      </c>
    </row>
    <row r="13" spans="1:14" ht="30.75">
      <c r="A13" s="153">
        <v>46020</v>
      </c>
      <c r="B13" s="8">
        <v>70</v>
      </c>
      <c r="C13" s="2" t="s">
        <v>30</v>
      </c>
      <c r="D13" s="153">
        <v>46020</v>
      </c>
      <c r="E13" s="2" t="s">
        <v>23</v>
      </c>
      <c r="F13" s="2" t="s">
        <v>28</v>
      </c>
      <c r="H13" s="76" t="s">
        <v>3852</v>
      </c>
      <c r="I13" s="9"/>
      <c r="J13" s="9" t="s">
        <v>3853</v>
      </c>
      <c r="K13" s="2"/>
      <c r="L13" t="s">
        <v>26</v>
      </c>
      <c r="M13">
        <v>4</v>
      </c>
    </row>
    <row r="14" spans="1:14" ht="30.75">
      <c r="A14" s="153">
        <v>46053</v>
      </c>
      <c r="B14" s="8">
        <v>70</v>
      </c>
      <c r="C14" s="2" t="s">
        <v>32</v>
      </c>
      <c r="D14" s="153">
        <v>46053</v>
      </c>
      <c r="E14" s="2" t="s">
        <v>23</v>
      </c>
      <c r="F14" t="s">
        <v>28</v>
      </c>
      <c r="H14" s="76" t="s">
        <v>3854</v>
      </c>
      <c r="I14" s="9"/>
      <c r="J14" s="9" t="s">
        <v>3855</v>
      </c>
      <c r="K14" s="2"/>
      <c r="L14" t="s">
        <v>26</v>
      </c>
      <c r="M14" t="s">
        <v>3856</v>
      </c>
    </row>
    <row r="15" spans="1:14" ht="30.75">
      <c r="A15" s="153">
        <v>46081</v>
      </c>
      <c r="B15" s="8">
        <v>70</v>
      </c>
      <c r="C15" s="2" t="s">
        <v>34</v>
      </c>
      <c r="D15" s="153">
        <v>46081</v>
      </c>
      <c r="E15" s="2" t="s">
        <v>23</v>
      </c>
      <c r="F15" t="s">
        <v>28</v>
      </c>
      <c r="H15" s="76" t="s">
        <v>3857</v>
      </c>
      <c r="I15" s="9"/>
      <c r="J15" s="9" t="s">
        <v>3858</v>
      </c>
      <c r="K15" s="2"/>
      <c r="L15" t="s">
        <v>26</v>
      </c>
      <c r="M15">
        <v>8.5</v>
      </c>
      <c r="N15" t="s">
        <v>36</v>
      </c>
    </row>
    <row r="16" spans="1:14" ht="30.75">
      <c r="A16" s="7">
        <v>46112</v>
      </c>
      <c r="B16" s="8">
        <v>70</v>
      </c>
      <c r="C16" s="2" t="s">
        <v>38</v>
      </c>
      <c r="D16" s="7">
        <v>46112</v>
      </c>
      <c r="E16" s="2" t="s">
        <v>23</v>
      </c>
      <c r="F16" s="2" t="s">
        <v>28</v>
      </c>
      <c r="G16" s="2"/>
      <c r="H16" s="76" t="s">
        <v>3859</v>
      </c>
      <c r="I16" s="9"/>
      <c r="J16" s="9" t="s">
        <v>3860</v>
      </c>
      <c r="K16" s="2"/>
      <c r="L16" t="s">
        <v>26</v>
      </c>
      <c r="M16">
        <v>4.0999999999999996</v>
      </c>
    </row>
    <row r="17" spans="1:18" ht="30.75">
      <c r="A17" s="7">
        <v>46142</v>
      </c>
      <c r="B17" s="8">
        <v>70</v>
      </c>
      <c r="C17" s="2" t="s">
        <v>41</v>
      </c>
      <c r="D17" s="153">
        <v>46141</v>
      </c>
      <c r="E17" s="2" t="s">
        <v>23</v>
      </c>
      <c r="F17" s="2" t="s">
        <v>28</v>
      </c>
      <c r="H17" s="76" t="s">
        <v>3861</v>
      </c>
      <c r="I17" s="9"/>
      <c r="J17" s="9" t="s">
        <v>3862</v>
      </c>
      <c r="L17" t="s">
        <v>26</v>
      </c>
      <c r="M17">
        <v>5.6</v>
      </c>
      <c r="R17" t="s">
        <v>36</v>
      </c>
    </row>
    <row r="18" spans="1:18" ht="30.75">
      <c r="B18" s="154"/>
      <c r="E18" s="2" t="s">
        <v>23</v>
      </c>
      <c r="H18" s="76"/>
      <c r="I18" s="9"/>
      <c r="J18" s="9"/>
    </row>
    <row r="19" spans="1:18" ht="30.75">
      <c r="B19" s="154"/>
      <c r="E19" s="2" t="s">
        <v>23</v>
      </c>
      <c r="H19" s="76"/>
      <c r="I19" s="9"/>
      <c r="J19" s="9"/>
    </row>
    <row r="20" spans="1:18" ht="30.75">
      <c r="B20" s="154"/>
      <c r="E20" s="2" t="s">
        <v>23</v>
      </c>
      <c r="H20" s="76"/>
      <c r="I20" s="9"/>
      <c r="J20" s="9"/>
    </row>
    <row r="21" spans="1:18" ht="30.75">
      <c r="B21" s="154"/>
      <c r="E21" s="2" t="s">
        <v>23</v>
      </c>
      <c r="H21" s="76"/>
      <c r="I21" s="9"/>
      <c r="J21" s="9"/>
    </row>
    <row r="22" spans="1:18" ht="30.75">
      <c r="E22" s="2" t="s">
        <v>23</v>
      </c>
      <c r="H22" s="76"/>
      <c r="I22" s="9"/>
      <c r="J22" s="9"/>
    </row>
    <row r="23" spans="1:18" ht="30.75">
      <c r="E23" s="2" t="s">
        <v>23</v>
      </c>
      <c r="H23" s="76"/>
      <c r="I23" s="9"/>
      <c r="J23" s="9"/>
    </row>
    <row r="24" spans="1:18" ht="30.75">
      <c r="E24" s="2" t="s">
        <v>23</v>
      </c>
      <c r="H24" s="76"/>
      <c r="I24" s="9"/>
      <c r="J24" s="9"/>
    </row>
    <row r="25" spans="1:18" ht="30.75">
      <c r="E25" s="2" t="s">
        <v>23</v>
      </c>
      <c r="H25" s="76"/>
      <c r="I25" s="9"/>
      <c r="J25" s="9"/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3853EEAB-9FDE-42A0-9481-A5E4825D5DAF}">
      <formula1>"ENERO,FEBRERO,MARZO,ABRIL,MAYO,JUNIO,JULIO,AGOSTO,SEPTIEMBRE,OCTUBRE,NOVIEMBRE,DICIEMBRE"</formula1>
    </dataValidation>
    <dataValidation type="list" allowBlank="1" showInputMessage="1" showErrorMessage="1" sqref="F10:F30" xr:uid="{F509DDA4-B340-4D97-A8CD-1AB66014DC1A}">
      <formula1>"EFECTIVO, CHEQUE, TRANSFERENCIA,DEPOSITO"</formula1>
    </dataValidation>
  </dataValidations>
  <hyperlinks>
    <hyperlink ref="B4:E4" r:id="rId1" display="Cvfaccevet@gmail.com. " xr:uid="{7FB8D76F-97FA-4BEE-A0E6-E69F800BA1B9}"/>
  </hyperlinks>
  <pageMargins left="0.7" right="0.7" top="0.75" bottom="0.75" header="0.3" footer="0.3"/>
  <tableParts count="1">
    <tablePart r:id="rId2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BBA6-860C-47AD-A65A-499839D2A49C}">
  <dimension ref="A1:R433"/>
  <sheetViews>
    <sheetView workbookViewId="0">
      <selection activeCell="O16" sqref="O16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1" customWidth="1"/>
    <col min="12" max="12" width="13.28515625" customWidth="1"/>
  </cols>
  <sheetData>
    <row r="1" spans="1:14" ht="23.25" customHeight="1">
      <c r="A1" s="789" t="s">
        <v>3863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 t="s">
        <v>3864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20614114682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3865</v>
      </c>
      <c r="C4" s="796"/>
      <c r="D4" s="796"/>
      <c r="E4" s="796"/>
    </row>
    <row r="5" spans="1:14" ht="23.25" customHeight="1">
      <c r="A5" s="257" t="s">
        <v>4</v>
      </c>
      <c r="B5" s="786">
        <v>45959</v>
      </c>
      <c r="C5" s="787"/>
      <c r="F5" s="258"/>
      <c r="G5" s="788" t="s">
        <v>3866</v>
      </c>
      <c r="H5" s="788"/>
      <c r="I5" s="788"/>
      <c r="J5" s="788"/>
      <c r="K5" s="788"/>
      <c r="L5" s="788"/>
      <c r="M5" s="788"/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45959</v>
      </c>
      <c r="B10" s="8">
        <v>100</v>
      </c>
      <c r="C10" s="2" t="s">
        <v>27</v>
      </c>
      <c r="D10" s="153">
        <v>45961</v>
      </c>
      <c r="E10" s="2" t="s">
        <v>23</v>
      </c>
      <c r="F10" s="2" t="s">
        <v>24</v>
      </c>
      <c r="G10" s="2" t="s">
        <v>36</v>
      </c>
      <c r="H10" s="9" t="s">
        <v>3867</v>
      </c>
      <c r="I10" s="9"/>
      <c r="J10" s="9" t="s">
        <v>3868</v>
      </c>
      <c r="K10" s="2" t="s">
        <v>36</v>
      </c>
      <c r="L10" s="2" t="s">
        <v>3869</v>
      </c>
      <c r="M10">
        <v>2.5</v>
      </c>
    </row>
    <row r="11" spans="1:14" ht="30.75">
      <c r="A11" s="153">
        <v>45989</v>
      </c>
      <c r="B11" s="8">
        <v>100</v>
      </c>
      <c r="C11" s="2" t="s">
        <v>27</v>
      </c>
      <c r="D11" s="153">
        <v>45989</v>
      </c>
      <c r="E11" s="2" t="s">
        <v>23</v>
      </c>
      <c r="F11" s="2" t="s">
        <v>28</v>
      </c>
      <c r="H11" s="76" t="s">
        <v>3870</v>
      </c>
      <c r="I11" s="9"/>
      <c r="J11" s="9" t="s">
        <v>3871</v>
      </c>
      <c r="K11" s="2"/>
      <c r="L11" s="2" t="s">
        <v>3869</v>
      </c>
      <c r="M11">
        <v>2.2000000000000002</v>
      </c>
    </row>
    <row r="12" spans="1:14" ht="30.75">
      <c r="A12" s="153">
        <v>46020</v>
      </c>
      <c r="B12" s="8">
        <v>100</v>
      </c>
      <c r="C12" s="2" t="s">
        <v>30</v>
      </c>
      <c r="D12" s="153">
        <v>46020</v>
      </c>
      <c r="E12" s="2" t="s">
        <v>23</v>
      </c>
      <c r="F12" s="2" t="s">
        <v>28</v>
      </c>
      <c r="H12" s="76" t="s">
        <v>3872</v>
      </c>
      <c r="I12" s="9"/>
      <c r="J12" s="9" t="s">
        <v>3873</v>
      </c>
      <c r="K12" s="2"/>
      <c r="L12" s="2" t="s">
        <v>3869</v>
      </c>
      <c r="M12">
        <v>1</v>
      </c>
    </row>
    <row r="13" spans="1:14" ht="30.75">
      <c r="A13" s="153">
        <v>46084</v>
      </c>
      <c r="B13" s="8">
        <v>100</v>
      </c>
      <c r="C13" t="s">
        <v>34</v>
      </c>
      <c r="D13" s="153">
        <v>46081</v>
      </c>
      <c r="E13" s="2" t="s">
        <v>23</v>
      </c>
      <c r="F13" s="2" t="s">
        <v>24</v>
      </c>
      <c r="H13" s="76" t="s">
        <v>3874</v>
      </c>
      <c r="I13" s="9"/>
      <c r="J13" s="9" t="s">
        <v>3875</v>
      </c>
      <c r="K13" s="2"/>
      <c r="L13" t="s">
        <v>72</v>
      </c>
      <c r="M13">
        <v>6.8</v>
      </c>
    </row>
    <row r="14" spans="1:14" ht="30.75">
      <c r="A14" s="153">
        <v>46112</v>
      </c>
      <c r="B14" s="8">
        <v>100</v>
      </c>
      <c r="C14" t="s">
        <v>38</v>
      </c>
      <c r="D14" s="153">
        <v>46112</v>
      </c>
      <c r="E14" s="2" t="s">
        <v>23</v>
      </c>
      <c r="F14" s="2" t="s">
        <v>24</v>
      </c>
      <c r="H14" s="76" t="s">
        <v>3876</v>
      </c>
      <c r="I14" s="9"/>
      <c r="J14" s="9" t="s">
        <v>3877</v>
      </c>
      <c r="K14" s="2"/>
      <c r="L14" t="s">
        <v>72</v>
      </c>
      <c r="M14">
        <v>3.1</v>
      </c>
    </row>
    <row r="15" spans="1:14" ht="30.75">
      <c r="A15" s="153">
        <v>46142</v>
      </c>
      <c r="B15" s="8">
        <v>100</v>
      </c>
      <c r="C15" t="s">
        <v>41</v>
      </c>
      <c r="D15" s="153">
        <v>46141</v>
      </c>
      <c r="E15" s="2" t="s">
        <v>23</v>
      </c>
      <c r="F15" s="2" t="s">
        <v>24</v>
      </c>
      <c r="H15" s="76" t="s">
        <v>3878</v>
      </c>
      <c r="I15" s="9"/>
      <c r="J15" s="9" t="s">
        <v>3879</v>
      </c>
      <c r="K15" s="2"/>
      <c r="L15" t="s">
        <v>72</v>
      </c>
      <c r="M15">
        <v>6.96</v>
      </c>
      <c r="N15" t="s">
        <v>36</v>
      </c>
    </row>
    <row r="16" spans="1:14" ht="30.75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.75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.75">
      <c r="B18" s="154"/>
      <c r="E18" s="2" t="s">
        <v>23</v>
      </c>
      <c r="H18" s="76"/>
      <c r="I18" s="9"/>
      <c r="J18" s="9"/>
    </row>
    <row r="19" spans="1:18" ht="30.75">
      <c r="B19" s="154"/>
      <c r="E19" s="2" t="s">
        <v>23</v>
      </c>
      <c r="H19" s="76"/>
      <c r="I19" s="9"/>
      <c r="J19" s="9"/>
    </row>
    <row r="20" spans="1:18" ht="30.75">
      <c r="B20" s="154"/>
      <c r="E20" s="2" t="s">
        <v>23</v>
      </c>
      <c r="H20" s="76"/>
      <c r="I20" s="9"/>
      <c r="J20" s="9"/>
    </row>
    <row r="21" spans="1:18" ht="30.75">
      <c r="B21" s="154"/>
      <c r="E21" s="2" t="s">
        <v>23</v>
      </c>
      <c r="H21" s="76"/>
      <c r="I21" s="9"/>
      <c r="J21" s="9"/>
    </row>
    <row r="22" spans="1:18" ht="30.75">
      <c r="E22" s="2" t="s">
        <v>23</v>
      </c>
      <c r="H22" s="76"/>
      <c r="I22" s="9"/>
      <c r="J22" s="9"/>
    </row>
    <row r="23" spans="1:18" ht="30.75">
      <c r="E23" s="2" t="s">
        <v>23</v>
      </c>
      <c r="H23" s="76"/>
      <c r="I23" s="9"/>
      <c r="J23" s="9"/>
    </row>
    <row r="24" spans="1:18" ht="30.75">
      <c r="E24" s="2" t="s">
        <v>23</v>
      </c>
      <c r="H24" s="76"/>
      <c r="I24" s="9"/>
      <c r="J24" s="9"/>
    </row>
    <row r="25" spans="1:18" ht="30.75">
      <c r="E25" s="2" t="s">
        <v>23</v>
      </c>
      <c r="H25" s="76"/>
      <c r="I25" s="9"/>
      <c r="J25" s="9"/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EB2A61EB-084C-4F11-B8A6-500907B2E9AD}">
      <formula1>"ENERO,FEBRERO,MARZO,ABRIL,MAYO,JUNIO,JULIO,AGOSTO,SEPTIEMBRE,OCTUBRE,NOVIEMBRE,DICIEMBRE"</formula1>
    </dataValidation>
    <dataValidation type="list" allowBlank="1" showInputMessage="1" showErrorMessage="1" sqref="F10:F30" xr:uid="{B7854BCB-88D2-4991-B98E-C1E9DE6A974A}">
      <formula1>"EFECTIVO, CHEQUE, TRANSFERENCIA,DEPOSITO"</formula1>
    </dataValidation>
  </dataValidations>
  <hyperlinks>
    <hyperlink ref="B4:E4" r:id="rId1" display="roxana.ig@hotmail.com" xr:uid="{B75D9114-DE03-4413-9FAA-7C72A5173671}"/>
  </hyperlinks>
  <pageMargins left="0.7" right="0.7" top="0.75" bottom="0.75" header="0.3" footer="0.3"/>
  <tableParts count="1">
    <tablePart r:id="rId2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2F6DB-8836-4CD6-9D14-4C9C861B8048}">
  <dimension ref="A1:R442"/>
  <sheetViews>
    <sheetView topLeftCell="A52" workbookViewId="0">
      <selection activeCell="N61" sqref="N61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16.85546875" bestFit="1" customWidth="1"/>
    <col min="6" max="6" width="10.7109375" customWidth="1"/>
    <col min="7" max="10" width="9.140625" bestFit="1" customWidth="1"/>
    <col min="11" max="11" width="15.28515625" customWidth="1"/>
    <col min="12" max="12" width="10.7109375" customWidth="1"/>
    <col min="14" max="14" width="36.5703125" bestFit="1" customWidth="1"/>
    <col min="15" max="15" width="9.28515625" bestFit="1" customWidth="1"/>
    <col min="17" max="17" width="13.28515625" bestFit="1" customWidth="1"/>
  </cols>
  <sheetData>
    <row r="1" spans="1:18" ht="23.25" customHeight="1">
      <c r="A1" s="789" t="s">
        <v>3880</v>
      </c>
      <c r="B1" s="788"/>
      <c r="C1" s="788"/>
      <c r="D1" s="788"/>
      <c r="E1" s="788"/>
      <c r="F1" s="788"/>
      <c r="K1" t="s">
        <v>3881</v>
      </c>
    </row>
    <row r="2" spans="1:18" ht="18.75" customHeight="1">
      <c r="A2" s="2" t="s">
        <v>1729</v>
      </c>
      <c r="B2" s="790" t="s">
        <v>3882</v>
      </c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8" ht="15.75">
      <c r="A3" s="2" t="s">
        <v>1</v>
      </c>
      <c r="B3" s="597">
        <v>20554908641</v>
      </c>
      <c r="F3" s="794" t="s">
        <v>3883</v>
      </c>
      <c r="G3" s="794"/>
      <c r="H3" s="794"/>
      <c r="I3" s="794"/>
      <c r="J3" s="794"/>
      <c r="K3" s="794"/>
      <c r="L3" s="794"/>
      <c r="M3" s="794"/>
    </row>
    <row r="4" spans="1:18" ht="15" customHeight="1">
      <c r="A4" s="2" t="s">
        <v>2277</v>
      </c>
      <c r="B4" s="796" t="s">
        <v>36</v>
      </c>
      <c r="C4" s="796"/>
      <c r="D4" s="796"/>
      <c r="E4" s="796"/>
    </row>
    <row r="5" spans="1:18" ht="23.25" customHeight="1">
      <c r="A5" s="257" t="s">
        <v>4</v>
      </c>
      <c r="B5" s="786">
        <v>45985</v>
      </c>
      <c r="C5" s="787"/>
      <c r="F5" s="258"/>
      <c r="G5" s="788" t="s">
        <v>3884</v>
      </c>
      <c r="H5" s="788"/>
      <c r="I5" s="788"/>
      <c r="J5" s="788"/>
      <c r="K5" s="788"/>
      <c r="L5" s="788"/>
      <c r="M5" s="788"/>
    </row>
    <row r="9" spans="1:18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8" ht="30.75">
      <c r="A10" s="610" t="s">
        <v>3885</v>
      </c>
      <c r="B10" s="8" t="s">
        <v>36</v>
      </c>
      <c r="C10" s="2" t="s">
        <v>27</v>
      </c>
      <c r="D10" s="153">
        <v>45984</v>
      </c>
      <c r="E10" s="2" t="s">
        <v>23</v>
      </c>
      <c r="F10" s="2" t="s">
        <v>24</v>
      </c>
      <c r="G10" s="2" t="s">
        <v>36</v>
      </c>
      <c r="H10" s="9" t="s">
        <v>3886</v>
      </c>
      <c r="I10" s="9"/>
      <c r="J10" s="9" t="s">
        <v>3887</v>
      </c>
      <c r="K10" s="2" t="s">
        <v>36</v>
      </c>
      <c r="L10" s="2" t="s">
        <v>26</v>
      </c>
      <c r="M10">
        <v>430</v>
      </c>
    </row>
    <row r="11" spans="1:18" ht="30.75">
      <c r="A11" s="610" t="s">
        <v>3885</v>
      </c>
      <c r="B11" s="8"/>
      <c r="C11" s="2" t="s">
        <v>27</v>
      </c>
      <c r="D11" s="153">
        <v>45985</v>
      </c>
      <c r="E11" s="2" t="s">
        <v>23</v>
      </c>
      <c r="F11" s="2" t="s">
        <v>24</v>
      </c>
      <c r="H11" s="9" t="s">
        <v>3886</v>
      </c>
      <c r="I11" s="9"/>
      <c r="J11" s="9" t="s">
        <v>3888</v>
      </c>
      <c r="K11" s="2"/>
      <c r="L11" s="2" t="s">
        <v>26</v>
      </c>
      <c r="M11">
        <v>375.8</v>
      </c>
    </row>
    <row r="12" spans="1:18" ht="30.75">
      <c r="A12" s="610" t="s">
        <v>3885</v>
      </c>
      <c r="B12" s="8"/>
      <c r="C12" s="2" t="s">
        <v>27</v>
      </c>
      <c r="D12" s="153">
        <v>45986</v>
      </c>
      <c r="E12" s="2" t="s">
        <v>23</v>
      </c>
      <c r="F12" s="2" t="s">
        <v>24</v>
      </c>
      <c r="H12" s="9" t="s">
        <v>3886</v>
      </c>
      <c r="I12" s="9"/>
      <c r="J12" s="9" t="s">
        <v>3889</v>
      </c>
      <c r="K12" s="2"/>
      <c r="L12" s="2" t="s">
        <v>26</v>
      </c>
      <c r="M12">
        <v>280</v>
      </c>
    </row>
    <row r="13" spans="1:18" ht="30.75">
      <c r="A13" s="610" t="s">
        <v>3885</v>
      </c>
      <c r="B13" s="154"/>
      <c r="C13" s="2" t="s">
        <v>27</v>
      </c>
      <c r="D13" s="153">
        <v>45987</v>
      </c>
      <c r="E13" s="2" t="s">
        <v>23</v>
      </c>
      <c r="F13" s="2" t="s">
        <v>24</v>
      </c>
      <c r="H13" s="9" t="s">
        <v>3886</v>
      </c>
      <c r="I13" s="9"/>
      <c r="J13" s="9" t="s">
        <v>3890</v>
      </c>
      <c r="K13" s="2"/>
      <c r="L13" s="2" t="s">
        <v>26</v>
      </c>
      <c r="M13">
        <v>253.95</v>
      </c>
    </row>
    <row r="14" spans="1:18" ht="30.75">
      <c r="A14" s="610" t="s">
        <v>3885</v>
      </c>
      <c r="B14" s="154"/>
      <c r="C14" s="2" t="s">
        <v>27</v>
      </c>
      <c r="D14" s="153">
        <v>45989</v>
      </c>
      <c r="E14" s="2" t="s">
        <v>23</v>
      </c>
      <c r="F14" s="2" t="s">
        <v>24</v>
      </c>
      <c r="H14" s="9" t="s">
        <v>3886</v>
      </c>
      <c r="I14" s="9"/>
      <c r="J14" s="9" t="s">
        <v>3891</v>
      </c>
      <c r="K14" s="2"/>
      <c r="L14" s="2" t="s">
        <v>26</v>
      </c>
      <c r="M14">
        <v>196</v>
      </c>
    </row>
    <row r="15" spans="1:18" ht="30.75">
      <c r="A15" s="590">
        <v>46121</v>
      </c>
      <c r="B15" s="589"/>
      <c r="C15" s="588" t="s">
        <v>30</v>
      </c>
      <c r="D15" s="590">
        <v>45992</v>
      </c>
      <c r="E15" s="518" t="s">
        <v>23</v>
      </c>
      <c r="F15" s="518" t="s">
        <v>24</v>
      </c>
      <c r="G15" s="588"/>
      <c r="H15" s="591" t="s">
        <v>3892</v>
      </c>
      <c r="I15" s="592"/>
      <c r="J15" s="592" t="s">
        <v>3893</v>
      </c>
      <c r="K15" s="518"/>
      <c r="L15" s="518" t="s">
        <v>26</v>
      </c>
      <c r="M15" s="588">
        <v>39.799999999999997</v>
      </c>
      <c r="N15" t="s">
        <v>36</v>
      </c>
      <c r="Q15" s="611" t="s">
        <v>3894</v>
      </c>
      <c r="R15" s="611" t="s">
        <v>3895</v>
      </c>
    </row>
    <row r="16" spans="1:18" ht="30.75">
      <c r="A16" s="590">
        <v>46121</v>
      </c>
      <c r="B16" s="593"/>
      <c r="C16" s="588" t="s">
        <v>30</v>
      </c>
      <c r="D16" s="517">
        <v>45994</v>
      </c>
      <c r="E16" s="518" t="s">
        <v>23</v>
      </c>
      <c r="F16" s="518" t="s">
        <v>24</v>
      </c>
      <c r="G16" s="518"/>
      <c r="H16" s="591" t="s">
        <v>3892</v>
      </c>
      <c r="I16" s="592"/>
      <c r="J16" s="592" t="s">
        <v>3896</v>
      </c>
      <c r="K16" s="518"/>
      <c r="L16" s="518" t="s">
        <v>26</v>
      </c>
      <c r="M16" s="588">
        <v>79.599999999999994</v>
      </c>
      <c r="Q16" s="611" t="s">
        <v>3897</v>
      </c>
      <c r="R16" s="611">
        <v>2500</v>
      </c>
    </row>
    <row r="17" spans="1:18" ht="30.75">
      <c r="A17" s="590">
        <v>46121</v>
      </c>
      <c r="B17" s="593"/>
      <c r="C17" s="588" t="s">
        <v>30</v>
      </c>
      <c r="D17" s="590">
        <v>45996</v>
      </c>
      <c r="E17" s="518" t="s">
        <v>23</v>
      </c>
      <c r="F17" s="518" t="s">
        <v>24</v>
      </c>
      <c r="G17" s="588"/>
      <c r="H17" s="591" t="s">
        <v>3892</v>
      </c>
      <c r="I17" s="592"/>
      <c r="J17" s="592" t="s">
        <v>3898</v>
      </c>
      <c r="K17" s="588"/>
      <c r="L17" s="518" t="s">
        <v>26</v>
      </c>
      <c r="M17" s="588">
        <v>77.2</v>
      </c>
      <c r="Q17" s="612">
        <v>46085</v>
      </c>
      <c r="R17" s="611">
        <v>3000</v>
      </c>
    </row>
    <row r="18" spans="1:18" ht="30.75">
      <c r="A18" s="590">
        <v>46121</v>
      </c>
      <c r="B18" s="589"/>
      <c r="C18" s="588" t="s">
        <v>30</v>
      </c>
      <c r="D18" s="590">
        <v>45999</v>
      </c>
      <c r="E18" s="518" t="s">
        <v>23</v>
      </c>
      <c r="F18" s="518" t="s">
        <v>24</v>
      </c>
      <c r="G18" s="588"/>
      <c r="H18" s="591" t="s">
        <v>3892</v>
      </c>
      <c r="I18" s="592"/>
      <c r="J18" s="592" t="s">
        <v>3899</v>
      </c>
      <c r="K18" s="588"/>
      <c r="L18" s="518" t="s">
        <v>26</v>
      </c>
      <c r="M18" s="588">
        <v>100</v>
      </c>
      <c r="Q18" s="612">
        <v>46121</v>
      </c>
      <c r="R18" s="611">
        <v>3000</v>
      </c>
    </row>
    <row r="19" spans="1:18" ht="30.75">
      <c r="A19" s="590">
        <v>46121</v>
      </c>
      <c r="B19" s="589"/>
      <c r="C19" s="588" t="s">
        <v>30</v>
      </c>
      <c r="D19" s="590">
        <v>46001</v>
      </c>
      <c r="E19" s="518" t="s">
        <v>23</v>
      </c>
      <c r="F19" s="518" t="s">
        <v>24</v>
      </c>
      <c r="G19" s="588"/>
      <c r="H19" s="591" t="s">
        <v>3892</v>
      </c>
      <c r="I19" s="592"/>
      <c r="J19" s="592" t="s">
        <v>3900</v>
      </c>
      <c r="K19" s="588"/>
      <c r="L19" s="518" t="s">
        <v>26</v>
      </c>
      <c r="M19" s="588">
        <v>105</v>
      </c>
      <c r="Q19" s="612">
        <v>46148</v>
      </c>
      <c r="R19" s="617">
        <v>1006.71</v>
      </c>
    </row>
    <row r="20" spans="1:18" ht="30.75">
      <c r="A20" s="590">
        <v>46121</v>
      </c>
      <c r="B20" s="589"/>
      <c r="C20" s="588" t="s">
        <v>30</v>
      </c>
      <c r="D20" s="590">
        <v>46003</v>
      </c>
      <c r="E20" s="518" t="s">
        <v>23</v>
      </c>
      <c r="F20" s="518" t="s">
        <v>24</v>
      </c>
      <c r="G20" s="588"/>
      <c r="H20" s="591" t="s">
        <v>3892</v>
      </c>
      <c r="I20" s="592"/>
      <c r="J20" s="592" t="s">
        <v>3901</v>
      </c>
      <c r="K20" s="588"/>
      <c r="L20" s="518" t="s">
        <v>26</v>
      </c>
      <c r="M20" s="588">
        <v>73</v>
      </c>
      <c r="Q20" s="612">
        <v>46148</v>
      </c>
      <c r="R20" s="618">
        <v>5383</v>
      </c>
    </row>
    <row r="21" spans="1:18" ht="30.75">
      <c r="A21" s="590">
        <v>46121</v>
      </c>
      <c r="B21" s="588"/>
      <c r="C21" s="588" t="s">
        <v>30</v>
      </c>
      <c r="D21" s="590">
        <v>46006</v>
      </c>
      <c r="E21" s="518" t="s">
        <v>23</v>
      </c>
      <c r="F21" s="518" t="s">
        <v>24</v>
      </c>
      <c r="G21" s="588"/>
      <c r="H21" s="591" t="s">
        <v>3892</v>
      </c>
      <c r="I21" s="592"/>
      <c r="J21" s="592" t="s">
        <v>3902</v>
      </c>
      <c r="K21" s="588"/>
      <c r="L21" s="518" t="s">
        <v>26</v>
      </c>
      <c r="M21" s="588">
        <v>87.6</v>
      </c>
    </row>
    <row r="22" spans="1:18" ht="30.75">
      <c r="A22" s="590">
        <v>46121</v>
      </c>
      <c r="B22" s="588"/>
      <c r="C22" s="588" t="s">
        <v>30</v>
      </c>
      <c r="D22" s="594">
        <v>46008</v>
      </c>
      <c r="E22" s="518" t="s">
        <v>23</v>
      </c>
      <c r="F22" s="518" t="s">
        <v>24</v>
      </c>
      <c r="G22" s="588"/>
      <c r="H22" s="591" t="s">
        <v>3892</v>
      </c>
      <c r="I22" s="592"/>
      <c r="J22" s="592" t="s">
        <v>3903</v>
      </c>
      <c r="K22" s="588"/>
      <c r="L22" s="518" t="s">
        <v>26</v>
      </c>
      <c r="M22" s="588">
        <v>81</v>
      </c>
      <c r="R22" s="611">
        <f>+SUM(R16:R20)</f>
        <v>14889.71</v>
      </c>
    </row>
    <row r="23" spans="1:18" ht="30.75">
      <c r="A23" s="590">
        <v>46121</v>
      </c>
      <c r="B23" s="589"/>
      <c r="C23" s="588" t="s">
        <v>30</v>
      </c>
      <c r="D23" s="590">
        <v>46010</v>
      </c>
      <c r="E23" s="518" t="s">
        <v>23</v>
      </c>
      <c r="F23" s="518" t="s">
        <v>24</v>
      </c>
      <c r="G23" s="588"/>
      <c r="H23" s="591" t="s">
        <v>3892</v>
      </c>
      <c r="I23" s="592"/>
      <c r="J23" s="592" t="s">
        <v>3904</v>
      </c>
      <c r="K23" s="588"/>
      <c r="L23" s="518" t="s">
        <v>26</v>
      </c>
      <c r="M23" s="588">
        <v>84.25</v>
      </c>
    </row>
    <row r="24" spans="1:18" ht="30.75">
      <c r="A24" s="590">
        <v>46121</v>
      </c>
      <c r="B24" s="588"/>
      <c r="C24" s="588" t="s">
        <v>30</v>
      </c>
      <c r="D24" s="590">
        <v>46013</v>
      </c>
      <c r="E24" s="518" t="s">
        <v>23</v>
      </c>
      <c r="F24" s="518" t="s">
        <v>24</v>
      </c>
      <c r="G24" s="588"/>
      <c r="H24" s="591" t="s">
        <v>3892</v>
      </c>
      <c r="I24" s="592"/>
      <c r="J24" s="588">
        <v>55502</v>
      </c>
      <c r="K24" s="588"/>
      <c r="L24" s="518" t="s">
        <v>26</v>
      </c>
      <c r="M24" s="588">
        <v>96.6</v>
      </c>
    </row>
    <row r="25" spans="1:18" ht="30.75">
      <c r="A25" s="590">
        <v>46121</v>
      </c>
      <c r="B25" s="588"/>
      <c r="C25" s="588" t="s">
        <v>30</v>
      </c>
      <c r="D25" s="590">
        <v>46015</v>
      </c>
      <c r="E25" s="518" t="s">
        <v>23</v>
      </c>
      <c r="F25" s="518" t="s">
        <v>24</v>
      </c>
      <c r="G25" s="588"/>
      <c r="H25" s="591" t="s">
        <v>3892</v>
      </c>
      <c r="I25" s="592"/>
      <c r="J25" s="588">
        <v>55503</v>
      </c>
      <c r="K25" s="588"/>
      <c r="L25" s="518" t="s">
        <v>26</v>
      </c>
      <c r="M25" s="588">
        <v>98.4</v>
      </c>
    </row>
    <row r="26" spans="1:18" ht="30.75">
      <c r="A26" s="590">
        <v>46121</v>
      </c>
      <c r="B26" s="588"/>
      <c r="C26" s="588" t="s">
        <v>30</v>
      </c>
      <c r="D26" s="590">
        <v>46018</v>
      </c>
      <c r="E26" s="518" t="s">
        <v>23</v>
      </c>
      <c r="F26" s="518" t="s">
        <v>24</v>
      </c>
      <c r="G26" s="588"/>
      <c r="H26" s="591" t="s">
        <v>3892</v>
      </c>
      <c r="I26" s="592"/>
      <c r="J26" s="588">
        <v>55504</v>
      </c>
      <c r="K26" s="588"/>
      <c r="L26" s="518" t="s">
        <v>26</v>
      </c>
      <c r="M26" s="588">
        <v>68</v>
      </c>
    </row>
    <row r="27" spans="1:18" ht="30.75">
      <c r="A27" s="590">
        <v>46121</v>
      </c>
      <c r="B27" s="588"/>
      <c r="C27" s="588" t="s">
        <v>30</v>
      </c>
      <c r="D27" s="590">
        <v>46020</v>
      </c>
      <c r="E27" s="518" t="s">
        <v>23</v>
      </c>
      <c r="F27" s="518" t="s">
        <v>24</v>
      </c>
      <c r="G27" s="588"/>
      <c r="H27" s="591" t="s">
        <v>3892</v>
      </c>
      <c r="I27" s="592"/>
      <c r="J27" s="592" t="s">
        <v>3905</v>
      </c>
      <c r="K27" s="588"/>
      <c r="L27" s="518" t="s">
        <v>26</v>
      </c>
      <c r="M27" s="588">
        <v>75</v>
      </c>
    </row>
    <row r="28" spans="1:18" ht="30.75">
      <c r="A28" s="590">
        <v>46121</v>
      </c>
      <c r="B28" s="588"/>
      <c r="C28" s="588" t="s">
        <v>30</v>
      </c>
      <c r="D28" s="590">
        <v>46020</v>
      </c>
      <c r="E28" s="518" t="s">
        <v>23</v>
      </c>
      <c r="F28" s="518" t="s">
        <v>24</v>
      </c>
      <c r="G28" s="588"/>
      <c r="H28" s="591" t="s">
        <v>3892</v>
      </c>
      <c r="I28" s="592"/>
      <c r="J28" s="588">
        <v>55506</v>
      </c>
      <c r="K28" s="588"/>
      <c r="L28" s="518" t="s">
        <v>26</v>
      </c>
      <c r="M28" s="588">
        <v>75</v>
      </c>
    </row>
    <row r="29" spans="1:18" ht="30.75">
      <c r="A29" s="590">
        <v>46121</v>
      </c>
      <c r="B29" s="588"/>
      <c r="C29" s="588" t="s">
        <v>30</v>
      </c>
      <c r="D29" s="590">
        <v>46022</v>
      </c>
      <c r="E29" s="518" t="s">
        <v>23</v>
      </c>
      <c r="F29" s="518" t="s">
        <v>24</v>
      </c>
      <c r="G29" s="588"/>
      <c r="H29" s="591" t="s">
        <v>3892</v>
      </c>
      <c r="I29" s="592"/>
      <c r="J29" s="592" t="s">
        <v>3906</v>
      </c>
      <c r="K29" s="588"/>
      <c r="L29" s="518" t="s">
        <v>26</v>
      </c>
      <c r="M29" s="588">
        <v>40</v>
      </c>
      <c r="N29" s="2"/>
    </row>
    <row r="30" spans="1:18" ht="30.75">
      <c r="A30" s="153">
        <v>46148</v>
      </c>
      <c r="C30" t="s">
        <v>32</v>
      </c>
      <c r="D30" s="528">
        <v>46025</v>
      </c>
      <c r="E30" s="526" t="s">
        <v>23</v>
      </c>
      <c r="F30" s="531" t="s">
        <v>24</v>
      </c>
      <c r="G30" s="526"/>
      <c r="H30" s="527" t="s">
        <v>3907</v>
      </c>
      <c r="I30" s="526"/>
      <c r="J30" s="526">
        <v>54458</v>
      </c>
      <c r="K30" s="526"/>
      <c r="L30" s="531" t="s">
        <v>26</v>
      </c>
      <c r="M30" s="526">
        <v>110.85</v>
      </c>
    </row>
    <row r="31" spans="1:18" ht="30.75">
      <c r="A31" s="153">
        <v>46148</v>
      </c>
      <c r="B31" s="526"/>
      <c r="C31" t="s">
        <v>32</v>
      </c>
      <c r="D31" s="528">
        <v>46027</v>
      </c>
      <c r="E31" s="526" t="s">
        <v>23</v>
      </c>
      <c r="F31" s="531" t="s">
        <v>24</v>
      </c>
      <c r="G31" s="526"/>
      <c r="H31" s="527" t="s">
        <v>3907</v>
      </c>
      <c r="I31" s="526"/>
      <c r="J31" s="526">
        <v>55938</v>
      </c>
      <c r="K31" s="526"/>
      <c r="L31" s="531" t="s">
        <v>26</v>
      </c>
      <c r="M31" s="526">
        <v>37.6</v>
      </c>
    </row>
    <row r="32" spans="1:18" ht="30.75">
      <c r="A32" s="153">
        <v>46148</v>
      </c>
      <c r="B32" s="526"/>
      <c r="C32" t="s">
        <v>32</v>
      </c>
      <c r="D32" s="528">
        <v>46029</v>
      </c>
      <c r="E32" s="526" t="s">
        <v>23</v>
      </c>
      <c r="F32" s="531" t="s">
        <v>24</v>
      </c>
      <c r="G32" s="526"/>
      <c r="H32" s="527" t="s">
        <v>3907</v>
      </c>
      <c r="I32" s="526"/>
      <c r="J32" s="526">
        <v>55939</v>
      </c>
      <c r="K32" s="526"/>
      <c r="L32" s="531" t="s">
        <v>26</v>
      </c>
      <c r="M32" s="526">
        <v>97.85</v>
      </c>
    </row>
    <row r="33" spans="1:14" ht="30.75">
      <c r="A33" s="153">
        <v>46148</v>
      </c>
      <c r="B33" s="526"/>
      <c r="C33" t="s">
        <v>32</v>
      </c>
      <c r="D33" s="528">
        <v>46031</v>
      </c>
      <c r="E33" s="526" t="s">
        <v>23</v>
      </c>
      <c r="F33" s="531" t="s">
        <v>24</v>
      </c>
      <c r="G33" s="526"/>
      <c r="H33" s="527" t="s">
        <v>3907</v>
      </c>
      <c r="I33" s="533"/>
      <c r="J33" s="526">
        <v>55940</v>
      </c>
      <c r="K33" s="526"/>
      <c r="L33" s="531" t="s">
        <v>26</v>
      </c>
      <c r="M33" s="526">
        <v>79.3</v>
      </c>
    </row>
    <row r="34" spans="1:14" ht="30.75">
      <c r="A34" s="153">
        <v>46148</v>
      </c>
      <c r="B34" s="526"/>
      <c r="C34" t="s">
        <v>32</v>
      </c>
      <c r="D34" s="528">
        <v>46043</v>
      </c>
      <c r="E34" s="526" t="s">
        <v>23</v>
      </c>
      <c r="F34" s="531" t="s">
        <v>24</v>
      </c>
      <c r="G34" s="526"/>
      <c r="H34" s="527" t="s">
        <v>3907</v>
      </c>
      <c r="I34" s="533"/>
      <c r="J34" s="526">
        <v>55941</v>
      </c>
      <c r="K34" s="526"/>
      <c r="L34" s="531" t="s">
        <v>26</v>
      </c>
      <c r="M34">
        <v>452.4</v>
      </c>
    </row>
    <row r="35" spans="1:14" ht="30.75">
      <c r="A35" s="153">
        <v>46148</v>
      </c>
      <c r="B35" s="526"/>
      <c r="C35" t="s">
        <v>32</v>
      </c>
      <c r="D35" s="528">
        <v>46053</v>
      </c>
      <c r="E35" s="526" t="s">
        <v>23</v>
      </c>
      <c r="F35" s="531" t="s">
        <v>24</v>
      </c>
      <c r="G35" s="526"/>
      <c r="H35" s="527" t="s">
        <v>3907</v>
      </c>
      <c r="I35" s="526"/>
      <c r="J35" s="526">
        <v>55943</v>
      </c>
      <c r="K35" s="526"/>
      <c r="L35" s="531" t="s">
        <v>26</v>
      </c>
      <c r="M35" s="526">
        <v>760</v>
      </c>
      <c r="N35" s="596"/>
    </row>
    <row r="36" spans="1:14" ht="30.75">
      <c r="A36" s="290"/>
      <c r="B36" s="290"/>
      <c r="C36" s="290" t="s">
        <v>34</v>
      </c>
      <c r="D36" s="507">
        <v>46072</v>
      </c>
      <c r="E36" s="290" t="s">
        <v>23</v>
      </c>
      <c r="F36" s="100" t="s">
        <v>24</v>
      </c>
      <c r="G36" s="290"/>
      <c r="H36" s="174" t="s">
        <v>2738</v>
      </c>
      <c r="I36" s="290"/>
      <c r="J36" s="290">
        <v>55942</v>
      </c>
      <c r="K36" s="290"/>
      <c r="L36" s="100" t="s">
        <v>1805</v>
      </c>
      <c r="M36" s="290">
        <v>567.20000000000005</v>
      </c>
    </row>
    <row r="37" spans="1:14" ht="30.75">
      <c r="A37" s="290"/>
      <c r="B37" s="290"/>
      <c r="C37" s="290" t="s">
        <v>34</v>
      </c>
      <c r="D37" s="507">
        <v>46077</v>
      </c>
      <c r="E37" s="290" t="s">
        <v>23</v>
      </c>
      <c r="F37" s="100" t="s">
        <v>24</v>
      </c>
      <c r="G37" s="290"/>
      <c r="H37" s="174" t="s">
        <v>2738</v>
      </c>
      <c r="I37" s="290"/>
      <c r="J37" s="290">
        <v>55944</v>
      </c>
      <c r="K37" s="290"/>
      <c r="L37" s="100" t="s">
        <v>1805</v>
      </c>
      <c r="M37" s="290">
        <v>384.4</v>
      </c>
    </row>
    <row r="38" spans="1:14" ht="30.75">
      <c r="A38" s="290"/>
      <c r="B38" s="290"/>
      <c r="C38" s="290" t="s">
        <v>34</v>
      </c>
      <c r="D38" s="507">
        <v>46077</v>
      </c>
      <c r="E38" s="290" t="s">
        <v>23</v>
      </c>
      <c r="F38" s="100" t="s">
        <v>24</v>
      </c>
      <c r="G38" s="290"/>
      <c r="H38" s="174" t="s">
        <v>2738</v>
      </c>
      <c r="I38" s="290"/>
      <c r="J38" s="290">
        <v>55944</v>
      </c>
      <c r="K38" s="290"/>
      <c r="L38" s="100" t="s">
        <v>1805</v>
      </c>
      <c r="M38" s="290">
        <v>384.4</v>
      </c>
    </row>
    <row r="39" spans="1:14" ht="30.75">
      <c r="A39" s="290"/>
      <c r="B39" s="290"/>
      <c r="C39" s="290" t="s">
        <v>34</v>
      </c>
      <c r="D39" s="507">
        <v>46081</v>
      </c>
      <c r="E39" s="290" t="s">
        <v>23</v>
      </c>
      <c r="F39" s="100" t="s">
        <v>24</v>
      </c>
      <c r="G39" s="290"/>
      <c r="H39" s="174" t="s">
        <v>2738</v>
      </c>
      <c r="I39" s="290"/>
      <c r="J39" s="290">
        <v>55945</v>
      </c>
      <c r="K39" s="290"/>
      <c r="L39" s="100" t="s">
        <v>1805</v>
      </c>
      <c r="M39" s="290">
        <v>168.95</v>
      </c>
    </row>
    <row r="40" spans="1:14" ht="30.75">
      <c r="A40" s="526"/>
      <c r="B40" s="526"/>
      <c r="C40" s="526" t="s">
        <v>38</v>
      </c>
      <c r="D40" s="528">
        <v>46091</v>
      </c>
      <c r="E40" s="526" t="s">
        <v>23</v>
      </c>
      <c r="F40" s="531" t="s">
        <v>24</v>
      </c>
      <c r="G40" s="526"/>
      <c r="H40" s="527" t="s">
        <v>3908</v>
      </c>
      <c r="I40" s="526"/>
      <c r="J40" s="526">
        <v>55946</v>
      </c>
      <c r="K40" s="526"/>
      <c r="L40" s="531" t="s">
        <v>1805</v>
      </c>
      <c r="M40" s="526">
        <v>372</v>
      </c>
    </row>
    <row r="41" spans="1:14" ht="30.75">
      <c r="A41" s="526"/>
      <c r="B41" s="526"/>
      <c r="C41" s="526" t="s">
        <v>38</v>
      </c>
      <c r="D41" s="528">
        <v>46097</v>
      </c>
      <c r="E41" s="526" t="s">
        <v>23</v>
      </c>
      <c r="F41" s="531" t="s">
        <v>24</v>
      </c>
      <c r="G41" s="526"/>
      <c r="H41" s="527" t="s">
        <v>3908</v>
      </c>
      <c r="I41" s="526"/>
      <c r="J41" s="526">
        <v>55947</v>
      </c>
      <c r="K41" s="526"/>
      <c r="L41" s="531" t="s">
        <v>1805</v>
      </c>
      <c r="M41" s="526">
        <v>144.72999999999999</v>
      </c>
    </row>
    <row r="42" spans="1:14" ht="30.75">
      <c r="A42" s="526"/>
      <c r="B42" s="526"/>
      <c r="C42" s="526" t="s">
        <v>38</v>
      </c>
      <c r="D42" s="528">
        <v>46104</v>
      </c>
      <c r="E42" s="526" t="s">
        <v>23</v>
      </c>
      <c r="F42" s="531" t="s">
        <v>24</v>
      </c>
      <c r="G42" s="526"/>
      <c r="H42" s="527" t="s">
        <v>3908</v>
      </c>
      <c r="I42" s="526"/>
      <c r="J42" s="526">
        <v>55948</v>
      </c>
      <c r="K42" s="526"/>
      <c r="L42" s="531" t="s">
        <v>1805</v>
      </c>
      <c r="M42" s="526">
        <v>225</v>
      </c>
    </row>
    <row r="43" spans="1:14" ht="30.75">
      <c r="A43" s="526"/>
      <c r="B43" s="526"/>
      <c r="C43" s="526" t="s">
        <v>38</v>
      </c>
      <c r="D43" s="528">
        <v>46111</v>
      </c>
      <c r="E43" s="526" t="s">
        <v>23</v>
      </c>
      <c r="F43" s="531" t="s">
        <v>24</v>
      </c>
      <c r="G43" s="526"/>
      <c r="H43" s="527" t="s">
        <v>3908</v>
      </c>
      <c r="I43" s="526"/>
      <c r="J43" s="526">
        <v>55949</v>
      </c>
      <c r="K43" s="526"/>
      <c r="L43" s="531" t="s">
        <v>1805</v>
      </c>
      <c r="M43" s="526">
        <v>229.4</v>
      </c>
    </row>
    <row r="44" spans="1:14" ht="30.75">
      <c r="A44" s="619"/>
      <c r="B44" s="619"/>
      <c r="C44" s="619" t="s">
        <v>41</v>
      </c>
      <c r="D44" s="620">
        <v>46118</v>
      </c>
      <c r="E44" s="619" t="s">
        <v>23</v>
      </c>
      <c r="F44" s="621" t="s">
        <v>24</v>
      </c>
      <c r="G44" s="619"/>
      <c r="H44" s="622" t="s">
        <v>3909</v>
      </c>
      <c r="I44" s="619"/>
      <c r="J44" s="619">
        <v>56499</v>
      </c>
      <c r="K44" s="619"/>
      <c r="L44" s="621" t="s">
        <v>1805</v>
      </c>
      <c r="M44" s="619">
        <v>229.75</v>
      </c>
    </row>
    <row r="45" spans="1:14" ht="30.75">
      <c r="A45" s="619"/>
      <c r="B45" s="619"/>
      <c r="C45" s="619" t="s">
        <v>41</v>
      </c>
      <c r="D45" s="620">
        <v>46125</v>
      </c>
      <c r="E45" s="619" t="s">
        <v>23</v>
      </c>
      <c r="F45" s="621" t="s">
        <v>24</v>
      </c>
      <c r="G45" s="619"/>
      <c r="H45" s="622" t="s">
        <v>3909</v>
      </c>
      <c r="I45" s="619"/>
      <c r="J45" s="619">
        <v>56964</v>
      </c>
      <c r="K45" s="619"/>
      <c r="L45" s="621" t="s">
        <v>1805</v>
      </c>
      <c r="M45" s="619">
        <v>233.3</v>
      </c>
    </row>
    <row r="46" spans="1:14" ht="30.75">
      <c r="A46" s="619"/>
      <c r="B46" s="619"/>
      <c r="C46" s="619" t="s">
        <v>41</v>
      </c>
      <c r="D46" s="620">
        <v>46127</v>
      </c>
      <c r="E46" s="619" t="s">
        <v>23</v>
      </c>
      <c r="F46" s="621" t="s">
        <v>24</v>
      </c>
      <c r="G46" s="619"/>
      <c r="H46" s="622" t="s">
        <v>3909</v>
      </c>
      <c r="I46" s="619"/>
      <c r="J46" s="619">
        <v>59680</v>
      </c>
      <c r="K46" s="619"/>
      <c r="L46" s="621" t="s">
        <v>1805</v>
      </c>
      <c r="M46" s="619">
        <v>92.15</v>
      </c>
    </row>
    <row r="47" spans="1:14" ht="30.75">
      <c r="A47" s="619"/>
      <c r="B47" s="619"/>
      <c r="C47" s="619" t="s">
        <v>41</v>
      </c>
      <c r="D47" s="620">
        <v>46129</v>
      </c>
      <c r="E47" s="619" t="s">
        <v>23</v>
      </c>
      <c r="F47" s="621" t="s">
        <v>24</v>
      </c>
      <c r="G47" s="619"/>
      <c r="H47" s="622" t="s">
        <v>3909</v>
      </c>
      <c r="I47" s="619"/>
      <c r="J47" s="619">
        <v>56500</v>
      </c>
      <c r="K47" s="619"/>
      <c r="L47" s="621" t="s">
        <v>1805</v>
      </c>
      <c r="M47" s="619">
        <v>74.28</v>
      </c>
    </row>
    <row r="48" spans="1:14" ht="30.75">
      <c r="A48" s="619"/>
      <c r="B48" s="619"/>
      <c r="C48" s="619" t="s">
        <v>41</v>
      </c>
      <c r="D48" s="620">
        <v>46132</v>
      </c>
      <c r="E48" s="619" t="s">
        <v>23</v>
      </c>
      <c r="F48" s="621" t="s">
        <v>24</v>
      </c>
      <c r="G48" s="619"/>
      <c r="H48" s="622" t="s">
        <v>3909</v>
      </c>
      <c r="I48" s="619"/>
      <c r="J48" s="619">
        <v>56962</v>
      </c>
      <c r="K48" s="619"/>
      <c r="L48" s="621" t="s">
        <v>1805</v>
      </c>
      <c r="M48" s="619">
        <v>90.27</v>
      </c>
    </row>
    <row r="49" spans="1:13" ht="30.75">
      <c r="A49" s="619"/>
      <c r="B49" s="619"/>
      <c r="C49" s="619" t="s">
        <v>41</v>
      </c>
      <c r="D49" s="620">
        <v>46134</v>
      </c>
      <c r="E49" s="619" t="s">
        <v>23</v>
      </c>
      <c r="F49" s="621" t="s">
        <v>24</v>
      </c>
      <c r="G49" s="619"/>
      <c r="H49" s="622" t="s">
        <v>3909</v>
      </c>
      <c r="I49" s="619"/>
      <c r="J49" s="619">
        <v>56963</v>
      </c>
      <c r="K49" s="619"/>
      <c r="L49" s="621" t="s">
        <v>1805</v>
      </c>
      <c r="M49" s="619">
        <v>108</v>
      </c>
    </row>
    <row r="50" spans="1:13" ht="30.75">
      <c r="A50" s="619"/>
      <c r="B50" s="619"/>
      <c r="C50" s="619" t="s">
        <v>41</v>
      </c>
      <c r="D50" s="620">
        <v>46136</v>
      </c>
      <c r="E50" s="619" t="s">
        <v>23</v>
      </c>
      <c r="F50" s="621" t="s">
        <v>24</v>
      </c>
      <c r="G50" s="619"/>
      <c r="H50" s="622" t="s">
        <v>3909</v>
      </c>
      <c r="I50" s="619"/>
      <c r="J50" s="619">
        <v>59681</v>
      </c>
      <c r="K50" s="619"/>
      <c r="L50" s="621" t="s">
        <v>1805</v>
      </c>
      <c r="M50" s="619">
        <v>66</v>
      </c>
    </row>
    <row r="51" spans="1:13" ht="30.75">
      <c r="A51" s="619"/>
      <c r="B51" s="619"/>
      <c r="C51" s="619" t="s">
        <v>41</v>
      </c>
      <c r="D51" s="620">
        <v>46140</v>
      </c>
      <c r="E51" s="619" t="s">
        <v>23</v>
      </c>
      <c r="F51" s="621" t="s">
        <v>24</v>
      </c>
      <c r="G51" s="619"/>
      <c r="H51" s="622" t="s">
        <v>3909</v>
      </c>
      <c r="I51" s="619"/>
      <c r="J51" s="619">
        <v>59679</v>
      </c>
      <c r="K51" s="619"/>
      <c r="L51" s="621" t="s">
        <v>1805</v>
      </c>
      <c r="M51" s="619">
        <v>126.4</v>
      </c>
    </row>
    <row r="52" spans="1:13" ht="30.75">
      <c r="A52" s="619"/>
      <c r="B52" s="619"/>
      <c r="C52" s="619" t="s">
        <v>41</v>
      </c>
      <c r="D52" s="620">
        <v>46141</v>
      </c>
      <c r="E52" s="619" t="s">
        <v>23</v>
      </c>
      <c r="F52" s="621" t="s">
        <v>24</v>
      </c>
      <c r="G52" s="619"/>
      <c r="H52" s="622" t="s">
        <v>3909</v>
      </c>
      <c r="I52" s="619"/>
      <c r="J52" s="619">
        <v>59682</v>
      </c>
      <c r="K52" s="619"/>
      <c r="L52" s="621" t="s">
        <v>1805</v>
      </c>
      <c r="M52" s="619">
        <v>53.85</v>
      </c>
    </row>
    <row r="53" spans="1:13">
      <c r="A53" s="526"/>
      <c r="B53" s="526"/>
      <c r="C53" s="526"/>
      <c r="D53" s="528">
        <v>46143</v>
      </c>
      <c r="E53" s="526"/>
      <c r="F53" s="526"/>
      <c r="G53" s="526"/>
      <c r="H53" s="527"/>
      <c r="I53" s="526"/>
      <c r="J53" s="526">
        <v>59683</v>
      </c>
      <c r="K53" s="526"/>
      <c r="L53" s="526"/>
      <c r="M53" s="526">
        <v>85.05</v>
      </c>
    </row>
    <row r="54" spans="1:13">
      <c r="A54" s="613"/>
      <c r="B54" s="613"/>
      <c r="C54" s="613"/>
      <c r="D54" s="614">
        <v>46146</v>
      </c>
      <c r="E54" s="613"/>
      <c r="F54" s="613"/>
      <c r="G54" s="613"/>
      <c r="H54" s="615"/>
      <c r="I54" s="613"/>
      <c r="J54" s="613">
        <v>54459</v>
      </c>
      <c r="K54" s="613"/>
      <c r="L54" s="613"/>
      <c r="M54" s="613">
        <v>90.7</v>
      </c>
    </row>
    <row r="55" spans="1:13">
      <c r="A55" s="526"/>
      <c r="B55" s="526"/>
      <c r="C55" s="613" t="s">
        <v>41</v>
      </c>
      <c r="D55" s="528">
        <v>46148</v>
      </c>
      <c r="E55" s="526"/>
      <c r="F55" s="531"/>
      <c r="G55" s="526"/>
      <c r="H55" s="527"/>
      <c r="I55" s="526"/>
      <c r="J55" s="526">
        <v>61183</v>
      </c>
      <c r="K55" s="526"/>
      <c r="L55" s="531"/>
      <c r="M55" s="526">
        <v>90.65</v>
      </c>
    </row>
    <row r="56" spans="1:13">
      <c r="A56" s="526"/>
      <c r="B56" s="526"/>
      <c r="C56" s="526"/>
      <c r="D56" s="528">
        <v>46150</v>
      </c>
      <c r="E56" s="526"/>
      <c r="F56" s="526"/>
      <c r="G56" s="526"/>
      <c r="H56" s="527"/>
      <c r="I56" s="526"/>
      <c r="J56" s="526">
        <v>61184</v>
      </c>
      <c r="K56" s="526"/>
      <c r="L56" s="526"/>
      <c r="M56" s="526">
        <v>124.35</v>
      </c>
    </row>
    <row r="57" spans="1:13">
      <c r="A57" s="526"/>
      <c r="B57" s="526"/>
      <c r="C57" s="526"/>
      <c r="D57" s="528">
        <v>46157</v>
      </c>
      <c r="E57" s="526"/>
      <c r="F57" s="526"/>
      <c r="G57" s="526"/>
      <c r="H57" s="527"/>
      <c r="I57" s="526"/>
      <c r="J57" s="526">
        <v>61187</v>
      </c>
      <c r="K57" s="526"/>
      <c r="L57" s="526"/>
      <c r="M57" s="526">
        <v>110.45</v>
      </c>
    </row>
    <row r="58" spans="1:13">
      <c r="A58" s="526"/>
      <c r="B58" s="526"/>
      <c r="C58" s="526"/>
      <c r="D58" s="528">
        <v>46155</v>
      </c>
      <c r="E58" s="526"/>
      <c r="F58" s="526"/>
      <c r="G58" s="526"/>
      <c r="H58" s="527"/>
      <c r="I58" s="526"/>
      <c r="J58" s="526">
        <v>61186</v>
      </c>
      <c r="K58" s="526"/>
      <c r="L58" s="526"/>
      <c r="M58" s="526">
        <v>130.44999999999999</v>
      </c>
    </row>
    <row r="59" spans="1:13">
      <c r="A59" s="526"/>
      <c r="B59" s="526"/>
      <c r="C59" s="526"/>
      <c r="D59" s="528">
        <v>46153</v>
      </c>
      <c r="E59" s="526"/>
      <c r="F59" s="526"/>
      <c r="G59" s="526"/>
      <c r="H59" s="527"/>
      <c r="I59" s="526"/>
      <c r="J59" s="526">
        <v>61185</v>
      </c>
      <c r="K59" s="526"/>
      <c r="L59" s="526"/>
      <c r="M59" s="526">
        <v>34.33</v>
      </c>
    </row>
    <row r="60" spans="1:13">
      <c r="A60" s="526"/>
      <c r="B60" s="526"/>
      <c r="C60" s="526"/>
      <c r="D60" s="528">
        <v>46160</v>
      </c>
      <c r="E60" s="526"/>
      <c r="F60" s="526"/>
      <c r="G60" s="526"/>
      <c r="H60" s="527"/>
      <c r="I60" s="526"/>
      <c r="J60" s="526">
        <v>61189</v>
      </c>
      <c r="K60" s="526"/>
      <c r="L60" s="526"/>
      <c r="M60" s="526">
        <v>124.65</v>
      </c>
    </row>
    <row r="61" spans="1:13">
      <c r="A61" s="526"/>
      <c r="B61" s="526"/>
      <c r="C61" s="526"/>
      <c r="D61" s="528">
        <v>46162</v>
      </c>
      <c r="E61" s="526"/>
      <c r="F61" s="526"/>
      <c r="G61" s="526"/>
      <c r="H61" s="527"/>
      <c r="I61" s="526"/>
      <c r="J61" s="526">
        <v>61190</v>
      </c>
      <c r="K61" s="526"/>
      <c r="L61" s="526"/>
      <c r="M61" s="526">
        <v>80.95</v>
      </c>
    </row>
    <row r="442" spans="2:3">
      <c r="B442" t="s">
        <v>2286</v>
      </c>
      <c r="C442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61" xr:uid="{C12129AE-F0F0-4576-81ED-5808031AB59F}">
      <formula1>"ENERO,FEBRERO,MARZO,ABRIL,MAYO,JUNIO,JULIO,AGOSTO,SEPTIEMBRE,OCTUBRE,NOVIEMBRE,DICIEMBRE"</formula1>
    </dataValidation>
    <dataValidation type="list" allowBlank="1" showInputMessage="1" showErrorMessage="1" sqref="F10:F53" xr:uid="{31772B55-62AF-4517-82C8-AB1932A7665B}">
      <formula1>"EFECTIVO, CHEQUE, TRANSFERENCIA,DEPOSITO"</formula1>
    </dataValidation>
  </dataValidations>
  <hyperlinks>
    <hyperlink ref="B4:E4" r:id="rId1" display="Jr_2080@hotmail.com" xr:uid="{14C00419-9EAB-469E-946F-8EF228891531}"/>
  </hyperlinks>
  <pageMargins left="0.7" right="0.7" top="0.75" bottom="0.75" header="0.3" footer="0.3"/>
  <tableParts count="1">
    <tablePart r:id="rId2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1713-EAC3-40AE-BF6C-415356CCDFC5}">
  <dimension ref="A1:R433"/>
  <sheetViews>
    <sheetView workbookViewId="0">
      <selection activeCell="R20" sqref="R20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0.7109375" customWidth="1"/>
  </cols>
  <sheetData>
    <row r="1" spans="1:14" ht="23.25" customHeight="1">
      <c r="A1" s="789" t="s">
        <v>3910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20612065668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 t="s">
        <v>2292</v>
      </c>
      <c r="H5" s="788"/>
      <c r="I5" s="788"/>
      <c r="J5" s="788"/>
      <c r="K5" s="788"/>
      <c r="L5" s="788"/>
      <c r="M5" s="788"/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 t="s">
        <v>36</v>
      </c>
      <c r="B10" s="8" t="s">
        <v>36</v>
      </c>
      <c r="C10" s="2"/>
      <c r="D10" s="153">
        <v>46032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3911</v>
      </c>
      <c r="K10" s="2" t="s">
        <v>36</v>
      </c>
      <c r="M10" t="s">
        <v>3912</v>
      </c>
    </row>
    <row r="11" spans="1:14" ht="30.75">
      <c r="A11" s="7"/>
      <c r="B11" s="8"/>
      <c r="D11" s="153" t="s">
        <v>36</v>
      </c>
      <c r="E11" s="2" t="s">
        <v>23</v>
      </c>
      <c r="F11" s="2"/>
      <c r="H11" s="76"/>
      <c r="I11" s="9"/>
      <c r="J11" s="9" t="s">
        <v>36</v>
      </c>
      <c r="K11" s="2"/>
    </row>
    <row r="12" spans="1:14" ht="30.75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.75">
      <c r="B13" s="154"/>
      <c r="E13" s="2" t="s">
        <v>23</v>
      </c>
      <c r="H13" s="76"/>
      <c r="I13" s="9"/>
      <c r="J13" s="9"/>
      <c r="K13" s="2"/>
    </row>
    <row r="14" spans="1:14" ht="30.75">
      <c r="B14" s="154"/>
      <c r="E14" s="2" t="s">
        <v>23</v>
      </c>
      <c r="H14" s="76"/>
      <c r="I14" s="9"/>
      <c r="J14" s="9"/>
      <c r="K14" s="2"/>
    </row>
    <row r="15" spans="1:14" ht="30.75">
      <c r="B15" s="154"/>
      <c r="E15" s="2" t="s">
        <v>23</v>
      </c>
      <c r="H15" s="76"/>
      <c r="I15" s="9"/>
      <c r="J15" s="9"/>
      <c r="K15" s="2"/>
    </row>
    <row r="16" spans="1:14" ht="30.75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.75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.75">
      <c r="B18" s="154"/>
      <c r="E18" s="2" t="s">
        <v>23</v>
      </c>
      <c r="H18" s="76"/>
      <c r="I18" s="9"/>
      <c r="J18" s="9"/>
    </row>
    <row r="19" spans="1:18" ht="30.75">
      <c r="B19" s="154"/>
      <c r="E19" s="2" t="s">
        <v>23</v>
      </c>
      <c r="H19" s="76"/>
      <c r="I19" s="9"/>
      <c r="J19" s="9"/>
    </row>
    <row r="20" spans="1:18" ht="30.75">
      <c r="B20" s="154"/>
      <c r="E20" s="2" t="s">
        <v>23</v>
      </c>
      <c r="H20" s="76"/>
      <c r="I20" s="9"/>
      <c r="J20" s="9"/>
    </row>
    <row r="21" spans="1:18" ht="30.75">
      <c r="B21" s="154"/>
      <c r="E21" s="2" t="s">
        <v>23</v>
      </c>
      <c r="H21" s="76"/>
      <c r="I21" s="9"/>
      <c r="J21" s="9"/>
    </row>
    <row r="22" spans="1:18" ht="30.75">
      <c r="E22" s="2" t="s">
        <v>23</v>
      </c>
      <c r="H22" s="76"/>
      <c r="I22" s="9"/>
      <c r="J22" s="9"/>
    </row>
    <row r="23" spans="1:18" ht="30.75">
      <c r="E23" s="2" t="s">
        <v>23</v>
      </c>
      <c r="H23" s="76"/>
      <c r="I23" s="9"/>
      <c r="J23" s="9"/>
    </row>
    <row r="24" spans="1:18" ht="30.75">
      <c r="E24" s="2" t="s">
        <v>23</v>
      </c>
      <c r="H24" s="76"/>
      <c r="I24" s="9"/>
      <c r="J24" s="9"/>
    </row>
    <row r="25" spans="1:18" ht="30.75">
      <c r="E25" s="2" t="s">
        <v>23</v>
      </c>
      <c r="H25" s="76"/>
      <c r="I25" s="9"/>
      <c r="J25" s="9"/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486E28ED-EA25-416A-9911-A4B647F39042}">
      <formula1>"ENERO,FEBRERO,MARZO,ABRIL,MAYO,JUNIO,JULIO,AGOSTO,SEPTIEMBRE,OCTUBRE,NOVIEMBRE,DICIEMBRE"</formula1>
    </dataValidation>
    <dataValidation type="list" allowBlank="1" showInputMessage="1" showErrorMessage="1" sqref="F10:F30" xr:uid="{4E7A0E28-89B8-4449-9F1F-8D57AF9D023F}">
      <formula1>"EFECTIVO, CHEQUE, TRANSFERENCIA,DEPOSITO"</formula1>
    </dataValidation>
  </dataValidations>
  <hyperlinks>
    <hyperlink ref="B4:E4" r:id="rId1" display="Jr_2080@hotmail.com" xr:uid="{24967395-BFAA-4773-B288-357073C2B38F}"/>
  </hyperlinks>
  <pageMargins left="0.7" right="0.7" top="0.75" bottom="0.75" header="0.3" footer="0.3"/>
  <tableParts count="1">
    <tablePart r:id="rId2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5360-5FBA-4F3F-816F-2467FBACF4C6}">
  <dimension ref="A1:R433"/>
  <sheetViews>
    <sheetView workbookViewId="0">
      <selection activeCell="N6" sqref="N6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0.7109375" customWidth="1"/>
  </cols>
  <sheetData>
    <row r="1" spans="1:14" ht="23.25" customHeight="1">
      <c r="A1" s="789" t="s">
        <v>3913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20604003335</v>
      </c>
      <c r="F3" s="794" t="s">
        <v>3914</v>
      </c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>
        <v>46088</v>
      </c>
      <c r="C5" s="787"/>
      <c r="F5" s="258"/>
      <c r="G5" s="788" t="s">
        <v>3915</v>
      </c>
      <c r="H5" s="788"/>
      <c r="I5" s="788"/>
      <c r="J5" s="788"/>
      <c r="K5" s="788"/>
      <c r="L5" s="788"/>
      <c r="M5" s="788"/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46044</v>
      </c>
      <c r="B10" s="8">
        <v>90</v>
      </c>
      <c r="C10" s="2" t="s">
        <v>32</v>
      </c>
      <c r="D10" s="153">
        <v>46053</v>
      </c>
      <c r="E10" s="2" t="s">
        <v>23</v>
      </c>
      <c r="F10" s="2" t="s">
        <v>24</v>
      </c>
      <c r="G10" s="2">
        <v>1</v>
      </c>
      <c r="H10" s="9" t="s">
        <v>3916</v>
      </c>
      <c r="I10" s="9" t="s">
        <v>3917</v>
      </c>
      <c r="J10" s="9" t="s">
        <v>3918</v>
      </c>
      <c r="K10" s="2" t="s">
        <v>36</v>
      </c>
      <c r="L10" t="s">
        <v>72</v>
      </c>
      <c r="M10">
        <v>3.2</v>
      </c>
    </row>
    <row r="11" spans="1:14" ht="30.75">
      <c r="A11" s="266">
        <v>46086</v>
      </c>
      <c r="B11" s="8">
        <v>90</v>
      </c>
      <c r="C11" s="2" t="s">
        <v>34</v>
      </c>
      <c r="D11" s="153">
        <v>46081</v>
      </c>
      <c r="E11" s="2" t="s">
        <v>23</v>
      </c>
      <c r="F11" s="2" t="s">
        <v>24</v>
      </c>
      <c r="G11" s="2">
        <v>2</v>
      </c>
      <c r="H11" s="9" t="s">
        <v>3919</v>
      </c>
      <c r="I11" s="9"/>
      <c r="J11" s="9" t="s">
        <v>3920</v>
      </c>
      <c r="K11" s="2" t="s">
        <v>36</v>
      </c>
      <c r="L11" t="s">
        <v>72</v>
      </c>
      <c r="M11">
        <v>4.5</v>
      </c>
    </row>
    <row r="12" spans="1:14" ht="30.75">
      <c r="A12" s="7">
        <v>46120</v>
      </c>
      <c r="B12" s="8">
        <v>90</v>
      </c>
      <c r="C12" s="2" t="s">
        <v>38</v>
      </c>
      <c r="D12" s="153">
        <v>46112</v>
      </c>
      <c r="E12" s="2" t="s">
        <v>23</v>
      </c>
      <c r="F12" s="2" t="s">
        <v>24</v>
      </c>
      <c r="H12" s="76" t="s">
        <v>3921</v>
      </c>
      <c r="I12" s="9"/>
      <c r="J12" s="9" t="s">
        <v>3922</v>
      </c>
      <c r="K12" s="2"/>
      <c r="L12" t="s">
        <v>72</v>
      </c>
      <c r="M12">
        <v>2.8</v>
      </c>
    </row>
    <row r="13" spans="1:14" ht="30.75">
      <c r="A13" s="153">
        <v>46147</v>
      </c>
      <c r="B13" s="8">
        <v>90</v>
      </c>
      <c r="C13" s="2" t="s">
        <v>41</v>
      </c>
      <c r="D13" s="153">
        <v>46141</v>
      </c>
      <c r="E13" s="2" t="s">
        <v>23</v>
      </c>
      <c r="F13" s="2" t="s">
        <v>24</v>
      </c>
      <c r="H13" s="76" t="s">
        <v>3923</v>
      </c>
      <c r="I13" s="9"/>
      <c r="J13" s="9" t="s">
        <v>3924</v>
      </c>
      <c r="K13" s="2"/>
      <c r="L13" t="s">
        <v>72</v>
      </c>
      <c r="M13">
        <v>3.5</v>
      </c>
    </row>
    <row r="14" spans="1:14" ht="30.75">
      <c r="A14" s="153">
        <v>46171</v>
      </c>
      <c r="B14" s="8">
        <v>90</v>
      </c>
      <c r="C14" s="2" t="s">
        <v>44</v>
      </c>
      <c r="E14" s="2" t="s">
        <v>23</v>
      </c>
      <c r="F14" s="2" t="s">
        <v>24</v>
      </c>
      <c r="H14" s="76" t="s">
        <v>3925</v>
      </c>
      <c r="I14" s="9"/>
      <c r="J14" s="9"/>
      <c r="K14" s="2"/>
      <c r="L14" t="s">
        <v>72</v>
      </c>
    </row>
    <row r="15" spans="1:14" ht="30.75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.75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.75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.75">
      <c r="B18" s="154"/>
      <c r="E18" s="2" t="s">
        <v>23</v>
      </c>
      <c r="H18" s="76"/>
      <c r="I18" s="9"/>
      <c r="J18" s="9"/>
    </row>
    <row r="19" spans="1:18" ht="30.75">
      <c r="B19" s="154"/>
      <c r="E19" s="2" t="s">
        <v>23</v>
      </c>
      <c r="H19" s="76"/>
      <c r="I19" s="9"/>
      <c r="J19" s="9"/>
    </row>
    <row r="20" spans="1:18" ht="30.75">
      <c r="B20" s="154"/>
      <c r="E20" s="2" t="s">
        <v>23</v>
      </c>
      <c r="H20" s="76"/>
      <c r="I20" s="9"/>
      <c r="J20" s="9"/>
    </row>
    <row r="21" spans="1:18" ht="30.75">
      <c r="B21" s="154"/>
      <c r="E21" s="2" t="s">
        <v>23</v>
      </c>
      <c r="H21" s="76"/>
      <c r="I21" s="9"/>
      <c r="J21" s="9"/>
    </row>
    <row r="22" spans="1:18" ht="30.75">
      <c r="E22" s="2" t="s">
        <v>23</v>
      </c>
      <c r="H22" s="76"/>
      <c r="I22" s="9"/>
      <c r="J22" s="9"/>
    </row>
    <row r="23" spans="1:18" ht="30.75">
      <c r="E23" s="2" t="s">
        <v>23</v>
      </c>
      <c r="H23" s="76"/>
      <c r="I23" s="9"/>
      <c r="J23" s="9"/>
    </row>
    <row r="24" spans="1:18" ht="30.75">
      <c r="E24" s="2" t="s">
        <v>23</v>
      </c>
      <c r="H24" s="76"/>
      <c r="I24" s="9"/>
      <c r="J24" s="9"/>
    </row>
    <row r="25" spans="1:18" ht="30.75">
      <c r="E25" s="2" t="s">
        <v>23</v>
      </c>
      <c r="H25" s="76"/>
      <c r="I25" s="9"/>
      <c r="J25" s="9"/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8ABB403D-ADB3-4333-85BB-B5F0CE0AFB4F}">
      <formula1>"ENERO,FEBRERO,MARZO,ABRIL,MAYO,JUNIO,JULIO,AGOSTO,SEPTIEMBRE,OCTUBRE,NOVIEMBRE,DICIEMBRE"</formula1>
    </dataValidation>
    <dataValidation type="list" allowBlank="1" showInputMessage="1" showErrorMessage="1" sqref="F10:F30" xr:uid="{0C9340B5-A6B5-467D-9BE0-0597C6B0897E}">
      <formula1>"EFECTIVO, CHEQUE, TRANSFERENCIA,DEPOSITO"</formula1>
    </dataValidation>
  </dataValidations>
  <hyperlinks>
    <hyperlink ref="B4:E4" r:id="rId1" display="Jr_2080@hotmail.com" xr:uid="{D1D149BD-D1CE-4F81-894E-94438656A307}"/>
  </hyperlinks>
  <pageMargins left="0.7" right="0.7" top="0.75" bottom="0.75" header="0.3" footer="0.3"/>
  <tableParts count="1">
    <tablePart r:id="rId2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CDC69-122A-4509-97D3-AED15BEED640}">
  <dimension ref="A1:R433"/>
  <sheetViews>
    <sheetView workbookViewId="0">
      <selection activeCell="K16" sqref="K16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2.28515625" customWidth="1"/>
    <col min="12" max="12" width="17" customWidth="1"/>
  </cols>
  <sheetData>
    <row r="1" spans="1:14" ht="23.25" customHeight="1">
      <c r="A1" s="789" t="s">
        <v>3926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10703063352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8" t="s">
        <v>36</v>
      </c>
      <c r="C4" s="798"/>
      <c r="D4" s="798"/>
      <c r="E4" s="798"/>
    </row>
    <row r="5" spans="1:14" ht="23.25" customHeight="1">
      <c r="A5" s="257" t="s">
        <v>4</v>
      </c>
      <c r="B5" s="786">
        <v>46049</v>
      </c>
      <c r="C5" s="787"/>
      <c r="F5" s="258"/>
      <c r="G5" s="788" t="s">
        <v>2069</v>
      </c>
      <c r="H5" s="788"/>
      <c r="I5" s="788"/>
      <c r="J5" s="788"/>
      <c r="K5" s="788"/>
      <c r="L5" s="788"/>
      <c r="M5" s="788"/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>
        <v>46049</v>
      </c>
      <c r="B10" s="8">
        <v>70</v>
      </c>
      <c r="C10" s="2" t="s">
        <v>32</v>
      </c>
      <c r="D10" s="153">
        <v>46053</v>
      </c>
      <c r="E10" s="2" t="s">
        <v>23</v>
      </c>
      <c r="F10" s="2" t="s">
        <v>24</v>
      </c>
      <c r="G10" s="2">
        <v>1</v>
      </c>
      <c r="H10" s="9" t="s">
        <v>3927</v>
      </c>
      <c r="I10" s="9" t="s">
        <v>3928</v>
      </c>
      <c r="J10" s="9" t="s">
        <v>3929</v>
      </c>
      <c r="K10" s="2" t="s">
        <v>36</v>
      </c>
      <c r="L10" t="s">
        <v>72</v>
      </c>
      <c r="M10">
        <v>10</v>
      </c>
    </row>
    <row r="11" spans="1:14" ht="30.75">
      <c r="A11" s="7">
        <v>46080</v>
      </c>
      <c r="B11" s="8">
        <v>70</v>
      </c>
      <c r="C11" s="2" t="s">
        <v>34</v>
      </c>
      <c r="D11" s="153">
        <v>46081</v>
      </c>
      <c r="E11" s="2" t="s">
        <v>23</v>
      </c>
      <c r="F11" s="2" t="s">
        <v>24</v>
      </c>
      <c r="H11" s="76" t="s">
        <v>3930</v>
      </c>
      <c r="I11" s="9"/>
      <c r="J11" s="9" t="s">
        <v>3931</v>
      </c>
      <c r="K11" s="2"/>
      <c r="L11" t="s">
        <v>72</v>
      </c>
      <c r="M11">
        <v>9.5</v>
      </c>
    </row>
    <row r="12" spans="1:14" ht="30.75">
      <c r="A12" s="153">
        <v>46112</v>
      </c>
      <c r="B12" s="8">
        <v>70</v>
      </c>
      <c r="C12" s="2" t="s">
        <v>38</v>
      </c>
      <c r="D12" s="153">
        <v>46112</v>
      </c>
      <c r="E12" s="2" t="s">
        <v>23</v>
      </c>
      <c r="F12" s="2" t="s">
        <v>28</v>
      </c>
      <c r="H12" s="76" t="s">
        <v>3932</v>
      </c>
      <c r="I12" s="9"/>
      <c r="J12" s="9" t="s">
        <v>3933</v>
      </c>
      <c r="K12" s="2"/>
      <c r="L12" s="2" t="s">
        <v>26</v>
      </c>
      <c r="M12">
        <v>7.1</v>
      </c>
    </row>
    <row r="13" spans="1:14" ht="30.75">
      <c r="A13" s="153">
        <v>46142</v>
      </c>
      <c r="B13" s="8">
        <v>70</v>
      </c>
      <c r="C13" s="2" t="s">
        <v>41</v>
      </c>
      <c r="D13" s="153">
        <v>46141</v>
      </c>
      <c r="E13" s="2" t="s">
        <v>23</v>
      </c>
      <c r="F13" t="s">
        <v>28</v>
      </c>
      <c r="H13" s="76" t="s">
        <v>3934</v>
      </c>
      <c r="I13" s="9"/>
      <c r="J13" s="9" t="s">
        <v>3935</v>
      </c>
      <c r="K13" s="2"/>
      <c r="L13" t="s">
        <v>26</v>
      </c>
      <c r="M13">
        <v>8</v>
      </c>
    </row>
    <row r="14" spans="1:14" ht="30.75">
      <c r="B14" s="154"/>
      <c r="E14" s="2" t="s">
        <v>23</v>
      </c>
      <c r="H14" s="76"/>
      <c r="I14" s="9"/>
      <c r="J14" s="9"/>
      <c r="K14" s="2"/>
    </row>
    <row r="15" spans="1:14" ht="30.75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.75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.75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.75">
      <c r="B18" s="154"/>
      <c r="E18" s="2" t="s">
        <v>23</v>
      </c>
      <c r="H18" s="76"/>
      <c r="I18" s="9"/>
      <c r="J18" s="9"/>
    </row>
    <row r="19" spans="1:18" ht="30.75">
      <c r="B19" s="154"/>
      <c r="E19" s="2" t="s">
        <v>23</v>
      </c>
      <c r="H19" s="76"/>
      <c r="I19" s="9"/>
      <c r="J19" s="9"/>
    </row>
    <row r="20" spans="1:18" ht="30.75">
      <c r="B20" s="154"/>
      <c r="E20" s="2" t="s">
        <v>23</v>
      </c>
      <c r="H20" s="76"/>
      <c r="I20" s="9"/>
      <c r="J20" s="9"/>
    </row>
    <row r="21" spans="1:18" ht="30.75">
      <c r="B21" s="154"/>
      <c r="E21" s="2" t="s">
        <v>23</v>
      </c>
      <c r="H21" s="76"/>
      <c r="I21" s="9"/>
      <c r="J21" s="9"/>
    </row>
    <row r="22" spans="1:18" ht="30.75">
      <c r="E22" s="2" t="s">
        <v>23</v>
      </c>
      <c r="H22" s="76"/>
      <c r="I22" s="9"/>
      <c r="J22" s="9"/>
    </row>
    <row r="23" spans="1:18" ht="30.75">
      <c r="E23" s="2" t="s">
        <v>23</v>
      </c>
      <c r="H23" s="76"/>
      <c r="I23" s="9"/>
      <c r="J23" s="9"/>
    </row>
    <row r="24" spans="1:18" ht="30.75">
      <c r="E24" s="2" t="s">
        <v>23</v>
      </c>
      <c r="H24" s="76"/>
      <c r="I24" s="9"/>
      <c r="J24" s="9"/>
    </row>
    <row r="25" spans="1:18" ht="30.75">
      <c r="E25" s="2" t="s">
        <v>23</v>
      </c>
      <c r="H25" s="76"/>
      <c r="I25" s="9"/>
      <c r="J25" s="9"/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6A15A56E-40DD-413A-9F84-49A2A40D2B5C}">
      <formula1>"ENERO,FEBRERO,MARZO,ABRIL,MAYO,JUNIO,JULIO,AGOSTO,SEPTIEMBRE,OCTUBRE,NOVIEMBRE,DICIEMBRE"</formula1>
    </dataValidation>
    <dataValidation type="list" allowBlank="1" showInputMessage="1" showErrorMessage="1" sqref="F10:F30" xr:uid="{0738B90B-A805-4ED0-BD99-6F95F2FB8454}">
      <formula1>"EFECTIVO, CHEQUE, TRANSFERENCIA,DEPOSITO"</formula1>
    </dataValidation>
  </dataValidations>
  <hyperlinks>
    <hyperlink ref="B4:E4" r:id="rId1" display="Jr_2080@hotmail.com" xr:uid="{DEDC6869-E3EF-484D-9E35-63A0656C6F15}"/>
  </hyperlinks>
  <pageMargins left="0.7" right="0.7" top="0.75" bottom="0.75" header="0.3" footer="0.3"/>
  <tableParts count="1">
    <tablePart r:id="rId2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2E47-89EA-48C9-87AF-0F328ADD3F1E}">
  <dimension ref="A1:R433"/>
  <sheetViews>
    <sheetView topLeftCell="M1" workbookViewId="0">
      <selection activeCell="N14" sqref="N14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0.7109375" customWidth="1"/>
  </cols>
  <sheetData>
    <row r="1" spans="1:14" ht="23.25" customHeight="1">
      <c r="A1" s="789" t="s">
        <v>3936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 t="s">
        <v>36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 t="s">
        <v>3937</v>
      </c>
      <c r="H5" s="788"/>
      <c r="I5" s="788"/>
      <c r="J5" s="788"/>
      <c r="K5" s="788"/>
      <c r="L5" s="788"/>
      <c r="M5" s="788"/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 t="s">
        <v>36</v>
      </c>
      <c r="B10" s="8" t="s">
        <v>36</v>
      </c>
      <c r="C10" s="2"/>
      <c r="D10" s="153">
        <v>46112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3938</v>
      </c>
      <c r="K10" s="2" t="s">
        <v>36</v>
      </c>
      <c r="M10">
        <v>0.74</v>
      </c>
    </row>
    <row r="11" spans="1:14" ht="30.75">
      <c r="A11" s="7"/>
      <c r="B11" s="8"/>
      <c r="D11" s="153" t="s">
        <v>36</v>
      </c>
      <c r="E11" s="2" t="s">
        <v>23</v>
      </c>
      <c r="F11" s="2"/>
      <c r="H11" s="76"/>
      <c r="I11" s="9"/>
      <c r="J11" s="9" t="s">
        <v>36</v>
      </c>
      <c r="K11" s="2"/>
    </row>
    <row r="12" spans="1:14" ht="30.75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.75">
      <c r="B13" s="154"/>
      <c r="E13" s="2" t="s">
        <v>23</v>
      </c>
      <c r="H13" s="76"/>
      <c r="I13" s="9"/>
      <c r="J13" s="9"/>
      <c r="K13" s="2"/>
    </row>
    <row r="14" spans="1:14" ht="30.75">
      <c r="B14" s="154"/>
      <c r="E14" s="2" t="s">
        <v>23</v>
      </c>
      <c r="H14" s="76"/>
      <c r="I14" s="9"/>
      <c r="J14" s="9"/>
      <c r="K14" s="2"/>
    </row>
    <row r="15" spans="1:14" ht="30.75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.75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.75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.75">
      <c r="B18" s="154"/>
      <c r="E18" s="2" t="s">
        <v>23</v>
      </c>
      <c r="H18" s="76"/>
      <c r="I18" s="9"/>
      <c r="J18" s="9"/>
    </row>
    <row r="19" spans="1:18" ht="30.75">
      <c r="B19" s="154"/>
      <c r="E19" s="2" t="s">
        <v>23</v>
      </c>
      <c r="H19" s="76"/>
      <c r="I19" s="9"/>
      <c r="J19" s="9"/>
    </row>
    <row r="20" spans="1:18" ht="30.75">
      <c r="B20" s="154"/>
      <c r="E20" s="2" t="s">
        <v>23</v>
      </c>
      <c r="H20" s="76"/>
      <c r="I20" s="9"/>
      <c r="J20" s="9"/>
    </row>
    <row r="21" spans="1:18" ht="30.75">
      <c r="B21" s="154"/>
      <c r="E21" s="2" t="s">
        <v>23</v>
      </c>
      <c r="H21" s="76"/>
      <c r="I21" s="9"/>
      <c r="J21" s="9"/>
    </row>
    <row r="22" spans="1:18" ht="30.75">
      <c r="E22" s="2" t="s">
        <v>23</v>
      </c>
      <c r="H22" s="76"/>
      <c r="I22" s="9"/>
      <c r="J22" s="9"/>
    </row>
    <row r="23" spans="1:18" ht="30.75">
      <c r="E23" s="2" t="s">
        <v>23</v>
      </c>
      <c r="H23" s="76"/>
      <c r="I23" s="9"/>
      <c r="J23" s="9"/>
    </row>
    <row r="24" spans="1:18" ht="30.75">
      <c r="E24" s="2" t="s">
        <v>23</v>
      </c>
      <c r="H24" s="76"/>
      <c r="I24" s="9"/>
      <c r="J24" s="9"/>
    </row>
    <row r="25" spans="1:18" ht="30.75">
      <c r="E25" s="2" t="s">
        <v>23</v>
      </c>
      <c r="H25" s="76"/>
      <c r="I25" s="9"/>
      <c r="J25" s="9"/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849710AB-9041-4F23-BA4D-4871CAB47C7C}">
      <formula1>"ENERO,FEBRERO,MARZO,ABRIL,MAYO,JUNIO,JULIO,AGOSTO,SEPTIEMBRE,OCTUBRE,NOVIEMBRE,DICIEMBRE"</formula1>
    </dataValidation>
    <dataValidation type="list" allowBlank="1" showInputMessage="1" showErrorMessage="1" sqref="F10:F30" xr:uid="{BE748DC3-6F2C-4CBA-A346-0AAAB8113331}">
      <formula1>"EFECTIVO, CHEQUE, TRANSFERENCIA,DEPOSITO"</formula1>
    </dataValidation>
  </dataValidations>
  <hyperlinks>
    <hyperlink ref="B4:E4" r:id="rId1" display="Jr_2080@hotmail.com" xr:uid="{B192FCD5-7BA9-41AD-BAB8-530717A7542C}"/>
  </hyperlinks>
  <pageMargins left="0.7" right="0.7" top="0.75" bottom="0.75" header="0.3" footer="0.3"/>
  <tableParts count="1">
    <tablePart r:id="rId2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DF08-3C4B-4579-B5F6-16CB662FD602}">
  <dimension ref="A1:R433"/>
  <sheetViews>
    <sheetView workbookViewId="0">
      <selection activeCell="I7" sqref="I7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0.7109375" customWidth="1"/>
  </cols>
  <sheetData>
    <row r="1" spans="1:14" ht="23.25" customHeight="1">
      <c r="A1" s="789" t="s">
        <v>3939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>
        <v>20615518621</v>
      </c>
      <c r="F3" s="794" t="s">
        <v>3940</v>
      </c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>
        <v>46045</v>
      </c>
      <c r="C5" s="787"/>
      <c r="F5" s="258"/>
      <c r="G5" s="788" t="s">
        <v>3915</v>
      </c>
      <c r="H5" s="788"/>
      <c r="I5" s="788"/>
      <c r="J5" s="788"/>
      <c r="K5" s="788"/>
      <c r="L5" s="788"/>
      <c r="M5" s="788"/>
    </row>
    <row r="9" spans="1:14" ht="57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 t="s">
        <v>36</v>
      </c>
      <c r="B10" s="8" t="s">
        <v>36</v>
      </c>
      <c r="C10" s="2"/>
      <c r="D10" s="153">
        <v>46141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3941</v>
      </c>
      <c r="K10" s="2" t="s">
        <v>36</v>
      </c>
      <c r="M10">
        <v>5.4</v>
      </c>
    </row>
    <row r="11" spans="1:14" ht="30.75">
      <c r="A11" s="7"/>
      <c r="B11" s="8"/>
      <c r="D11" s="153" t="s">
        <v>36</v>
      </c>
      <c r="E11" s="2" t="s">
        <v>23</v>
      </c>
      <c r="F11" s="2"/>
      <c r="H11" s="76"/>
      <c r="I11" s="9"/>
      <c r="J11" s="9" t="s">
        <v>36</v>
      </c>
      <c r="K11" s="2"/>
    </row>
    <row r="12" spans="1:14" ht="30.75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.75">
      <c r="B13" s="154"/>
      <c r="E13" s="2" t="s">
        <v>23</v>
      </c>
      <c r="H13" s="76"/>
      <c r="I13" s="9"/>
      <c r="J13" s="9"/>
      <c r="K13" s="2"/>
    </row>
    <row r="14" spans="1:14" ht="30.75">
      <c r="B14" s="154"/>
      <c r="E14" s="2" t="s">
        <v>23</v>
      </c>
      <c r="H14" s="76"/>
      <c r="I14" s="9"/>
      <c r="J14" s="9"/>
      <c r="K14" s="2"/>
    </row>
    <row r="15" spans="1:14" ht="30.75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.75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.75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.75">
      <c r="B18" s="154"/>
      <c r="E18" s="2" t="s">
        <v>23</v>
      </c>
      <c r="H18" s="76"/>
      <c r="I18" s="9"/>
      <c r="J18" s="9"/>
    </row>
    <row r="19" spans="1:18" ht="30.75">
      <c r="B19" s="154"/>
      <c r="E19" s="2" t="s">
        <v>23</v>
      </c>
      <c r="H19" s="76"/>
      <c r="I19" s="9"/>
      <c r="J19" s="9"/>
    </row>
    <row r="20" spans="1:18" ht="30.75">
      <c r="B20" s="154"/>
      <c r="E20" s="2" t="s">
        <v>23</v>
      </c>
      <c r="H20" s="76"/>
      <c r="I20" s="9"/>
      <c r="J20" s="9"/>
    </row>
    <row r="21" spans="1:18" ht="30.75">
      <c r="B21" s="154"/>
      <c r="E21" s="2" t="s">
        <v>23</v>
      </c>
      <c r="H21" s="76"/>
      <c r="I21" s="9"/>
      <c r="J21" s="9"/>
    </row>
    <row r="22" spans="1:18" ht="30.75">
      <c r="E22" s="2" t="s">
        <v>23</v>
      </c>
      <c r="H22" s="76"/>
      <c r="I22" s="9"/>
      <c r="J22" s="9"/>
    </row>
    <row r="23" spans="1:18" ht="30.75">
      <c r="E23" s="2" t="s">
        <v>23</v>
      </c>
      <c r="H23" s="76"/>
      <c r="I23" s="9"/>
      <c r="J23" s="9"/>
    </row>
    <row r="24" spans="1:18" ht="30.75">
      <c r="E24" s="2" t="s">
        <v>23</v>
      </c>
      <c r="H24" s="76"/>
      <c r="I24" s="9"/>
      <c r="J24" s="9"/>
    </row>
    <row r="25" spans="1:18" ht="30.75">
      <c r="E25" s="2" t="s">
        <v>23</v>
      </c>
      <c r="H25" s="76"/>
      <c r="I25" s="9"/>
      <c r="J25" s="9"/>
    </row>
    <row r="26" spans="1:18" ht="30.75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C10:C30" xr:uid="{44EBE8CD-53D2-471E-9EB8-4E4B949BB519}">
      <formula1>"ENERO,FEBRERO,MARZO,ABRIL,MAYO,JUNIO,JULIO,AGOSTO,SEPTIEMBRE,OCTUBRE,NOVIEMBRE,DICIEMBRE"</formula1>
    </dataValidation>
    <dataValidation type="list" allowBlank="1" showInputMessage="1" showErrorMessage="1" sqref="F10:F30" xr:uid="{8093A51C-2F93-4831-B633-374142A19495}">
      <formula1>"EFECTIVO, CHEQUE, TRANSFERENCIA,DEPOSITO"</formula1>
    </dataValidation>
  </dataValidations>
  <hyperlinks>
    <hyperlink ref="B4:E4" r:id="rId1" display="Jr_2080@hotmail.com" xr:uid="{CD4EE980-884D-49F9-93F1-ED2B3B09D026}"/>
  </hyperlinks>
  <pageMargins left="0.7" right="0.7" top="0.75" bottom="0.75" header="0.3" footer="0.3"/>
  <tableParts count="1">
    <tablePart r:id="rId2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3164-D13D-438B-878A-0AE9455FED3E}">
  <dimension ref="A1:R433"/>
  <sheetViews>
    <sheetView workbookViewId="0">
      <selection activeCell="H19" sqref="H19"/>
    </sheetView>
  </sheetViews>
  <sheetFormatPr defaultColWidth="9.140625" defaultRowHeight="15"/>
  <cols>
    <col min="1" max="1" width="16.7109375" customWidth="1"/>
    <col min="2" max="2" width="20.42578125" customWidth="1"/>
    <col min="3" max="3" width="13.7109375" bestFit="1" customWidth="1"/>
    <col min="4" max="4" width="11.42578125" bestFit="1" customWidth="1"/>
    <col min="5" max="5" width="9.140625" bestFit="1" customWidth="1"/>
    <col min="6" max="6" width="10.7109375" customWidth="1"/>
    <col min="7" max="10" width="9.140625" bestFit="1" customWidth="1"/>
    <col min="11" max="11" width="15.28515625" customWidth="1"/>
    <col min="12" max="12" width="10.7109375" customWidth="1"/>
  </cols>
  <sheetData>
    <row r="1" spans="1:14" ht="23.25" customHeight="1">
      <c r="A1" s="789" t="s">
        <v>36</v>
      </c>
      <c r="B1" s="788"/>
      <c r="C1" s="788"/>
      <c r="D1" s="788"/>
      <c r="E1" s="788"/>
      <c r="F1" s="788"/>
    </row>
    <row r="2" spans="1:14" ht="18.75" customHeight="1">
      <c r="A2" s="2" t="s">
        <v>1729</v>
      </c>
      <c r="B2" s="790"/>
      <c r="C2" s="790"/>
      <c r="D2" s="790"/>
      <c r="E2" s="790"/>
      <c r="F2" s="790"/>
      <c r="G2" s="256"/>
      <c r="H2" s="793" t="s">
        <v>36</v>
      </c>
      <c r="I2" s="793"/>
      <c r="J2" s="793"/>
      <c r="K2" s="793"/>
    </row>
    <row r="3" spans="1:14" ht="15.75">
      <c r="A3" s="2" t="s">
        <v>1</v>
      </c>
      <c r="B3" s="2" t="s">
        <v>36</v>
      </c>
      <c r="F3" s="794"/>
      <c r="G3" s="794"/>
      <c r="H3" s="794"/>
      <c r="I3" s="794"/>
      <c r="J3" s="794"/>
      <c r="K3" s="794"/>
      <c r="L3" s="794"/>
      <c r="M3" s="794"/>
    </row>
    <row r="4" spans="1:14" ht="15" customHeight="1">
      <c r="A4" s="2" t="s">
        <v>2277</v>
      </c>
      <c r="B4" s="796" t="s">
        <v>36</v>
      </c>
      <c r="C4" s="796"/>
      <c r="D4" s="796"/>
      <c r="E4" s="796"/>
    </row>
    <row r="5" spans="1:14" ht="23.25" customHeight="1">
      <c r="A5" s="257" t="s">
        <v>4</v>
      </c>
      <c r="B5" s="786" t="s">
        <v>36</v>
      </c>
      <c r="C5" s="787"/>
      <c r="F5" s="258"/>
      <c r="G5" s="788"/>
      <c r="H5" s="788"/>
      <c r="I5" s="788"/>
      <c r="J5" s="788"/>
      <c r="K5" s="788"/>
      <c r="L5" s="788"/>
      <c r="M5" s="788"/>
    </row>
    <row r="9" spans="1:14" ht="75.75">
      <c r="A9" s="259" t="s">
        <v>7</v>
      </c>
      <c r="B9" s="259" t="s">
        <v>8</v>
      </c>
      <c r="C9" s="259" t="s">
        <v>9</v>
      </c>
      <c r="D9" s="259" t="s">
        <v>10</v>
      </c>
      <c r="E9" s="259" t="s">
        <v>11</v>
      </c>
      <c r="F9" s="259" t="s">
        <v>12</v>
      </c>
      <c r="G9" s="259" t="s">
        <v>13</v>
      </c>
      <c r="H9" s="259" t="s">
        <v>14</v>
      </c>
      <c r="I9" s="259" t="s">
        <v>15</v>
      </c>
      <c r="J9" s="259" t="s">
        <v>16</v>
      </c>
      <c r="K9" s="259" t="s">
        <v>2489</v>
      </c>
      <c r="L9" s="265" t="s">
        <v>1757</v>
      </c>
      <c r="M9" s="265" t="s">
        <v>2779</v>
      </c>
      <c r="N9" s="260"/>
    </row>
    <row r="10" spans="1:14" ht="30.75">
      <c r="A10" s="266" t="s">
        <v>36</v>
      </c>
      <c r="B10" s="8" t="s">
        <v>36</v>
      </c>
      <c r="C10" s="2"/>
      <c r="D10" s="153" t="s">
        <v>36</v>
      </c>
      <c r="E10" s="2" t="s">
        <v>23</v>
      </c>
      <c r="F10" s="2"/>
      <c r="G10" s="2" t="s">
        <v>36</v>
      </c>
      <c r="H10" s="9" t="s">
        <v>36</v>
      </c>
      <c r="I10" s="9"/>
      <c r="J10" s="9" t="s">
        <v>36</v>
      </c>
      <c r="K10" s="2" t="s">
        <v>36</v>
      </c>
    </row>
    <row r="11" spans="1:14" ht="30">
      <c r="A11" s="7"/>
      <c r="B11" s="8"/>
      <c r="D11" s="153" t="s">
        <v>36</v>
      </c>
      <c r="E11" s="2" t="s">
        <v>23</v>
      </c>
      <c r="F11" s="2"/>
      <c r="H11" s="76"/>
      <c r="I11" s="9"/>
      <c r="J11" s="9" t="s">
        <v>36</v>
      </c>
      <c r="K11" s="2"/>
    </row>
    <row r="12" spans="1:14" ht="30">
      <c r="A12" s="7"/>
      <c r="B12" s="8"/>
      <c r="E12" s="2" t="s">
        <v>23</v>
      </c>
      <c r="F12" s="2"/>
      <c r="H12" s="76"/>
      <c r="I12" s="9"/>
      <c r="J12" s="9" t="s">
        <v>36</v>
      </c>
      <c r="K12" s="2"/>
    </row>
    <row r="13" spans="1:14" ht="30">
      <c r="B13" s="154"/>
      <c r="E13" s="2" t="s">
        <v>23</v>
      </c>
      <c r="H13" s="76"/>
      <c r="I13" s="9"/>
      <c r="J13" s="9"/>
      <c r="K13" s="2"/>
    </row>
    <row r="14" spans="1:14" ht="30">
      <c r="B14" s="154"/>
      <c r="E14" s="2" t="s">
        <v>23</v>
      </c>
      <c r="H14" s="76"/>
      <c r="I14" s="9"/>
      <c r="J14" s="9"/>
      <c r="K14" s="2"/>
    </row>
    <row r="15" spans="1:14" ht="30">
      <c r="B15" s="154"/>
      <c r="E15" s="2" t="s">
        <v>23</v>
      </c>
      <c r="H15" s="76"/>
      <c r="I15" s="9"/>
      <c r="J15" s="9"/>
      <c r="K15" s="2"/>
      <c r="N15" t="s">
        <v>36</v>
      </c>
    </row>
    <row r="16" spans="1:14" ht="30">
      <c r="A16" s="7"/>
      <c r="B16" s="8"/>
      <c r="C16" s="2"/>
      <c r="D16" s="2"/>
      <c r="E16" s="2" t="s">
        <v>23</v>
      </c>
      <c r="F16" s="2"/>
      <c r="G16" s="2"/>
      <c r="H16" s="76"/>
      <c r="I16" s="9"/>
      <c r="J16" s="9"/>
      <c r="K16" s="2"/>
    </row>
    <row r="17" spans="1:18" ht="30">
      <c r="A17" s="7"/>
      <c r="B17" s="8"/>
      <c r="E17" s="2" t="s">
        <v>23</v>
      </c>
      <c r="F17" s="2"/>
      <c r="H17" s="76"/>
      <c r="I17" s="9"/>
      <c r="J17" s="9"/>
      <c r="R17" t="s">
        <v>36</v>
      </c>
    </row>
    <row r="18" spans="1:18" ht="30">
      <c r="B18" s="154"/>
      <c r="E18" s="2" t="s">
        <v>23</v>
      </c>
      <c r="H18" s="76"/>
      <c r="I18" s="9"/>
      <c r="J18" s="9"/>
    </row>
    <row r="19" spans="1:18" ht="30">
      <c r="B19" s="154"/>
      <c r="E19" s="2" t="s">
        <v>23</v>
      </c>
      <c r="H19" s="76"/>
      <c r="I19" s="9"/>
      <c r="J19" s="9"/>
    </row>
    <row r="20" spans="1:18" ht="30">
      <c r="B20" s="154"/>
      <c r="E20" s="2" t="s">
        <v>23</v>
      </c>
      <c r="H20" s="76"/>
      <c r="I20" s="9"/>
      <c r="J20" s="9"/>
    </row>
    <row r="21" spans="1:18" ht="30">
      <c r="B21" s="154"/>
      <c r="E21" s="2" t="s">
        <v>23</v>
      </c>
      <c r="H21" s="76"/>
      <c r="I21" s="9"/>
      <c r="J21" s="9"/>
    </row>
    <row r="22" spans="1:18" ht="30">
      <c r="E22" s="2" t="s">
        <v>23</v>
      </c>
      <c r="H22" s="76"/>
      <c r="I22" s="9"/>
      <c r="J22" s="9"/>
    </row>
    <row r="23" spans="1:18" ht="30">
      <c r="E23" s="2" t="s">
        <v>23</v>
      </c>
      <c r="H23" s="76"/>
      <c r="I23" s="9"/>
      <c r="J23" s="9"/>
    </row>
    <row r="24" spans="1:18" ht="30">
      <c r="E24" s="2" t="s">
        <v>23</v>
      </c>
      <c r="H24" s="76"/>
      <c r="I24" s="9"/>
      <c r="J24" s="9"/>
    </row>
    <row r="25" spans="1:18" ht="30">
      <c r="E25" s="2" t="s">
        <v>23</v>
      </c>
      <c r="H25" s="76"/>
      <c r="I25" s="9"/>
      <c r="J25" s="9"/>
    </row>
    <row r="26" spans="1:18" ht="30">
      <c r="E26" s="2" t="s">
        <v>23</v>
      </c>
      <c r="H26" s="76"/>
      <c r="I26" s="9"/>
    </row>
    <row r="27" spans="1:18">
      <c r="H27" s="76"/>
      <c r="I27" s="9"/>
    </row>
    <row r="28" spans="1:18">
      <c r="H28" s="76"/>
      <c r="I28" s="9"/>
    </row>
    <row r="29" spans="1:18">
      <c r="H29" s="76"/>
      <c r="I29" s="9"/>
    </row>
    <row r="30" spans="1:18">
      <c r="H30" s="76"/>
      <c r="I30" s="9"/>
    </row>
    <row r="433" spans="2:3">
      <c r="B433" t="s">
        <v>2286</v>
      </c>
      <c r="C433" t="s">
        <v>2287</v>
      </c>
    </row>
  </sheetData>
  <mergeCells count="7">
    <mergeCell ref="B5:C5"/>
    <mergeCell ref="G5:M5"/>
    <mergeCell ref="A1:F1"/>
    <mergeCell ref="B2:F2"/>
    <mergeCell ref="H2:K2"/>
    <mergeCell ref="F3:M3"/>
    <mergeCell ref="B4:E4"/>
  </mergeCells>
  <dataValidations count="2">
    <dataValidation type="list" allowBlank="1" showInputMessage="1" showErrorMessage="1" sqref="F10:F30" xr:uid="{51856F95-4B13-4CDA-86FB-18405C4971DE}">
      <formula1>"EFECTIVO, CHEQUE, TRANSFERENCIA,DEPOSITO"</formula1>
    </dataValidation>
    <dataValidation type="list" allowBlank="1" showInputMessage="1" showErrorMessage="1" sqref="C10:C30" xr:uid="{86A7C112-88D3-425E-BD12-1BC4F250E1CC}">
      <formula1>"ENERO,FEBRERO,MARZO,ABRIL,MAYO,JUNIO,JULIO,AGOSTO,SEPTIEMBRE,OCTUBRE,NOVIEMBRE,DICIEMBRE"</formula1>
    </dataValidation>
  </dataValidations>
  <hyperlinks>
    <hyperlink ref="B4:E4" r:id="rId1" display="Jr_2080@hotmail.com" xr:uid="{022BC395-F295-4BF9-97DA-78D582860BB7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OFICINA</dc:creator>
  <cp:keywords/>
  <dc:description/>
  <cp:lastModifiedBy/>
  <cp:revision/>
  <dcterms:created xsi:type="dcterms:W3CDTF">2019-10-29T17:06:50Z</dcterms:created>
  <dcterms:modified xsi:type="dcterms:W3CDTF">2026-06-04T21:28:50Z</dcterms:modified>
  <cp:category/>
  <cp:contentStatus/>
</cp:coreProperties>
</file>